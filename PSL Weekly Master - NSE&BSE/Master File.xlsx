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" sheetId="1" r:id="rId1"/>
    <sheet name="Exit Times" sheetId="2" r:id="rId2"/>
    <sheet name="StgWiseDD" sheetId="3" r:id="rId3"/>
    <sheet name="CombinedDD" sheetId="4" r:id="rId4"/>
    <sheet name="MTM" sheetId="5" r:id="rId5"/>
  </sheets>
  <calcPr calcId="124519" fullCalcOnLoad="1"/>
</workbook>
</file>

<file path=xl/sharedStrings.xml><?xml version="1.0" encoding="utf-8"?>
<sst xmlns="http://schemas.openxmlformats.org/spreadsheetml/2006/main" count="5597" uniqueCount="132">
  <si>
    <t>BN SREW_RANGE_1</t>
  </si>
  <si>
    <t>BN SREW_RANGE_2</t>
  </si>
  <si>
    <t>BN SREW_RANGE_3</t>
  </si>
  <si>
    <t>FN SREW_RANGE_1</t>
  </si>
  <si>
    <t>FN SREW_RANGE_2</t>
  </si>
  <si>
    <t>FN SREW_RANGE_3</t>
  </si>
  <si>
    <t>MCN SREW_RANGE_1</t>
  </si>
  <si>
    <t>MCN SREW_RANGE_2</t>
  </si>
  <si>
    <t>MCN SREW_RANGE_3</t>
  </si>
  <si>
    <t>NF SREW_RANGE_1</t>
  </si>
  <si>
    <t>NF SREW_RANGE_2</t>
  </si>
  <si>
    <t>NF SREW_RANGE_3</t>
  </si>
  <si>
    <t>SX SREW_RANGE_1</t>
  </si>
  <si>
    <t>SX SREW_RANGE_2</t>
  </si>
  <si>
    <t>SX SREW_RANGE_3</t>
  </si>
  <si>
    <t>Date</t>
  </si>
  <si>
    <t>Day</t>
  </si>
  <si>
    <t>BN DTE</t>
  </si>
  <si>
    <t>FN DTE</t>
  </si>
  <si>
    <t>MCN DTE</t>
  </si>
  <si>
    <t>NF DTE</t>
  </si>
  <si>
    <t>SX DTE</t>
  </si>
  <si>
    <t>Monday</t>
  </si>
  <si>
    <t>Tuesday</t>
  </si>
  <si>
    <t>Wednesday</t>
  </si>
  <si>
    <t>Thursday</t>
  </si>
  <si>
    <t>Friday</t>
  </si>
  <si>
    <t>Saturday</t>
  </si>
  <si>
    <t>BANKNIFTY</t>
  </si>
  <si>
    <t>BANKNIFTY SREW_RANGE_1 5-1</t>
  </si>
  <si>
    <t>BANKNIFTY SREW_RANGE_2 4-1</t>
  </si>
  <si>
    <t>BANKNIFTY SREW_RANGE_3 3-1</t>
  </si>
  <si>
    <t>FINNIFTY</t>
  </si>
  <si>
    <t>FINNIFTY SREW_RANGE_1 5-1</t>
  </si>
  <si>
    <t>FINNIFTY SREW_RANGE_2 4-1</t>
  </si>
  <si>
    <t>FINNIFTY SREW_RANGE_3 3-1</t>
  </si>
  <si>
    <t>MIDCPNIFTY</t>
  </si>
  <si>
    <t>MIDCPNIFTY SREW_RANGE_1 5-1</t>
  </si>
  <si>
    <t>MIDCPNIFTY SREW_RANGE_2 4-1</t>
  </si>
  <si>
    <t>MIDCPNIFTY SREW_RANGE_3 3-1</t>
  </si>
  <si>
    <t>NIFTY</t>
  </si>
  <si>
    <t>NIFTY SREW_RANGE_1 5-1</t>
  </si>
  <si>
    <t>NIFTY SREW_RANGE_2 4-1</t>
  </si>
  <si>
    <t>NIFTY SREW_RANGE_3 3-1</t>
  </si>
  <si>
    <t>SENSEX</t>
  </si>
  <si>
    <t>SENSEX SREW_RANGE_1 5-1</t>
  </si>
  <si>
    <t>SENSEX SREW_RANGE_2 4-1</t>
  </si>
  <si>
    <t>SENSEX SREW_RANGE_3 3-1</t>
  </si>
  <si>
    <t>1 15:29:00</t>
  </si>
  <si>
    <t>1 13:26:00</t>
  </si>
  <si>
    <t>3 09:23:00</t>
  </si>
  <si>
    <t>1 11:28:00</t>
  </si>
  <si>
    <t>1 13:48:00</t>
  </si>
  <si>
    <t>3 09:15:00</t>
  </si>
  <si>
    <t>1 09:16:00</t>
  </si>
  <si>
    <t>1 09:15:00</t>
  </si>
  <si>
    <t>3 11:07:00</t>
  </si>
  <si>
    <t>1 09:23:00</t>
  </si>
  <si>
    <t>2 12:18:00</t>
  </si>
  <si>
    <t>1 14:08:00</t>
  </si>
  <si>
    <t>1 09:46:00</t>
  </si>
  <si>
    <t>1 12:02:00</t>
  </si>
  <si>
    <t>1 09:34:00</t>
  </si>
  <si>
    <t>1 15:10:00</t>
  </si>
  <si>
    <t>1 09:49:00</t>
  </si>
  <si>
    <t>3 14:27:00</t>
  </si>
  <si>
    <t>1 09:51:00</t>
  </si>
  <si>
    <t>2 09:18:00</t>
  </si>
  <si>
    <t>1 09:17:00</t>
  </si>
  <si>
    <t>2 09:52:00</t>
  </si>
  <si>
    <t>1 09:48:00</t>
  </si>
  <si>
    <t>3 09:16:00</t>
  </si>
  <si>
    <t>DD BN SREW_RANGE_1</t>
  </si>
  <si>
    <t>DD BN SREW_RANGE_2</t>
  </si>
  <si>
    <t>DD BN SREW_RANGE_3</t>
  </si>
  <si>
    <t>DD FN SREW_RANGE_1</t>
  </si>
  <si>
    <t>DD FN SREW_RANGE_2</t>
  </si>
  <si>
    <t>DD FN SREW_RANGE_3</t>
  </si>
  <si>
    <t>DD MCN SREW_RANGE_1</t>
  </si>
  <si>
    <t>DD MCN SREW_RANGE_2</t>
  </si>
  <si>
    <t>DD MCN SREW_RANGE_3</t>
  </si>
  <si>
    <t>DD NF SREW_RANGE_1</t>
  </si>
  <si>
    <t>DD NF SREW_RANGE_2</t>
  </si>
  <si>
    <t>DD NF SREW_RANGE_3</t>
  </si>
  <si>
    <t>DD SX SREW_RANGE_1</t>
  </si>
  <si>
    <t>DD SX SREW_RANGE_2</t>
  </si>
  <si>
    <t>DD SX SREW_RANGE_3</t>
  </si>
  <si>
    <t>BN SREW_RANGE</t>
  </si>
  <si>
    <t>FN SREW_RANGE</t>
  </si>
  <si>
    <t>MCN SREW_RANGE</t>
  </si>
  <si>
    <t>DD MCN SREW_RANGE</t>
  </si>
  <si>
    <t>DD NF DTE</t>
  </si>
  <si>
    <t>NF SREW_RANGE</t>
  </si>
  <si>
    <t>DD NF SREW_RANGE</t>
  </si>
  <si>
    <t>DD SX DTE</t>
  </si>
  <si>
    <t>SX SREW_RANGE</t>
  </si>
  <si>
    <t>DD SX SREW_RANGE</t>
  </si>
  <si>
    <t>Total</t>
  </si>
  <si>
    <t>BANKNIFTY-DD</t>
  </si>
  <si>
    <t>FINNIFTY-DD</t>
  </si>
  <si>
    <t>MIDCPNIFTY-DD</t>
  </si>
  <si>
    <t>NIFTY-DD</t>
  </si>
  <si>
    <t>SENSEX-DD</t>
  </si>
  <si>
    <t>Total-DD</t>
  </si>
  <si>
    <t>DD-Days</t>
  </si>
  <si>
    <t>BANKNIFTY-Hedge</t>
  </si>
  <si>
    <t>FINNIFTY-Hedge</t>
  </si>
  <si>
    <t>MIDCPNIFTY-Hedge</t>
  </si>
  <si>
    <t>NIFTY-Hedge</t>
  </si>
  <si>
    <t>SENSEX-Hedge</t>
  </si>
  <si>
    <t>Total-Hedge</t>
  </si>
  <si>
    <t>BANKNIFTY-Hedge-DD</t>
  </si>
  <si>
    <t>FINNIFTY-Hedge-DD</t>
  </si>
  <si>
    <t>MIDCPNIFTY-Hedge-DD</t>
  </si>
  <si>
    <t>NIFTY-Hedge-DD</t>
  </si>
  <si>
    <t>SENSEX-Hedge-DD</t>
  </si>
  <si>
    <t>Total-Hedge-DD</t>
  </si>
  <si>
    <t>Hedge-DD-Days</t>
  </si>
  <si>
    <t>Loss-Days</t>
  </si>
  <si>
    <t>Loss-Amount</t>
  </si>
  <si>
    <t>Profit-Days</t>
  </si>
  <si>
    <t>Profit-Amount</t>
  </si>
  <si>
    <t>Loss-Greater-1%</t>
  </si>
  <si>
    <t>Profit-Greater-1%</t>
  </si>
  <si>
    <t>Hedge-Loss-Days</t>
  </si>
  <si>
    <t>Hedge-Loss-Amount</t>
  </si>
  <si>
    <t>Hedge-Profit-Days</t>
  </si>
  <si>
    <t>Hedge-Profit-Amount</t>
  </si>
  <si>
    <t>Hedge-Loss-Greater-1%</t>
  </si>
  <si>
    <t>Hedge-Profit-Greater-1%</t>
  </si>
  <si>
    <t>Months</t>
  </si>
  <si>
    <t>Per Month</t>
  </si>
</sst>
</file>

<file path=xl/styles.xml><?xml version="1.0" encoding="utf-8"?>
<styleSheet xmlns="http://schemas.openxmlformats.org/spreadsheetml/2006/main">
  <numFmts count="3">
    <numFmt numFmtId="164" formatCode="_ * #,##0_ ;_ * -#,##0_ ;_ * &quot;-&quot;_ ;_ @_ "/>
    <numFmt numFmtId="165" formatCode="YYYY-MM-DD"/>
    <numFmt numFmtId="166" formatCode="YYYY-MM-DD HH:MM:SS"/>
  </numFmts>
  <fonts count="3">
    <font>
      <sz val="11"/>
      <color theme="1"/>
      <name val="Calibri"/>
      <family val="2"/>
      <scheme val="minor"/>
    </font>
    <font>
      <sz val="10"/>
      <color theme="1"/>
      <name val="Times New Roman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2" fillId="0" borderId="1" xfId="0" applyFont="1" applyBorder="1" applyAlignment="1">
      <alignment horizontal="center" vertical="top"/>
    </xf>
    <xf numFmtId="165" fontId="2" fillId="0" borderId="1" xfId="0" applyNumberFormat="1" applyFont="1" applyBorder="1" applyAlignment="1">
      <alignment horizontal="center" vertical="top"/>
    </xf>
    <xf numFmtId="166" fontId="2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6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000"/>
  <sheetViews>
    <sheetView tabSelected="1" workbookViewId="0"/>
  </sheetViews>
  <sheetFormatPr defaultRowHeight="15"/>
  <sheetData>
    <row r="1" spans="1:22" s="1" customFormat="1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0</v>
      </c>
      <c r="I1" s="2" t="s">
        <v>1</v>
      </c>
      <c r="J1" s="2" t="s">
        <v>2</v>
      </c>
      <c r="K1" s="2" t="s">
        <v>3</v>
      </c>
      <c r="L1" s="2" t="s">
        <v>4</v>
      </c>
      <c r="M1" s="2" t="s">
        <v>5</v>
      </c>
      <c r="N1" s="2" t="s">
        <v>6</v>
      </c>
      <c r="O1" s="2" t="s">
        <v>7</v>
      </c>
      <c r="P1" s="2" t="s">
        <v>8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</row>
    <row r="2" spans="1:22" s="1" customFormat="1">
      <c r="A2" s="3">
        <v>45292</v>
      </c>
      <c r="B2" s="2" t="s">
        <v>22</v>
      </c>
      <c r="C2" s="2">
        <v>22</v>
      </c>
      <c r="D2" s="2">
        <v>21</v>
      </c>
      <c r="E2" s="2">
        <v>20</v>
      </c>
      <c r="F2" s="2">
        <v>4</v>
      </c>
      <c r="G2" s="2">
        <v>5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</row>
    <row r="3" spans="1:22" s="1" customFormat="1">
      <c r="A3" s="3">
        <v>45293</v>
      </c>
      <c r="B3" s="2" t="s">
        <v>23</v>
      </c>
      <c r="C3" s="2">
        <v>21</v>
      </c>
      <c r="D3" s="2">
        <v>20</v>
      </c>
      <c r="E3" s="2">
        <v>19</v>
      </c>
      <c r="F3" s="2">
        <v>3</v>
      </c>
      <c r="G3" s="2">
        <v>4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</row>
    <row r="4" spans="1:22" s="1" customFormat="1">
      <c r="A4" s="3">
        <v>45294</v>
      </c>
      <c r="B4" s="2" t="s">
        <v>24</v>
      </c>
      <c r="C4" s="2">
        <v>20</v>
      </c>
      <c r="D4" s="2">
        <v>19</v>
      </c>
      <c r="E4" s="2">
        <v>18</v>
      </c>
      <c r="F4" s="2">
        <v>2</v>
      </c>
      <c r="G4" s="2">
        <v>3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</row>
    <row r="5" spans="1:22" s="1" customFormat="1">
      <c r="A5" s="3">
        <v>45295</v>
      </c>
      <c r="B5" s="2" t="s">
        <v>25</v>
      </c>
      <c r="C5" s="2">
        <v>19</v>
      </c>
      <c r="D5" s="2">
        <v>18</v>
      </c>
      <c r="E5" s="2">
        <v>17</v>
      </c>
      <c r="F5" s="2">
        <v>1</v>
      </c>
      <c r="G5" s="2">
        <v>2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455690.9018573532</v>
      </c>
      <c r="R5" s="1">
        <v>455690.9018573532</v>
      </c>
      <c r="S5" s="1">
        <v>348728.0549101299</v>
      </c>
      <c r="T5" s="1">
        <v>0</v>
      </c>
      <c r="U5" s="1">
        <v>0</v>
      </c>
      <c r="V5" s="1">
        <v>0</v>
      </c>
    </row>
    <row r="6" spans="1:22" s="1" customFormat="1">
      <c r="A6" s="3">
        <v>45296</v>
      </c>
      <c r="B6" s="2" t="s">
        <v>26</v>
      </c>
      <c r="C6" s="2">
        <v>18</v>
      </c>
      <c r="D6" s="2">
        <v>17</v>
      </c>
      <c r="E6" s="2">
        <v>16</v>
      </c>
      <c r="F6" s="2">
        <v>5</v>
      </c>
      <c r="G6" s="2">
        <v>1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478763.5806872986</v>
      </c>
      <c r="U6" s="1">
        <v>628942.7421440617</v>
      </c>
      <c r="V6" s="1">
        <v>373411.2838349023</v>
      </c>
    </row>
    <row r="7" spans="1:22" s="1" customFormat="1">
      <c r="A7" s="3">
        <v>45299</v>
      </c>
      <c r="B7" s="2" t="s">
        <v>22</v>
      </c>
      <c r="C7" s="2">
        <v>17</v>
      </c>
      <c r="D7" s="2">
        <v>16</v>
      </c>
      <c r="E7" s="2">
        <v>15</v>
      </c>
      <c r="F7" s="2">
        <v>4</v>
      </c>
      <c r="G7" s="2">
        <v>5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</row>
    <row r="8" spans="1:22" s="1" customFormat="1">
      <c r="A8" s="3">
        <v>45300</v>
      </c>
      <c r="B8" s="2" t="s">
        <v>23</v>
      </c>
      <c r="C8" s="2">
        <v>16</v>
      </c>
      <c r="D8" s="2">
        <v>15</v>
      </c>
      <c r="E8" s="2">
        <v>14</v>
      </c>
      <c r="F8" s="2">
        <v>3</v>
      </c>
      <c r="G8" s="2">
        <v>4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</row>
    <row r="9" spans="1:22" s="1" customFormat="1">
      <c r="A9" s="3">
        <v>45301</v>
      </c>
      <c r="B9" s="2" t="s">
        <v>24</v>
      </c>
      <c r="C9" s="2">
        <v>15</v>
      </c>
      <c r="D9" s="2">
        <v>14</v>
      </c>
      <c r="E9" s="2">
        <v>13</v>
      </c>
      <c r="F9" s="2">
        <v>2</v>
      </c>
      <c r="G9" s="2">
        <v>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</row>
    <row r="10" spans="1:22" s="1" customFormat="1">
      <c r="A10" s="3">
        <v>45302</v>
      </c>
      <c r="B10" s="2" t="s">
        <v>25</v>
      </c>
      <c r="C10" s="2">
        <v>14</v>
      </c>
      <c r="D10" s="2">
        <v>13</v>
      </c>
      <c r="E10" s="2">
        <v>12</v>
      </c>
      <c r="F10" s="2">
        <v>1</v>
      </c>
      <c r="G10" s="2">
        <v>2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-26527.92804790301</v>
      </c>
      <c r="R10" s="1">
        <v>33178.17595086397</v>
      </c>
      <c r="S10" s="1">
        <v>-30199.26609240272</v>
      </c>
      <c r="T10" s="1">
        <v>0</v>
      </c>
      <c r="U10" s="1">
        <v>0</v>
      </c>
      <c r="V10" s="1">
        <v>0</v>
      </c>
    </row>
    <row r="11" spans="1:22" s="1" customFormat="1">
      <c r="A11" s="3">
        <v>45303</v>
      </c>
      <c r="B11" s="2" t="s">
        <v>26</v>
      </c>
      <c r="C11" s="2">
        <v>13</v>
      </c>
      <c r="D11" s="2">
        <v>12</v>
      </c>
      <c r="E11" s="2">
        <v>11</v>
      </c>
      <c r="F11" s="2">
        <v>5</v>
      </c>
      <c r="G11" s="2">
        <v>1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180419.8701634516</v>
      </c>
      <c r="U11" s="1">
        <v>-383256.2535436327</v>
      </c>
      <c r="V11" s="1">
        <v>-337717.5909480283</v>
      </c>
    </row>
    <row r="12" spans="1:22" s="1" customFormat="1">
      <c r="A12" s="3">
        <v>45306</v>
      </c>
      <c r="B12" s="2" t="s">
        <v>22</v>
      </c>
      <c r="C12" s="2">
        <v>12</v>
      </c>
      <c r="D12" s="2">
        <v>11</v>
      </c>
      <c r="E12" s="2">
        <v>10</v>
      </c>
      <c r="F12" s="2">
        <v>4</v>
      </c>
      <c r="G12" s="2">
        <v>5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</row>
    <row r="13" spans="1:22" s="1" customFormat="1">
      <c r="A13" s="3">
        <v>45307</v>
      </c>
      <c r="B13" s="2" t="s">
        <v>23</v>
      </c>
      <c r="C13" s="2">
        <v>11</v>
      </c>
      <c r="D13" s="2">
        <v>10</v>
      </c>
      <c r="E13" s="2">
        <v>9</v>
      </c>
      <c r="F13" s="2">
        <v>3</v>
      </c>
      <c r="G13" s="2">
        <v>4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</row>
    <row r="14" spans="1:22" s="1" customFormat="1">
      <c r="A14" s="3">
        <v>45308</v>
      </c>
      <c r="B14" s="2" t="s">
        <v>24</v>
      </c>
      <c r="C14" s="2">
        <v>10</v>
      </c>
      <c r="D14" s="2">
        <v>9</v>
      </c>
      <c r="E14" s="2">
        <v>8</v>
      </c>
      <c r="F14" s="2">
        <v>2</v>
      </c>
      <c r="G14" s="2">
        <v>3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</row>
    <row r="15" spans="1:22" s="1" customFormat="1">
      <c r="A15" s="3">
        <v>45309</v>
      </c>
      <c r="B15" s="2" t="s">
        <v>25</v>
      </c>
      <c r="C15" s="2">
        <v>9</v>
      </c>
      <c r="D15" s="2">
        <v>8</v>
      </c>
      <c r="E15" s="2">
        <v>7</v>
      </c>
      <c r="F15" s="2">
        <v>1</v>
      </c>
      <c r="G15" s="2">
        <v>2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-1104311.684662184</v>
      </c>
      <c r="R15" s="1">
        <v>-657569.2674050239</v>
      </c>
      <c r="S15" s="1">
        <v>-922278.1361597138</v>
      </c>
      <c r="T15" s="1">
        <v>0</v>
      </c>
      <c r="U15" s="1">
        <v>0</v>
      </c>
      <c r="V15" s="1">
        <v>0</v>
      </c>
    </row>
    <row r="16" spans="1:22" s="1" customFormat="1">
      <c r="A16" s="3">
        <v>45310</v>
      </c>
      <c r="B16" s="2" t="s">
        <v>26</v>
      </c>
      <c r="C16" s="2">
        <v>8</v>
      </c>
      <c r="D16" s="2">
        <v>7</v>
      </c>
      <c r="E16" s="2">
        <v>6</v>
      </c>
      <c r="F16" s="2">
        <v>5</v>
      </c>
      <c r="G16" s="2">
        <v>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-725643.5121059112</v>
      </c>
      <c r="U16" s="1">
        <v>-905548.1771409172</v>
      </c>
      <c r="V16" s="1">
        <v>-212858.2963687727</v>
      </c>
    </row>
    <row r="17" spans="1:22" s="1" customFormat="1">
      <c r="A17" s="3">
        <v>45311</v>
      </c>
      <c r="B17" s="2" t="s">
        <v>27</v>
      </c>
      <c r="C17" s="2">
        <v>7</v>
      </c>
      <c r="D17" s="2">
        <v>6</v>
      </c>
      <c r="E17" s="2">
        <v>5</v>
      </c>
      <c r="F17" s="2">
        <v>4</v>
      </c>
      <c r="G17" s="2">
        <v>4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</row>
    <row r="18" spans="1:22" s="1" customFormat="1">
      <c r="A18" s="3">
        <v>45314</v>
      </c>
      <c r="B18" s="2" t="s">
        <v>23</v>
      </c>
      <c r="C18" s="2">
        <v>6</v>
      </c>
      <c r="D18" s="2">
        <v>5</v>
      </c>
      <c r="E18" s="2">
        <v>4</v>
      </c>
      <c r="F18" s="2">
        <v>3</v>
      </c>
      <c r="G18" s="2">
        <v>3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</row>
    <row r="19" spans="1:22" s="1" customFormat="1">
      <c r="A19" s="3">
        <v>45315</v>
      </c>
      <c r="B19" s="2" t="s">
        <v>24</v>
      </c>
      <c r="C19" s="2">
        <v>5</v>
      </c>
      <c r="D19" s="2">
        <v>4</v>
      </c>
      <c r="E19" s="2">
        <v>3</v>
      </c>
      <c r="F19" s="2">
        <v>2</v>
      </c>
      <c r="G19" s="2">
        <v>2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</row>
    <row r="20" spans="1:22" s="1" customFormat="1">
      <c r="A20" s="3">
        <v>45316</v>
      </c>
      <c r="B20" s="2" t="s">
        <v>25</v>
      </c>
      <c r="C20" s="2">
        <v>4</v>
      </c>
      <c r="D20" s="2">
        <v>3</v>
      </c>
      <c r="E20" s="2">
        <v>2</v>
      </c>
      <c r="F20" s="2">
        <v>1</v>
      </c>
      <c r="G20" s="2">
        <v>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-227057.3259763294</v>
      </c>
      <c r="R20" s="1">
        <v>-714782.9976200428</v>
      </c>
      <c r="S20" s="1">
        <v>2593.53741548462</v>
      </c>
      <c r="T20" s="1">
        <v>-1310270.878808795</v>
      </c>
      <c r="U20" s="1">
        <v>-1310270.878808795</v>
      </c>
      <c r="V20" s="1">
        <v>-538197.7615777131</v>
      </c>
    </row>
    <row r="21" spans="1:22" s="1" customFormat="1">
      <c r="A21" s="3">
        <v>45320</v>
      </c>
      <c r="B21" s="2" t="s">
        <v>22</v>
      </c>
      <c r="C21" s="2">
        <v>3</v>
      </c>
      <c r="D21" s="2">
        <v>2</v>
      </c>
      <c r="E21" s="2">
        <v>1</v>
      </c>
      <c r="F21" s="2">
        <v>4</v>
      </c>
      <c r="G21" s="2">
        <v>5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</row>
    <row r="22" spans="1:22" s="1" customFormat="1">
      <c r="A22" s="3">
        <v>45321</v>
      </c>
      <c r="B22" s="2" t="s">
        <v>23</v>
      </c>
      <c r="C22" s="2">
        <v>2</v>
      </c>
      <c r="D22" s="2">
        <v>1</v>
      </c>
      <c r="E22" s="2">
        <v>20</v>
      </c>
      <c r="F22" s="2">
        <v>3</v>
      </c>
      <c r="G22" s="2">
        <v>4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</row>
    <row r="23" spans="1:22" s="1" customFormat="1">
      <c r="A23" s="3">
        <v>45322</v>
      </c>
      <c r="B23" s="2" t="s">
        <v>24</v>
      </c>
      <c r="C23" s="2">
        <v>1</v>
      </c>
      <c r="D23" s="2">
        <v>20</v>
      </c>
      <c r="E23" s="2">
        <v>19</v>
      </c>
      <c r="F23" s="2">
        <v>2</v>
      </c>
      <c r="G23" s="2">
        <v>3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</row>
    <row r="24" spans="1:22" s="1" customFormat="1">
      <c r="A24" s="3">
        <v>45323</v>
      </c>
      <c r="B24" s="2" t="s">
        <v>25</v>
      </c>
      <c r="C24" s="2">
        <v>21</v>
      </c>
      <c r="D24" s="2">
        <v>19</v>
      </c>
      <c r="E24" s="2">
        <v>18</v>
      </c>
      <c r="F24" s="2">
        <v>1</v>
      </c>
      <c r="G24" s="2">
        <v>2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1087711.406234915</v>
      </c>
      <c r="R24" s="1">
        <v>1087711.406234915</v>
      </c>
      <c r="S24" s="1">
        <v>754366.5126432173</v>
      </c>
      <c r="T24" s="1">
        <v>0</v>
      </c>
      <c r="U24" s="1">
        <v>0</v>
      </c>
      <c r="V24" s="1">
        <v>0</v>
      </c>
    </row>
    <row r="25" spans="1:22" s="1" customFormat="1">
      <c r="A25" s="3">
        <v>45324</v>
      </c>
      <c r="B25" s="2" t="s">
        <v>26</v>
      </c>
      <c r="C25" s="2">
        <v>20</v>
      </c>
      <c r="D25" s="2">
        <v>18</v>
      </c>
      <c r="E25" s="2">
        <v>17</v>
      </c>
      <c r="F25" s="2">
        <v>5</v>
      </c>
      <c r="G25" s="2">
        <v>1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1238852.039569169</v>
      </c>
      <c r="U25" s="1">
        <v>1020333.230787557</v>
      </c>
      <c r="V25" s="1">
        <v>781812.2752870843</v>
      </c>
    </row>
    <row r="26" spans="1:22" s="1" customFormat="1">
      <c r="A26" s="3">
        <v>45327</v>
      </c>
      <c r="B26" s="2" t="s">
        <v>22</v>
      </c>
      <c r="C26" s="2">
        <v>19</v>
      </c>
      <c r="D26" s="2">
        <v>17</v>
      </c>
      <c r="E26" s="2">
        <v>16</v>
      </c>
      <c r="F26" s="2">
        <v>4</v>
      </c>
      <c r="G26" s="2">
        <v>5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</row>
    <row r="27" spans="1:22" s="1" customFormat="1">
      <c r="A27" s="3">
        <v>45328</v>
      </c>
      <c r="B27" s="2" t="s">
        <v>23</v>
      </c>
      <c r="C27" s="2">
        <v>18</v>
      </c>
      <c r="D27" s="2">
        <v>16</v>
      </c>
      <c r="E27" s="2">
        <v>15</v>
      </c>
      <c r="F27" s="2">
        <v>3</v>
      </c>
      <c r="G27" s="2">
        <v>4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</row>
    <row r="28" spans="1:22" s="1" customFormat="1">
      <c r="A28" s="3">
        <v>45329</v>
      </c>
      <c r="B28" s="2" t="s">
        <v>24</v>
      </c>
      <c r="C28" s="2">
        <v>17</v>
      </c>
      <c r="D28" s="2">
        <v>15</v>
      </c>
      <c r="E28" s="2">
        <v>14</v>
      </c>
      <c r="F28" s="2">
        <v>2</v>
      </c>
      <c r="G28" s="2">
        <v>3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</row>
    <row r="29" spans="1:22" s="1" customFormat="1">
      <c r="A29" s="3">
        <v>45330</v>
      </c>
      <c r="B29" s="2" t="s">
        <v>25</v>
      </c>
      <c r="C29" s="2">
        <v>16</v>
      </c>
      <c r="D29" s="2">
        <v>14</v>
      </c>
      <c r="E29" s="2">
        <v>13</v>
      </c>
      <c r="F29" s="2">
        <v>1</v>
      </c>
      <c r="G29" s="2">
        <v>2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-56924.34367924443</v>
      </c>
      <c r="R29" s="1">
        <v>366037.1978806279</v>
      </c>
      <c r="S29" s="1">
        <v>413548.8520275692</v>
      </c>
      <c r="T29" s="1">
        <v>0</v>
      </c>
      <c r="U29" s="1">
        <v>0</v>
      </c>
      <c r="V29" s="1">
        <v>0</v>
      </c>
    </row>
    <row r="30" spans="1:22" s="1" customFormat="1">
      <c r="A30" s="3">
        <v>45331</v>
      </c>
      <c r="B30" s="2" t="s">
        <v>26</v>
      </c>
      <c r="C30" s="2">
        <v>15</v>
      </c>
      <c r="D30" s="2">
        <v>13</v>
      </c>
      <c r="E30" s="2">
        <v>12</v>
      </c>
      <c r="F30" s="2">
        <v>5</v>
      </c>
      <c r="G30" s="2">
        <v>1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1198871.139775554</v>
      </c>
      <c r="U30" s="1">
        <v>1101110.117397019</v>
      </c>
      <c r="V30" s="1">
        <v>716000.0312636311</v>
      </c>
    </row>
    <row r="31" spans="1:22" s="1" customFormat="1">
      <c r="A31" s="3">
        <v>45334</v>
      </c>
      <c r="B31" s="2" t="s">
        <v>22</v>
      </c>
      <c r="C31" s="2">
        <v>14</v>
      </c>
      <c r="D31" s="2">
        <v>12</v>
      </c>
      <c r="E31" s="2">
        <v>11</v>
      </c>
      <c r="F31" s="2">
        <v>4</v>
      </c>
      <c r="G31" s="2">
        <v>5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</row>
    <row r="32" spans="1:22" s="1" customFormat="1">
      <c r="A32" s="3">
        <v>45335</v>
      </c>
      <c r="B32" s="2" t="s">
        <v>23</v>
      </c>
      <c r="C32" s="2">
        <v>13</v>
      </c>
      <c r="D32" s="2">
        <v>11</v>
      </c>
      <c r="E32" s="2">
        <v>10</v>
      </c>
      <c r="F32" s="2">
        <v>3</v>
      </c>
      <c r="G32" s="2">
        <v>4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</row>
    <row r="33" spans="1:22" s="1" customFormat="1">
      <c r="A33" s="3">
        <v>45336</v>
      </c>
      <c r="B33" s="2" t="s">
        <v>24</v>
      </c>
      <c r="C33" s="2">
        <v>12</v>
      </c>
      <c r="D33" s="2">
        <v>10</v>
      </c>
      <c r="E33" s="2">
        <v>9</v>
      </c>
      <c r="F33" s="2">
        <v>2</v>
      </c>
      <c r="G33" s="2">
        <v>3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</row>
    <row r="34" spans="1:22" s="1" customFormat="1">
      <c r="A34" s="3">
        <v>45337</v>
      </c>
      <c r="B34" s="2" t="s">
        <v>25</v>
      </c>
      <c r="C34" s="2">
        <v>11</v>
      </c>
      <c r="D34" s="2">
        <v>9</v>
      </c>
      <c r="E34" s="2">
        <v>8</v>
      </c>
      <c r="F34" s="2">
        <v>1</v>
      </c>
      <c r="G34" s="2">
        <v>2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864211.7011133811</v>
      </c>
      <c r="R34" s="1">
        <v>631173.6732432842</v>
      </c>
      <c r="S34" s="1">
        <v>329061.3315241523</v>
      </c>
      <c r="T34" s="1">
        <v>0</v>
      </c>
      <c r="U34" s="1">
        <v>0</v>
      </c>
      <c r="V34" s="1">
        <v>0</v>
      </c>
    </row>
    <row r="35" spans="1:22" s="1" customFormat="1">
      <c r="A35" s="3">
        <v>45338</v>
      </c>
      <c r="B35" s="2" t="s">
        <v>26</v>
      </c>
      <c r="C35" s="2">
        <v>10</v>
      </c>
      <c r="D35" s="2">
        <v>8</v>
      </c>
      <c r="E35" s="2">
        <v>7</v>
      </c>
      <c r="F35" s="2">
        <v>5</v>
      </c>
      <c r="G35" s="2">
        <v>1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1017128.853508844</v>
      </c>
      <c r="U35" s="1">
        <v>889798.908155054</v>
      </c>
      <c r="V35" s="1">
        <v>466914.7044878934</v>
      </c>
    </row>
    <row r="36" spans="1:22" s="1" customFormat="1">
      <c r="A36" s="3">
        <v>45341</v>
      </c>
      <c r="B36" s="2" t="s">
        <v>22</v>
      </c>
      <c r="C36" s="2">
        <v>9</v>
      </c>
      <c r="D36" s="2">
        <v>7</v>
      </c>
      <c r="E36" s="2">
        <v>6</v>
      </c>
      <c r="F36" s="2">
        <v>4</v>
      </c>
      <c r="G36" s="2">
        <v>5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</row>
    <row r="37" spans="1:22" s="1" customFormat="1">
      <c r="A37" s="3">
        <v>45342</v>
      </c>
      <c r="B37" s="2" t="s">
        <v>23</v>
      </c>
      <c r="C37" s="2">
        <v>8</v>
      </c>
      <c r="D37" s="2">
        <v>6</v>
      </c>
      <c r="E37" s="2">
        <v>5</v>
      </c>
      <c r="F37" s="2">
        <v>3</v>
      </c>
      <c r="G37" s="2">
        <v>4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</row>
    <row r="38" spans="1:22" s="1" customFormat="1">
      <c r="A38" s="3">
        <v>45343</v>
      </c>
      <c r="B38" s="2" t="s">
        <v>24</v>
      </c>
      <c r="C38" s="2">
        <v>7</v>
      </c>
      <c r="D38" s="2">
        <v>5</v>
      </c>
      <c r="E38" s="2">
        <v>4</v>
      </c>
      <c r="F38" s="2">
        <v>2</v>
      </c>
      <c r="G38" s="2">
        <v>3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</row>
    <row r="39" spans="1:22" s="1" customFormat="1">
      <c r="A39" s="3">
        <v>45344</v>
      </c>
      <c r="B39" s="2" t="s">
        <v>25</v>
      </c>
      <c r="C39" s="2">
        <v>6</v>
      </c>
      <c r="D39" s="2">
        <v>4</v>
      </c>
      <c r="E39" s="2">
        <v>3</v>
      </c>
      <c r="F39" s="2">
        <v>1</v>
      </c>
      <c r="G39" s="2">
        <v>2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782169.1274478581</v>
      </c>
      <c r="R39" s="1">
        <v>253860.3980170015</v>
      </c>
      <c r="S39" s="1">
        <v>145510.285253117</v>
      </c>
      <c r="T39" s="1">
        <v>0</v>
      </c>
      <c r="U39" s="1">
        <v>0</v>
      </c>
      <c r="V39" s="1">
        <v>0</v>
      </c>
    </row>
    <row r="40" spans="1:22" s="1" customFormat="1">
      <c r="A40" s="3">
        <v>45345</v>
      </c>
      <c r="B40" s="2" t="s">
        <v>26</v>
      </c>
      <c r="C40" s="2">
        <v>5</v>
      </c>
      <c r="D40" s="2">
        <v>3</v>
      </c>
      <c r="E40" s="2">
        <v>2</v>
      </c>
      <c r="F40" s="2">
        <v>5</v>
      </c>
      <c r="G40" s="2">
        <v>1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1178799.226407994</v>
      </c>
      <c r="U40" s="1">
        <v>812316.6502479204</v>
      </c>
      <c r="V40" s="1">
        <v>252819.367257497</v>
      </c>
    </row>
    <row r="41" spans="1:22" s="1" customFormat="1">
      <c r="A41" s="3">
        <v>45348</v>
      </c>
      <c r="B41" s="2" t="s">
        <v>22</v>
      </c>
      <c r="C41" s="2">
        <v>4</v>
      </c>
      <c r="D41" s="2">
        <v>2</v>
      </c>
      <c r="E41" s="2">
        <v>1</v>
      </c>
      <c r="F41" s="2">
        <v>4</v>
      </c>
      <c r="G41" s="2">
        <v>5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</row>
    <row r="42" spans="1:22" s="1" customFormat="1">
      <c r="A42" s="3">
        <v>45349</v>
      </c>
      <c r="B42" s="2" t="s">
        <v>23</v>
      </c>
      <c r="C42" s="2">
        <v>3</v>
      </c>
      <c r="D42" s="2">
        <v>1</v>
      </c>
      <c r="E42" s="2">
        <v>18</v>
      </c>
      <c r="F42" s="2">
        <v>3</v>
      </c>
      <c r="G42" s="2">
        <v>4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</row>
    <row r="43" spans="1:22" s="1" customFormat="1">
      <c r="A43" s="3">
        <v>45350</v>
      </c>
      <c r="B43" s="2" t="s">
        <v>24</v>
      </c>
      <c r="C43" s="2">
        <v>2</v>
      </c>
      <c r="D43" s="2">
        <v>18</v>
      </c>
      <c r="E43" s="2">
        <v>17</v>
      </c>
      <c r="F43" s="2">
        <v>2</v>
      </c>
      <c r="G43" s="2">
        <v>3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</row>
    <row r="44" spans="1:22" s="1" customFormat="1">
      <c r="A44" s="3">
        <v>45351</v>
      </c>
      <c r="B44" s="2" t="s">
        <v>25</v>
      </c>
      <c r="C44" s="2">
        <v>1</v>
      </c>
      <c r="D44" s="2">
        <v>17</v>
      </c>
      <c r="E44" s="2">
        <v>16</v>
      </c>
      <c r="F44" s="2">
        <v>1</v>
      </c>
      <c r="G44" s="2">
        <v>2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667020.1485957581</v>
      </c>
      <c r="R44" s="1">
        <v>835624.158719365</v>
      </c>
      <c r="S44" s="1">
        <v>571680.5360435767</v>
      </c>
      <c r="T44" s="1">
        <v>0</v>
      </c>
      <c r="U44" s="1">
        <v>0</v>
      </c>
      <c r="V44" s="1">
        <v>0</v>
      </c>
    </row>
    <row r="45" spans="1:22" s="1" customFormat="1">
      <c r="A45" s="3">
        <v>45352</v>
      </c>
      <c r="B45" s="2" t="s">
        <v>26</v>
      </c>
      <c r="C45" s="2">
        <v>17</v>
      </c>
      <c r="D45" s="2">
        <v>16</v>
      </c>
      <c r="E45" s="2">
        <v>15</v>
      </c>
      <c r="F45" s="2">
        <v>5</v>
      </c>
      <c r="G45" s="2">
        <v>1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214984.0133276874</v>
      </c>
      <c r="U45" s="1">
        <v>-116157.2275027091</v>
      </c>
      <c r="V45" s="1">
        <v>150023.0985181612</v>
      </c>
    </row>
    <row r="46" spans="1:22" s="1" customFormat="1">
      <c r="A46" s="3">
        <v>45355</v>
      </c>
      <c r="B46" s="2" t="s">
        <v>22</v>
      </c>
      <c r="C46" s="2">
        <v>16</v>
      </c>
      <c r="D46" s="2">
        <v>15</v>
      </c>
      <c r="E46" s="2">
        <v>14</v>
      </c>
      <c r="F46" s="2">
        <v>4</v>
      </c>
      <c r="G46" s="2">
        <v>4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</row>
    <row r="47" spans="1:22" s="1" customFormat="1">
      <c r="A47" s="3">
        <v>45356</v>
      </c>
      <c r="B47" s="2" t="s">
        <v>23</v>
      </c>
      <c r="C47" s="2">
        <v>15</v>
      </c>
      <c r="D47" s="2">
        <v>14</v>
      </c>
      <c r="E47" s="2">
        <v>13</v>
      </c>
      <c r="F47" s="2">
        <v>3</v>
      </c>
      <c r="G47" s="2">
        <v>3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</row>
    <row r="48" spans="1:22" s="1" customFormat="1">
      <c r="A48" s="3">
        <v>45357</v>
      </c>
      <c r="B48" s="2" t="s">
        <v>24</v>
      </c>
      <c r="C48" s="2">
        <v>14</v>
      </c>
      <c r="D48" s="2">
        <v>13</v>
      </c>
      <c r="E48" s="2">
        <v>12</v>
      </c>
      <c r="F48" s="2">
        <v>2</v>
      </c>
      <c r="G48" s="2">
        <v>2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</row>
    <row r="49" spans="1:22" s="1" customFormat="1">
      <c r="A49" s="3">
        <v>45358</v>
      </c>
      <c r="B49" s="2" t="s">
        <v>25</v>
      </c>
      <c r="C49" s="2">
        <v>13</v>
      </c>
      <c r="D49" s="2">
        <v>12</v>
      </c>
      <c r="E49" s="2">
        <v>11</v>
      </c>
      <c r="F49" s="2">
        <v>1</v>
      </c>
      <c r="G49" s="2">
        <v>1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1112274.950789632</v>
      </c>
      <c r="R49" s="1">
        <v>474264.8194240102</v>
      </c>
      <c r="S49" s="1">
        <v>517044.5758450491</v>
      </c>
      <c r="T49" s="1">
        <v>983138.7992844158</v>
      </c>
      <c r="U49" s="1">
        <v>983138.7992844158</v>
      </c>
      <c r="V49" s="1">
        <v>658964.7608871171</v>
      </c>
    </row>
    <row r="50" spans="1:22" s="1" customFormat="1">
      <c r="A50" s="3">
        <v>45362</v>
      </c>
      <c r="B50" s="2" t="s">
        <v>22</v>
      </c>
      <c r="C50" s="2">
        <v>12</v>
      </c>
      <c r="D50" s="2">
        <v>11</v>
      </c>
      <c r="E50" s="2">
        <v>10</v>
      </c>
      <c r="F50" s="2">
        <v>4</v>
      </c>
      <c r="G50" s="2">
        <v>5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</row>
    <row r="51" spans="1:22" s="1" customFormat="1">
      <c r="A51" s="3">
        <v>45363</v>
      </c>
      <c r="B51" s="2" t="s">
        <v>23</v>
      </c>
      <c r="C51" s="2">
        <v>11</v>
      </c>
      <c r="D51" s="2">
        <v>10</v>
      </c>
      <c r="E51" s="2">
        <v>9</v>
      </c>
      <c r="F51" s="2">
        <v>3</v>
      </c>
      <c r="G51" s="2">
        <v>4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</row>
    <row r="52" spans="1:22" s="1" customFormat="1">
      <c r="A52" s="3">
        <v>45364</v>
      </c>
      <c r="B52" s="2" t="s">
        <v>24</v>
      </c>
      <c r="C52" s="2">
        <v>10</v>
      </c>
      <c r="D52" s="2">
        <v>9</v>
      </c>
      <c r="E52" s="2">
        <v>8</v>
      </c>
      <c r="F52" s="2">
        <v>2</v>
      </c>
      <c r="G52" s="2">
        <v>3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</row>
    <row r="53" spans="1:22" s="1" customFormat="1">
      <c r="A53" s="3">
        <v>45365</v>
      </c>
      <c r="B53" s="2" t="s">
        <v>25</v>
      </c>
      <c r="C53" s="2">
        <v>9</v>
      </c>
      <c r="D53" s="2">
        <v>8</v>
      </c>
      <c r="E53" s="2">
        <v>7</v>
      </c>
      <c r="F53" s="2">
        <v>1</v>
      </c>
      <c r="G53" s="2">
        <v>2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-436433.2021224089</v>
      </c>
      <c r="R53" s="1">
        <v>-436433.2021224089</v>
      </c>
      <c r="S53" s="1">
        <v>-617240.7746790691</v>
      </c>
      <c r="T53" s="1">
        <v>0</v>
      </c>
      <c r="U53" s="1">
        <v>0</v>
      </c>
      <c r="V53" s="1">
        <v>0</v>
      </c>
    </row>
    <row r="54" spans="1:22" s="1" customFormat="1">
      <c r="A54" s="3">
        <v>45366</v>
      </c>
      <c r="B54" s="2" t="s">
        <v>26</v>
      </c>
      <c r="C54" s="2">
        <v>8</v>
      </c>
      <c r="D54" s="2">
        <v>7</v>
      </c>
      <c r="E54" s="2">
        <v>6</v>
      </c>
      <c r="F54" s="2">
        <v>5</v>
      </c>
      <c r="G54" s="2">
        <v>1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729155.3390414906</v>
      </c>
      <c r="U54" s="1">
        <v>633854.2651566733</v>
      </c>
      <c r="V54" s="1">
        <v>491212.6621309308</v>
      </c>
    </row>
    <row r="55" spans="1:22" s="1" customFormat="1">
      <c r="A55" s="3">
        <v>45369</v>
      </c>
      <c r="B55" s="2" t="s">
        <v>22</v>
      </c>
      <c r="C55" s="2">
        <v>7</v>
      </c>
      <c r="D55" s="2">
        <v>6</v>
      </c>
      <c r="E55" s="2">
        <v>5</v>
      </c>
      <c r="F55" s="2">
        <v>4</v>
      </c>
      <c r="G55" s="2">
        <v>5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</row>
    <row r="56" spans="1:22" s="1" customFormat="1">
      <c r="A56" s="3">
        <v>45370</v>
      </c>
      <c r="B56" s="2" t="s">
        <v>23</v>
      </c>
      <c r="C56" s="2">
        <v>6</v>
      </c>
      <c r="D56" s="2">
        <v>5</v>
      </c>
      <c r="E56" s="2">
        <v>4</v>
      </c>
      <c r="F56" s="2">
        <v>3</v>
      </c>
      <c r="G56" s="2">
        <v>4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</row>
    <row r="57" spans="1:22" s="1" customFormat="1">
      <c r="A57" s="3">
        <v>45371</v>
      </c>
      <c r="B57" s="2" t="s">
        <v>24</v>
      </c>
      <c r="C57" s="2">
        <v>5</v>
      </c>
      <c r="D57" s="2">
        <v>4</v>
      </c>
      <c r="E57" s="2">
        <v>3</v>
      </c>
      <c r="F57" s="2">
        <v>2</v>
      </c>
      <c r="G57" s="2">
        <v>3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</row>
    <row r="58" spans="1:22" s="1" customFormat="1">
      <c r="A58" s="3">
        <v>45372</v>
      </c>
      <c r="B58" s="2" t="s">
        <v>25</v>
      </c>
      <c r="C58" s="2">
        <v>4</v>
      </c>
      <c r="D58" s="2">
        <v>3</v>
      </c>
      <c r="E58" s="2">
        <v>2</v>
      </c>
      <c r="F58" s="2">
        <v>1</v>
      </c>
      <c r="G58" s="2">
        <v>2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623804.3025474844</v>
      </c>
      <c r="R58" s="1">
        <v>303476.6371434255</v>
      </c>
      <c r="S58" s="1">
        <v>582900.4943401456</v>
      </c>
      <c r="T58" s="1">
        <v>0</v>
      </c>
      <c r="U58" s="1">
        <v>0</v>
      </c>
      <c r="V58" s="1">
        <v>0</v>
      </c>
    </row>
    <row r="59" spans="1:22" s="1" customFormat="1">
      <c r="A59" s="3">
        <v>45373</v>
      </c>
      <c r="B59" s="2" t="s">
        <v>26</v>
      </c>
      <c r="C59" s="2">
        <v>3</v>
      </c>
      <c r="D59" s="2">
        <v>2</v>
      </c>
      <c r="E59" s="2">
        <v>1</v>
      </c>
      <c r="F59" s="2">
        <v>4</v>
      </c>
      <c r="G59" s="2">
        <v>1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-352399.8851059274</v>
      </c>
      <c r="U59" s="1">
        <v>314509.300240885</v>
      </c>
      <c r="V59" s="1">
        <v>-107581.8916959563</v>
      </c>
    </row>
    <row r="60" spans="1:22" s="1" customFormat="1">
      <c r="A60" s="3">
        <v>45377</v>
      </c>
      <c r="B60" s="2" t="s">
        <v>23</v>
      </c>
      <c r="C60" s="2">
        <v>2</v>
      </c>
      <c r="D60" s="2">
        <v>1</v>
      </c>
      <c r="E60" s="2">
        <v>22</v>
      </c>
      <c r="F60" s="2">
        <v>3</v>
      </c>
      <c r="G60" s="2">
        <v>3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</row>
    <row r="61" spans="1:22" s="1" customFormat="1">
      <c r="A61" s="3">
        <v>45378</v>
      </c>
      <c r="B61" s="2" t="s">
        <v>24</v>
      </c>
      <c r="C61" s="2">
        <v>1</v>
      </c>
      <c r="D61" s="2">
        <v>22</v>
      </c>
      <c r="E61" s="2">
        <v>21</v>
      </c>
      <c r="F61" s="2">
        <v>2</v>
      </c>
      <c r="G61" s="2">
        <v>2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</row>
    <row r="62" spans="1:22" s="1" customFormat="1">
      <c r="A62" s="3">
        <v>45379</v>
      </c>
      <c r="B62" s="2" t="s">
        <v>25</v>
      </c>
      <c r="C62" s="2">
        <v>21</v>
      </c>
      <c r="D62" s="2">
        <v>21</v>
      </c>
      <c r="E62" s="2">
        <v>20</v>
      </c>
      <c r="F62" s="2">
        <v>1</v>
      </c>
      <c r="G62" s="2">
        <v>1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299169.3969012317</v>
      </c>
      <c r="R62" s="1">
        <v>299169.3969012317</v>
      </c>
      <c r="S62" s="1">
        <v>205830.9251992682</v>
      </c>
      <c r="T62" s="1">
        <v>121404.4478672682</v>
      </c>
      <c r="U62" s="1">
        <v>121404.4478672682</v>
      </c>
      <c r="V62" s="1">
        <v>121404.4478672682</v>
      </c>
    </row>
    <row r="63" spans="1:22" s="1" customFormat="1">
      <c r="A63" s="3">
        <v>45383</v>
      </c>
      <c r="B63" s="2" t="s">
        <v>22</v>
      </c>
      <c r="C63" s="2">
        <v>20</v>
      </c>
      <c r="D63" s="2">
        <v>20</v>
      </c>
      <c r="E63" s="2">
        <v>19</v>
      </c>
      <c r="F63" s="2">
        <v>4</v>
      </c>
      <c r="G63" s="2">
        <v>5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</row>
    <row r="64" spans="1:22" s="1" customFormat="1">
      <c r="A64" s="3">
        <v>45384</v>
      </c>
      <c r="B64" s="2" t="s">
        <v>23</v>
      </c>
      <c r="C64" s="2">
        <v>19</v>
      </c>
      <c r="D64" s="2">
        <v>19</v>
      </c>
      <c r="E64" s="2">
        <v>18</v>
      </c>
      <c r="F64" s="2">
        <v>3</v>
      </c>
      <c r="G64" s="2">
        <v>4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</row>
    <row r="65" spans="1:22" s="1" customFormat="1">
      <c r="A65" s="3">
        <v>45385</v>
      </c>
      <c r="B65" s="2" t="s">
        <v>24</v>
      </c>
      <c r="C65" s="2">
        <v>18</v>
      </c>
      <c r="D65" s="2">
        <v>18</v>
      </c>
      <c r="E65" s="2">
        <v>17</v>
      </c>
      <c r="F65" s="2">
        <v>2</v>
      </c>
      <c r="G65" s="2">
        <v>3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</row>
    <row r="66" spans="1:22" s="1" customFormat="1">
      <c r="A66" s="3">
        <v>45386</v>
      </c>
      <c r="B66" s="2" t="s">
        <v>25</v>
      </c>
      <c r="C66" s="2">
        <v>17</v>
      </c>
      <c r="D66" s="2">
        <v>17</v>
      </c>
      <c r="E66" s="2">
        <v>16</v>
      </c>
      <c r="F66" s="2">
        <v>1</v>
      </c>
      <c r="G66" s="2">
        <v>2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-578200.1950774172</v>
      </c>
      <c r="R66" s="1">
        <v>-578200.1950774172</v>
      </c>
      <c r="S66" s="1">
        <v>-75877.04439870328</v>
      </c>
      <c r="T66" s="1">
        <v>0</v>
      </c>
      <c r="U66" s="1">
        <v>0</v>
      </c>
      <c r="V66" s="1">
        <v>0</v>
      </c>
    </row>
    <row r="67" spans="1:22" s="1" customFormat="1">
      <c r="A67" s="3">
        <v>45387</v>
      </c>
      <c r="B67" s="2" t="s">
        <v>26</v>
      </c>
      <c r="C67" s="2">
        <v>16</v>
      </c>
      <c r="D67" s="2">
        <v>16</v>
      </c>
      <c r="E67" s="2">
        <v>15</v>
      </c>
      <c r="F67" s="2">
        <v>4</v>
      </c>
      <c r="G67" s="2">
        <v>1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726792.93275146</v>
      </c>
      <c r="U67" s="1">
        <v>808280.3926133515</v>
      </c>
      <c r="V67" s="1">
        <v>593731.7290563371</v>
      </c>
    </row>
    <row r="68" spans="1:22" s="1" customFormat="1">
      <c r="A68" s="3">
        <v>45390</v>
      </c>
      <c r="B68" s="2" t="s">
        <v>22</v>
      </c>
      <c r="C68" s="2">
        <v>15</v>
      </c>
      <c r="D68" s="2">
        <v>15</v>
      </c>
      <c r="E68" s="2">
        <v>14</v>
      </c>
      <c r="F68" s="2">
        <v>3</v>
      </c>
      <c r="G68" s="2">
        <v>4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</row>
    <row r="69" spans="1:22" s="1" customFormat="1">
      <c r="A69" s="3">
        <v>45391</v>
      </c>
      <c r="B69" s="2" t="s">
        <v>23</v>
      </c>
      <c r="C69" s="2">
        <v>14</v>
      </c>
      <c r="D69" s="2">
        <v>14</v>
      </c>
      <c r="E69" s="2">
        <v>13</v>
      </c>
      <c r="F69" s="2">
        <v>2</v>
      </c>
      <c r="G69" s="2">
        <v>3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</row>
    <row r="70" spans="1:22" s="1" customFormat="1">
      <c r="A70" s="3">
        <v>45392</v>
      </c>
      <c r="B70" s="2" t="s">
        <v>24</v>
      </c>
      <c r="C70" s="2">
        <v>13</v>
      </c>
      <c r="D70" s="2">
        <v>13</v>
      </c>
      <c r="E70" s="2">
        <v>12</v>
      </c>
      <c r="F70" s="2">
        <v>1</v>
      </c>
      <c r="G70" s="2">
        <v>2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522590.6864545658</v>
      </c>
      <c r="R70" s="1">
        <v>522590.6864545658</v>
      </c>
      <c r="S70" s="1">
        <v>605256.1626418827</v>
      </c>
      <c r="T70" s="1">
        <v>0</v>
      </c>
      <c r="U70" s="1">
        <v>0</v>
      </c>
      <c r="V70" s="1">
        <v>0</v>
      </c>
    </row>
    <row r="71" spans="1:22" s="1" customFormat="1">
      <c r="A71" s="3">
        <v>45394</v>
      </c>
      <c r="B71" s="2" t="s">
        <v>26</v>
      </c>
      <c r="C71" s="2">
        <v>12</v>
      </c>
      <c r="D71" s="2">
        <v>12</v>
      </c>
      <c r="E71" s="2">
        <v>11</v>
      </c>
      <c r="F71" s="2">
        <v>4</v>
      </c>
      <c r="G71" s="2">
        <v>1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615031.290051473</v>
      </c>
      <c r="U71" s="1">
        <v>615031.290051473</v>
      </c>
      <c r="V71" s="1">
        <v>-215708.7164330192</v>
      </c>
    </row>
    <row r="72" spans="1:22" s="1" customFormat="1">
      <c r="A72" s="3">
        <v>45397</v>
      </c>
      <c r="B72" s="2" t="s">
        <v>22</v>
      </c>
      <c r="C72" s="2">
        <v>11</v>
      </c>
      <c r="D72" s="2">
        <v>11</v>
      </c>
      <c r="E72" s="2">
        <v>10</v>
      </c>
      <c r="F72" s="2">
        <v>3</v>
      </c>
      <c r="G72" s="2">
        <v>4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</row>
    <row r="73" spans="1:22" s="1" customFormat="1">
      <c r="A73" s="3">
        <v>45398</v>
      </c>
      <c r="B73" s="2" t="s">
        <v>23</v>
      </c>
      <c r="C73" s="2">
        <v>10</v>
      </c>
      <c r="D73" s="2">
        <v>10</v>
      </c>
      <c r="E73" s="2">
        <v>9</v>
      </c>
      <c r="F73" s="2">
        <v>2</v>
      </c>
      <c r="G73" s="2">
        <v>3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</row>
    <row r="74" spans="1:22" s="1" customFormat="1">
      <c r="A74" s="3">
        <v>45400</v>
      </c>
      <c r="B74" s="2" t="s">
        <v>25</v>
      </c>
      <c r="C74" s="2">
        <v>9</v>
      </c>
      <c r="D74" s="2">
        <v>9</v>
      </c>
      <c r="E74" s="2">
        <v>8</v>
      </c>
      <c r="F74" s="2">
        <v>1</v>
      </c>
      <c r="G74" s="2">
        <v>2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-1635129.905507956</v>
      </c>
      <c r="R74" s="1">
        <v>-1635129.905507956</v>
      </c>
      <c r="S74" s="1">
        <v>-1360562.204558224</v>
      </c>
      <c r="T74" s="1">
        <v>0</v>
      </c>
      <c r="U74" s="1">
        <v>0</v>
      </c>
      <c r="V74" s="1">
        <v>0</v>
      </c>
    </row>
    <row r="75" spans="1:22" s="1" customFormat="1">
      <c r="A75" s="3">
        <v>45401</v>
      </c>
      <c r="B75" s="2" t="s">
        <v>26</v>
      </c>
      <c r="C75" s="2">
        <v>8</v>
      </c>
      <c r="D75" s="2">
        <v>8</v>
      </c>
      <c r="E75" s="2">
        <v>7</v>
      </c>
      <c r="F75" s="2">
        <v>5</v>
      </c>
      <c r="G75" s="2">
        <v>1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-750188.4944575097</v>
      </c>
      <c r="U75" s="1">
        <v>-750188.4944575097</v>
      </c>
      <c r="V75" s="1">
        <v>-709179.0709582544</v>
      </c>
    </row>
    <row r="76" spans="1:22" s="1" customFormat="1">
      <c r="A76" s="3">
        <v>45404</v>
      </c>
      <c r="B76" s="2" t="s">
        <v>22</v>
      </c>
      <c r="C76" s="2">
        <v>7</v>
      </c>
      <c r="D76" s="2">
        <v>7</v>
      </c>
      <c r="E76" s="2">
        <v>6</v>
      </c>
      <c r="F76" s="2">
        <v>4</v>
      </c>
      <c r="G76" s="2">
        <v>5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</row>
    <row r="77" spans="1:22" s="1" customFormat="1">
      <c r="A77" s="3">
        <v>45405</v>
      </c>
      <c r="B77" s="2" t="s">
        <v>23</v>
      </c>
      <c r="C77" s="2">
        <v>6</v>
      </c>
      <c r="D77" s="2">
        <v>6</v>
      </c>
      <c r="E77" s="2">
        <v>5</v>
      </c>
      <c r="F77" s="2">
        <v>3</v>
      </c>
      <c r="G77" s="2">
        <v>4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</row>
    <row r="78" spans="1:22" s="1" customFormat="1">
      <c r="A78" s="3">
        <v>45406</v>
      </c>
      <c r="B78" s="2" t="s">
        <v>24</v>
      </c>
      <c r="C78" s="2">
        <v>5</v>
      </c>
      <c r="D78" s="2">
        <v>5</v>
      </c>
      <c r="E78" s="2">
        <v>4</v>
      </c>
      <c r="F78" s="2">
        <v>2</v>
      </c>
      <c r="G78" s="2">
        <v>3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</row>
    <row r="79" spans="1:22" s="1" customFormat="1">
      <c r="A79" s="3">
        <v>45407</v>
      </c>
      <c r="B79" s="2" t="s">
        <v>25</v>
      </c>
      <c r="C79" s="2">
        <v>4</v>
      </c>
      <c r="D79" s="2">
        <v>4</v>
      </c>
      <c r="E79" s="2">
        <v>3</v>
      </c>
      <c r="F79" s="2">
        <v>1</v>
      </c>
      <c r="G79" s="2">
        <v>2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-98068.83103702823</v>
      </c>
      <c r="R79" s="1">
        <v>37166.52100464479</v>
      </c>
      <c r="S79" s="1">
        <v>-82210.84214348541</v>
      </c>
      <c r="T79" s="1">
        <v>0</v>
      </c>
      <c r="U79" s="1">
        <v>0</v>
      </c>
      <c r="V79" s="1">
        <v>0</v>
      </c>
    </row>
    <row r="80" spans="1:22" s="1" customFormat="1">
      <c r="A80" s="3">
        <v>45408</v>
      </c>
      <c r="B80" s="2" t="s">
        <v>26</v>
      </c>
      <c r="C80" s="2">
        <v>3</v>
      </c>
      <c r="D80" s="2">
        <v>3</v>
      </c>
      <c r="E80" s="2">
        <v>2</v>
      </c>
      <c r="F80" s="2">
        <v>4</v>
      </c>
      <c r="G80" s="2">
        <v>1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827485.2698436962</v>
      </c>
      <c r="U80" s="1">
        <v>399585.8435713631</v>
      </c>
      <c r="V80" s="1">
        <v>593585.6746980441</v>
      </c>
    </row>
    <row r="81" spans="1:22" s="1" customFormat="1">
      <c r="A81" s="3">
        <v>45411</v>
      </c>
      <c r="B81" s="2" t="s">
        <v>22</v>
      </c>
      <c r="C81" s="2">
        <v>2</v>
      </c>
      <c r="D81" s="2">
        <v>2</v>
      </c>
      <c r="E81" s="2">
        <v>1</v>
      </c>
      <c r="F81" s="2">
        <v>3</v>
      </c>
      <c r="G81" s="2">
        <v>4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</row>
    <row r="82" spans="1:22" s="1" customFormat="1">
      <c r="A82" s="3">
        <v>45412</v>
      </c>
      <c r="B82" s="2" t="s">
        <v>23</v>
      </c>
      <c r="C82" s="2">
        <v>1</v>
      </c>
      <c r="D82" s="2">
        <v>1</v>
      </c>
      <c r="E82" s="2">
        <v>18</v>
      </c>
      <c r="F82" s="2">
        <v>2</v>
      </c>
      <c r="G82" s="2">
        <v>3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</row>
    <row r="83" spans="1:22" s="1" customFormat="1">
      <c r="A83" s="3">
        <v>45414</v>
      </c>
      <c r="B83" s="2" t="s">
        <v>25</v>
      </c>
      <c r="C83" s="2">
        <v>19</v>
      </c>
      <c r="D83" s="2">
        <v>18</v>
      </c>
      <c r="E83" s="2">
        <v>17</v>
      </c>
      <c r="F83" s="2">
        <v>1</v>
      </c>
      <c r="G83" s="2">
        <v>2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615849.9235534916</v>
      </c>
      <c r="R83" s="1">
        <v>615849.9235534916</v>
      </c>
      <c r="S83" s="1">
        <v>370040.444450192</v>
      </c>
      <c r="T83" s="1">
        <v>0</v>
      </c>
      <c r="U83" s="1">
        <v>0</v>
      </c>
      <c r="V83" s="1">
        <v>0</v>
      </c>
    </row>
    <row r="84" spans="1:22" s="1" customFormat="1">
      <c r="A84" s="3">
        <v>45415</v>
      </c>
      <c r="B84" s="2" t="s">
        <v>26</v>
      </c>
      <c r="C84" s="2">
        <v>18</v>
      </c>
      <c r="D84" s="2">
        <v>17</v>
      </c>
      <c r="E84" s="2">
        <v>16</v>
      </c>
      <c r="F84" s="2">
        <v>5</v>
      </c>
      <c r="G84" s="2">
        <v>1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102205.7166670758</v>
      </c>
      <c r="U84" s="1">
        <v>102205.7166670758</v>
      </c>
      <c r="V84" s="1">
        <v>7457.602978959253</v>
      </c>
    </row>
    <row r="85" spans="1:22" s="1" customFormat="1">
      <c r="A85" s="3">
        <v>45418</v>
      </c>
      <c r="B85" s="2" t="s">
        <v>22</v>
      </c>
      <c r="C85" s="2">
        <v>17</v>
      </c>
      <c r="D85" s="2">
        <v>16</v>
      </c>
      <c r="E85" s="2">
        <v>15</v>
      </c>
      <c r="F85" s="2">
        <v>4</v>
      </c>
      <c r="G85" s="2">
        <v>5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</row>
    <row r="86" spans="1:22" s="1" customFormat="1">
      <c r="A86" s="3">
        <v>45419</v>
      </c>
      <c r="B86" s="2" t="s">
        <v>23</v>
      </c>
      <c r="C86" s="2">
        <v>16</v>
      </c>
      <c r="D86" s="2">
        <v>15</v>
      </c>
      <c r="E86" s="2">
        <v>14</v>
      </c>
      <c r="F86" s="2">
        <v>3</v>
      </c>
      <c r="G86" s="2">
        <v>4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</row>
    <row r="87" spans="1:22" s="1" customFormat="1">
      <c r="A87" s="3">
        <v>45420</v>
      </c>
      <c r="B87" s="2" t="s">
        <v>24</v>
      </c>
      <c r="C87" s="2">
        <v>15</v>
      </c>
      <c r="D87" s="2">
        <v>14</v>
      </c>
      <c r="E87" s="2">
        <v>13</v>
      </c>
      <c r="F87" s="2">
        <v>2</v>
      </c>
      <c r="G87" s="2">
        <v>3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</row>
    <row r="88" spans="1:22" s="1" customFormat="1">
      <c r="A88" s="3">
        <v>45421</v>
      </c>
      <c r="B88" s="2" t="s">
        <v>25</v>
      </c>
      <c r="C88" s="2">
        <v>14</v>
      </c>
      <c r="D88" s="2">
        <v>13</v>
      </c>
      <c r="E88" s="2">
        <v>12</v>
      </c>
      <c r="F88" s="2">
        <v>1</v>
      </c>
      <c r="G88" s="2">
        <v>2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-115947.5298564874</v>
      </c>
      <c r="R88" s="1">
        <v>-178080.3713260343</v>
      </c>
      <c r="S88" s="1">
        <v>123138.4615630892</v>
      </c>
      <c r="T88" s="1">
        <v>0</v>
      </c>
      <c r="U88" s="1">
        <v>0</v>
      </c>
      <c r="V88" s="1">
        <v>0</v>
      </c>
    </row>
    <row r="89" spans="1:22" s="1" customFormat="1">
      <c r="A89" s="3">
        <v>45422</v>
      </c>
      <c r="B89" s="2" t="s">
        <v>26</v>
      </c>
      <c r="C89" s="2">
        <v>13</v>
      </c>
      <c r="D89" s="2">
        <v>12</v>
      </c>
      <c r="E89" s="2">
        <v>11</v>
      </c>
      <c r="F89" s="2">
        <v>5</v>
      </c>
      <c r="G89" s="2">
        <v>1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457192.433449136</v>
      </c>
      <c r="U89" s="1">
        <v>539704.8930025254</v>
      </c>
      <c r="V89" s="1">
        <v>312785.9729633145</v>
      </c>
    </row>
    <row r="90" spans="1:22" s="1" customFormat="1">
      <c r="A90" s="3">
        <v>45425</v>
      </c>
      <c r="B90" s="2" t="s">
        <v>22</v>
      </c>
      <c r="C90" s="2">
        <v>12</v>
      </c>
      <c r="D90" s="2">
        <v>11</v>
      </c>
      <c r="E90" s="2">
        <v>10</v>
      </c>
      <c r="F90" s="2">
        <v>4</v>
      </c>
      <c r="G90" s="2">
        <v>5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</row>
    <row r="91" spans="1:22" s="1" customFormat="1">
      <c r="A91" s="3">
        <v>45426</v>
      </c>
      <c r="B91" s="2" t="s">
        <v>23</v>
      </c>
      <c r="C91" s="2">
        <v>11</v>
      </c>
      <c r="D91" s="2">
        <v>10</v>
      </c>
      <c r="E91" s="2">
        <v>9</v>
      </c>
      <c r="F91" s="2">
        <v>3</v>
      </c>
      <c r="G91" s="2">
        <v>4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</row>
    <row r="92" spans="1:22" s="1" customFormat="1">
      <c r="A92" s="3">
        <v>45427</v>
      </c>
      <c r="B92" s="2" t="s">
        <v>24</v>
      </c>
      <c r="C92" s="2">
        <v>10</v>
      </c>
      <c r="D92" s="2">
        <v>9</v>
      </c>
      <c r="E92" s="2">
        <v>8</v>
      </c>
      <c r="F92" s="2">
        <v>2</v>
      </c>
      <c r="G92" s="2">
        <v>3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</row>
    <row r="93" spans="1:22" s="1" customFormat="1">
      <c r="A93" s="3">
        <v>45428</v>
      </c>
      <c r="B93" s="2" t="s">
        <v>25</v>
      </c>
      <c r="C93" s="2">
        <v>9</v>
      </c>
      <c r="D93" s="2">
        <v>8</v>
      </c>
      <c r="E93" s="2">
        <v>7</v>
      </c>
      <c r="F93" s="2">
        <v>1</v>
      </c>
      <c r="G93" s="2">
        <v>2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-106412.9558261494</v>
      </c>
      <c r="R93" s="1">
        <v>-125272.4681672409</v>
      </c>
      <c r="S93" s="1">
        <v>2590.673575647684</v>
      </c>
      <c r="T93" s="1">
        <v>0</v>
      </c>
      <c r="U93" s="1">
        <v>0</v>
      </c>
      <c r="V93" s="1">
        <v>0</v>
      </c>
    </row>
    <row r="94" spans="1:22" s="1" customFormat="1">
      <c r="A94" s="3">
        <v>45429</v>
      </c>
      <c r="B94" s="2" t="s">
        <v>26</v>
      </c>
      <c r="C94" s="2">
        <v>8</v>
      </c>
      <c r="D94" s="2">
        <v>7</v>
      </c>
      <c r="E94" s="2">
        <v>6</v>
      </c>
      <c r="F94" s="2">
        <v>4</v>
      </c>
      <c r="G94" s="2">
        <v>1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654529.7671714582</v>
      </c>
      <c r="U94" s="1">
        <v>781487.4749710769</v>
      </c>
      <c r="V94" s="1">
        <v>521461.1959847548</v>
      </c>
    </row>
    <row r="95" spans="1:22" s="1" customFormat="1">
      <c r="A95" s="3">
        <v>45433</v>
      </c>
      <c r="B95" s="2" t="s">
        <v>23</v>
      </c>
      <c r="C95" s="2">
        <v>7</v>
      </c>
      <c r="D95" s="2">
        <v>6</v>
      </c>
      <c r="E95" s="2">
        <v>5</v>
      </c>
      <c r="F95" s="2">
        <v>3</v>
      </c>
      <c r="G95" s="2">
        <v>4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</row>
    <row r="96" spans="1:22" s="1" customFormat="1">
      <c r="A96" s="3">
        <v>45434</v>
      </c>
      <c r="B96" s="2" t="s">
        <v>24</v>
      </c>
      <c r="C96" s="2">
        <v>6</v>
      </c>
      <c r="D96" s="2">
        <v>5</v>
      </c>
      <c r="E96" s="2">
        <v>4</v>
      </c>
      <c r="F96" s="2">
        <v>2</v>
      </c>
      <c r="G96" s="2">
        <v>3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</row>
    <row r="97" spans="1:22" s="1" customFormat="1">
      <c r="A97" s="3">
        <v>45435</v>
      </c>
      <c r="B97" s="2" t="s">
        <v>25</v>
      </c>
      <c r="C97" s="2">
        <v>5</v>
      </c>
      <c r="D97" s="2">
        <v>4</v>
      </c>
      <c r="E97" s="2">
        <v>3</v>
      </c>
      <c r="F97" s="2">
        <v>1</v>
      </c>
      <c r="G97" s="2">
        <v>2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250471.9171164722</v>
      </c>
      <c r="R97" s="1">
        <v>250471.9171164722</v>
      </c>
      <c r="S97" s="1">
        <v>-75465.69835745322</v>
      </c>
      <c r="T97" s="1">
        <v>0</v>
      </c>
      <c r="U97" s="1">
        <v>0</v>
      </c>
      <c r="V97" s="1">
        <v>0</v>
      </c>
    </row>
    <row r="98" spans="1:22" s="1" customFormat="1">
      <c r="A98" s="3">
        <v>45436</v>
      </c>
      <c r="B98" s="2" t="s">
        <v>26</v>
      </c>
      <c r="C98" s="2">
        <v>4</v>
      </c>
      <c r="D98" s="2">
        <v>3</v>
      </c>
      <c r="E98" s="2">
        <v>2</v>
      </c>
      <c r="F98" s="2">
        <v>5</v>
      </c>
      <c r="G98" s="2">
        <v>1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375499.3113698657</v>
      </c>
      <c r="U98" s="1">
        <v>375499.3113698657</v>
      </c>
      <c r="V98" s="1">
        <v>125151.2621846318</v>
      </c>
    </row>
    <row r="99" spans="1:22" s="1" customFormat="1">
      <c r="A99" s="3">
        <v>45439</v>
      </c>
      <c r="B99" s="2" t="s">
        <v>22</v>
      </c>
      <c r="C99" s="2">
        <v>3</v>
      </c>
      <c r="D99" s="2">
        <v>2</v>
      </c>
      <c r="E99" s="2">
        <v>1</v>
      </c>
      <c r="F99" s="2">
        <v>4</v>
      </c>
      <c r="G99" s="2">
        <v>5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</row>
    <row r="100" spans="1:22" s="1" customFormat="1">
      <c r="A100" s="3">
        <v>45440</v>
      </c>
      <c r="B100" s="2" t="s">
        <v>23</v>
      </c>
      <c r="C100" s="2">
        <v>2</v>
      </c>
      <c r="D100" s="2">
        <v>1</v>
      </c>
      <c r="E100" s="2">
        <v>19</v>
      </c>
      <c r="F100" s="2">
        <v>3</v>
      </c>
      <c r="G100" s="2">
        <v>4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</row>
    <row r="101" spans="1:22" s="1" customFormat="1">
      <c r="A101" s="3">
        <v>45441</v>
      </c>
      <c r="B101" s="2" t="s">
        <v>24</v>
      </c>
      <c r="C101" s="2">
        <v>1</v>
      </c>
      <c r="D101" s="2">
        <v>19</v>
      </c>
      <c r="E101" s="2">
        <v>18</v>
      </c>
      <c r="F101" s="2">
        <v>2</v>
      </c>
      <c r="G101" s="2">
        <v>3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</row>
    <row r="102" spans="1:22" s="1" customFormat="1">
      <c r="A102" s="3">
        <v>45442</v>
      </c>
      <c r="B102" s="2" t="s">
        <v>25</v>
      </c>
      <c r="C102" s="2">
        <v>19</v>
      </c>
      <c r="D102" s="2">
        <v>18</v>
      </c>
      <c r="E102" s="2">
        <v>17</v>
      </c>
      <c r="F102" s="2">
        <v>1</v>
      </c>
      <c r="G102" s="2">
        <v>2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380830.0077352945</v>
      </c>
      <c r="R102" s="1">
        <v>-72831.62113950231</v>
      </c>
      <c r="S102" s="1">
        <v>-50946.18659154318</v>
      </c>
      <c r="T102" s="1">
        <v>0</v>
      </c>
      <c r="U102" s="1">
        <v>0</v>
      </c>
      <c r="V102" s="1">
        <v>0</v>
      </c>
    </row>
    <row r="103" spans="1:22" s="1" customFormat="1">
      <c r="A103" s="3">
        <v>45443</v>
      </c>
      <c r="B103" s="2" t="s">
        <v>26</v>
      </c>
      <c r="C103" s="2">
        <v>18</v>
      </c>
      <c r="D103" s="2">
        <v>17</v>
      </c>
      <c r="E103" s="2">
        <v>16</v>
      </c>
      <c r="F103" s="2">
        <v>5</v>
      </c>
      <c r="G103" s="2">
        <v>1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-214024.4723996924</v>
      </c>
      <c r="U103" s="1">
        <v>-290706.435901858</v>
      </c>
      <c r="V103" s="1">
        <v>599024.9255598249</v>
      </c>
    </row>
    <row r="104" spans="1:22" s="1" customFormat="1">
      <c r="A104" s="3">
        <v>45446</v>
      </c>
      <c r="B104" s="2" t="s">
        <v>22</v>
      </c>
      <c r="C104" s="2">
        <v>17</v>
      </c>
      <c r="D104" s="2">
        <v>16</v>
      </c>
      <c r="E104" s="2">
        <v>15</v>
      </c>
      <c r="F104" s="2">
        <v>4</v>
      </c>
      <c r="G104" s="2">
        <v>5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</row>
    <row r="105" spans="1:22" s="1" customFormat="1">
      <c r="A105" s="3">
        <v>45447</v>
      </c>
      <c r="B105" s="2" t="s">
        <v>23</v>
      </c>
      <c r="C105" s="2">
        <v>16</v>
      </c>
      <c r="D105" s="2">
        <v>15</v>
      </c>
      <c r="E105" s="2">
        <v>14</v>
      </c>
      <c r="F105" s="2">
        <v>3</v>
      </c>
      <c r="G105" s="2">
        <v>4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</row>
    <row r="106" spans="1:22" s="1" customFormat="1">
      <c r="A106" s="3">
        <v>45448</v>
      </c>
      <c r="B106" s="2" t="s">
        <v>24</v>
      </c>
      <c r="C106" s="2">
        <v>15</v>
      </c>
      <c r="D106" s="2">
        <v>14</v>
      </c>
      <c r="E106" s="2">
        <v>13</v>
      </c>
      <c r="F106" s="2">
        <v>2</v>
      </c>
      <c r="G106" s="2">
        <v>3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</row>
    <row r="107" spans="1:22" s="1" customFormat="1">
      <c r="A107" s="3">
        <v>45449</v>
      </c>
      <c r="B107" s="2" t="s">
        <v>25</v>
      </c>
      <c r="C107" s="2">
        <v>14</v>
      </c>
      <c r="D107" s="2">
        <v>13</v>
      </c>
      <c r="E107" s="2">
        <v>12</v>
      </c>
      <c r="F107" s="2">
        <v>1</v>
      </c>
      <c r="G107" s="2">
        <v>2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-1001294.5629348</v>
      </c>
      <c r="R107" s="1">
        <v>-1953562.968219985</v>
      </c>
      <c r="S107" s="1">
        <v>0</v>
      </c>
      <c r="T107" s="1">
        <v>0</v>
      </c>
      <c r="U107" s="1">
        <v>0</v>
      </c>
      <c r="V107" s="1">
        <v>0</v>
      </c>
    </row>
    <row r="108" spans="1:22" s="1" customFormat="1">
      <c r="A108" s="3">
        <v>45450</v>
      </c>
      <c r="B108" s="2" t="s">
        <v>26</v>
      </c>
      <c r="C108" s="2">
        <v>13</v>
      </c>
      <c r="D108" s="2">
        <v>12</v>
      </c>
      <c r="E108" s="2">
        <v>11</v>
      </c>
      <c r="F108" s="2">
        <v>5</v>
      </c>
      <c r="G108" s="2">
        <v>1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-2430506.333077656</v>
      </c>
      <c r="U108" s="1">
        <v>770854.9736912933</v>
      </c>
      <c r="V108" s="1">
        <v>-88967.54035323129</v>
      </c>
    </row>
    <row r="109" spans="1:22" s="1" customFormat="1">
      <c r="A109" s="3">
        <v>45453</v>
      </c>
      <c r="B109" s="2" t="s">
        <v>22</v>
      </c>
      <c r="C109" s="2">
        <v>12</v>
      </c>
      <c r="D109" s="2">
        <v>11</v>
      </c>
      <c r="E109" s="2">
        <v>10</v>
      </c>
      <c r="F109" s="2">
        <v>4</v>
      </c>
      <c r="G109" s="2">
        <v>5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</row>
    <row r="110" spans="1:22" s="1" customFormat="1">
      <c r="A110" s="3">
        <v>45454</v>
      </c>
      <c r="B110" s="2" t="s">
        <v>23</v>
      </c>
      <c r="C110" s="2">
        <v>11</v>
      </c>
      <c r="D110" s="2">
        <v>10</v>
      </c>
      <c r="E110" s="2">
        <v>9</v>
      </c>
      <c r="F110" s="2">
        <v>3</v>
      </c>
      <c r="G110" s="2">
        <v>4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</row>
    <row r="111" spans="1:22" s="1" customFormat="1">
      <c r="A111" s="3">
        <v>45455</v>
      </c>
      <c r="B111" s="2" t="s">
        <v>24</v>
      </c>
      <c r="C111" s="2">
        <v>10</v>
      </c>
      <c r="D111" s="2">
        <v>9</v>
      </c>
      <c r="E111" s="2">
        <v>8</v>
      </c>
      <c r="F111" s="2">
        <v>2</v>
      </c>
      <c r="G111" s="2">
        <v>3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</row>
    <row r="112" spans="1:22" s="1" customFormat="1">
      <c r="A112" s="3">
        <v>45456</v>
      </c>
      <c r="B112" s="2" t="s">
        <v>25</v>
      </c>
      <c r="C112" s="2">
        <v>9</v>
      </c>
      <c r="D112" s="2">
        <v>8</v>
      </c>
      <c r="E112" s="2">
        <v>7</v>
      </c>
      <c r="F112" s="2">
        <v>1</v>
      </c>
      <c r="G112" s="2">
        <v>2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1131043.400157384</v>
      </c>
      <c r="R112" s="1">
        <v>1131839.902873881</v>
      </c>
      <c r="S112" s="1">
        <v>759588.2980983845</v>
      </c>
      <c r="T112" s="1">
        <v>0</v>
      </c>
      <c r="U112" s="1">
        <v>0</v>
      </c>
      <c r="V112" s="1">
        <v>0</v>
      </c>
    </row>
    <row r="113" spans="1:22" s="1" customFormat="1">
      <c r="A113" s="3">
        <v>45457</v>
      </c>
      <c r="B113" s="2" t="s">
        <v>26</v>
      </c>
      <c r="C113" s="2">
        <v>8</v>
      </c>
      <c r="D113" s="2">
        <v>7</v>
      </c>
      <c r="E113" s="2">
        <v>6</v>
      </c>
      <c r="F113" s="2">
        <v>4</v>
      </c>
      <c r="G113" s="2">
        <v>1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1380477.434666337</v>
      </c>
      <c r="U113" s="1">
        <v>963538.542938547</v>
      </c>
      <c r="V113" s="1">
        <v>693397.0527448277</v>
      </c>
    </row>
    <row r="114" spans="1:22" s="1" customFormat="1">
      <c r="A114" s="3">
        <v>45461</v>
      </c>
      <c r="B114" s="2" t="s">
        <v>23</v>
      </c>
      <c r="C114" s="2">
        <v>7</v>
      </c>
      <c r="D114" s="2">
        <v>6</v>
      </c>
      <c r="E114" s="2">
        <v>5</v>
      </c>
      <c r="F114" s="2">
        <v>3</v>
      </c>
      <c r="G114" s="2">
        <v>4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</row>
    <row r="115" spans="1:22" s="1" customFormat="1">
      <c r="A115" s="3">
        <v>45462</v>
      </c>
      <c r="B115" s="2" t="s">
        <v>24</v>
      </c>
      <c r="C115" s="2">
        <v>6</v>
      </c>
      <c r="D115" s="2">
        <v>5</v>
      </c>
      <c r="E115" s="2">
        <v>4</v>
      </c>
      <c r="F115" s="2">
        <v>2</v>
      </c>
      <c r="G115" s="2">
        <v>3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</row>
    <row r="116" spans="1:22" s="1" customFormat="1">
      <c r="A116" s="3">
        <v>45463</v>
      </c>
      <c r="B116" s="2" t="s">
        <v>25</v>
      </c>
      <c r="C116" s="2">
        <v>5</v>
      </c>
      <c r="D116" s="2">
        <v>4</v>
      </c>
      <c r="E116" s="2">
        <v>3</v>
      </c>
      <c r="F116" s="2">
        <v>1</v>
      </c>
      <c r="G116" s="2">
        <v>2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257346.2572643378</v>
      </c>
      <c r="R116" s="1">
        <v>257346.2572643378</v>
      </c>
      <c r="S116" s="1">
        <v>486976.4012773363</v>
      </c>
      <c r="T116" s="1">
        <v>0</v>
      </c>
      <c r="U116" s="1">
        <v>0</v>
      </c>
      <c r="V116" s="1">
        <v>0</v>
      </c>
    </row>
    <row r="117" spans="1:22" s="1" customFormat="1">
      <c r="A117" s="3">
        <v>45464</v>
      </c>
      <c r="B117" s="2" t="s">
        <v>26</v>
      </c>
      <c r="C117" s="2">
        <v>4</v>
      </c>
      <c r="D117" s="2">
        <v>3</v>
      </c>
      <c r="E117" s="2">
        <v>2</v>
      </c>
      <c r="F117" s="2">
        <v>5</v>
      </c>
      <c r="G117" s="2">
        <v>1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205552.8056929127</v>
      </c>
      <c r="U117" s="1">
        <v>205552.8056929127</v>
      </c>
      <c r="V117" s="1">
        <v>155900.182762338</v>
      </c>
    </row>
    <row r="118" spans="1:22" s="1" customFormat="1">
      <c r="A118" s="3">
        <v>45467</v>
      </c>
      <c r="B118" s="2" t="s">
        <v>22</v>
      </c>
      <c r="C118" s="2">
        <v>3</v>
      </c>
      <c r="D118" s="2">
        <v>2</v>
      </c>
      <c r="E118" s="2">
        <v>1</v>
      </c>
      <c r="F118" s="2">
        <v>4</v>
      </c>
      <c r="G118" s="2">
        <v>5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</row>
    <row r="119" spans="1:22" s="1" customFormat="1">
      <c r="A119" s="3">
        <v>45468</v>
      </c>
      <c r="B119" s="2" t="s">
        <v>23</v>
      </c>
      <c r="C119" s="2">
        <v>2</v>
      </c>
      <c r="D119" s="2">
        <v>1</v>
      </c>
      <c r="E119" s="2">
        <v>24</v>
      </c>
      <c r="F119" s="2">
        <v>3</v>
      </c>
      <c r="G119" s="2">
        <v>4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</row>
    <row r="120" spans="1:22" s="1" customFormat="1">
      <c r="A120" s="3">
        <v>45469</v>
      </c>
      <c r="B120" s="2" t="s">
        <v>24</v>
      </c>
      <c r="C120" s="2">
        <v>1</v>
      </c>
      <c r="D120" s="2">
        <v>24</v>
      </c>
      <c r="E120" s="2">
        <v>23</v>
      </c>
      <c r="F120" s="2">
        <v>2</v>
      </c>
      <c r="G120" s="2">
        <v>3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</row>
    <row r="121" spans="1:22" s="1" customFormat="1">
      <c r="A121" s="3">
        <v>45470</v>
      </c>
      <c r="B121" s="2" t="s">
        <v>25</v>
      </c>
      <c r="C121" s="2">
        <v>24</v>
      </c>
      <c r="D121" s="2">
        <v>23</v>
      </c>
      <c r="E121" s="2">
        <v>22</v>
      </c>
      <c r="F121" s="2">
        <v>1</v>
      </c>
      <c r="G121" s="2">
        <v>2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-468221.2741851552</v>
      </c>
      <c r="R121" s="1">
        <v>-444813.9680789856</v>
      </c>
      <c r="S121" s="1">
        <v>-183384.4099062353</v>
      </c>
      <c r="T121" s="1">
        <v>0</v>
      </c>
      <c r="U121" s="1">
        <v>0</v>
      </c>
      <c r="V121" s="1">
        <v>0</v>
      </c>
    </row>
    <row r="122" spans="1:22" s="1" customFormat="1">
      <c r="A122" s="3">
        <v>45471</v>
      </c>
      <c r="B122" s="2" t="s">
        <v>26</v>
      </c>
      <c r="C122" s="2">
        <v>23</v>
      </c>
      <c r="D122" s="2">
        <v>22</v>
      </c>
      <c r="E122" s="2">
        <v>21</v>
      </c>
      <c r="F122" s="2">
        <v>5</v>
      </c>
      <c r="G122" s="2">
        <v>1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-92819.79932710595</v>
      </c>
      <c r="U122" s="1">
        <v>-156797.2240453111</v>
      </c>
      <c r="V122" s="1">
        <v>196840.487378173</v>
      </c>
    </row>
    <row r="123" spans="1:22" s="1" customFormat="1">
      <c r="A123" s="3">
        <v>45474</v>
      </c>
      <c r="B123" s="2" t="s">
        <v>22</v>
      </c>
      <c r="C123" s="2">
        <v>22</v>
      </c>
      <c r="D123" s="2">
        <v>21</v>
      </c>
      <c r="E123" s="2">
        <v>20</v>
      </c>
      <c r="F123" s="2">
        <v>4</v>
      </c>
      <c r="G123" s="2">
        <v>5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</row>
    <row r="124" spans="1:22" s="1" customFormat="1">
      <c r="A124" s="3">
        <v>45475</v>
      </c>
      <c r="B124" s="2" t="s">
        <v>23</v>
      </c>
      <c r="C124" s="2">
        <v>21</v>
      </c>
      <c r="D124" s="2">
        <v>20</v>
      </c>
      <c r="E124" s="2">
        <v>19</v>
      </c>
      <c r="F124" s="2">
        <v>3</v>
      </c>
      <c r="G124" s="2">
        <v>4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</row>
    <row r="125" spans="1:22" s="1" customFormat="1">
      <c r="A125" s="3">
        <v>45476</v>
      </c>
      <c r="B125" s="2" t="s">
        <v>24</v>
      </c>
      <c r="C125" s="2">
        <v>20</v>
      </c>
      <c r="D125" s="2">
        <v>19</v>
      </c>
      <c r="E125" s="2">
        <v>18</v>
      </c>
      <c r="F125" s="2">
        <v>2</v>
      </c>
      <c r="G125" s="2">
        <v>3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</row>
    <row r="126" spans="1:22" s="1" customFormat="1">
      <c r="A126" s="3">
        <v>45477</v>
      </c>
      <c r="B126" s="2" t="s">
        <v>25</v>
      </c>
      <c r="C126" s="2">
        <v>19</v>
      </c>
      <c r="D126" s="2">
        <v>18</v>
      </c>
      <c r="E126" s="2">
        <v>17</v>
      </c>
      <c r="F126" s="2">
        <v>1</v>
      </c>
      <c r="G126" s="2">
        <v>2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880719.1421851452</v>
      </c>
      <c r="R126" s="1">
        <v>662560.748514156</v>
      </c>
      <c r="S126" s="1">
        <v>517217.8283168013</v>
      </c>
      <c r="T126" s="1">
        <v>0</v>
      </c>
      <c r="U126" s="1">
        <v>0</v>
      </c>
      <c r="V126" s="1">
        <v>0</v>
      </c>
    </row>
    <row r="127" spans="1:22" s="1" customFormat="1">
      <c r="A127" s="3">
        <v>45478</v>
      </c>
      <c r="B127" s="2" t="s">
        <v>26</v>
      </c>
      <c r="C127" s="2">
        <v>18</v>
      </c>
      <c r="D127" s="2">
        <v>17</v>
      </c>
      <c r="E127" s="2">
        <v>16</v>
      </c>
      <c r="F127" s="2">
        <v>5</v>
      </c>
      <c r="G127" s="2">
        <v>1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466623.6136816963</v>
      </c>
      <c r="U127" s="1">
        <v>461284.4362845097</v>
      </c>
      <c r="V127" s="1">
        <v>488916.1597886368</v>
      </c>
    </row>
    <row r="128" spans="1:22" s="1" customFormat="1">
      <c r="A128" s="3">
        <v>45481</v>
      </c>
      <c r="B128" s="2" t="s">
        <v>22</v>
      </c>
      <c r="C128" s="2">
        <v>17</v>
      </c>
      <c r="D128" s="2">
        <v>16</v>
      </c>
      <c r="E128" s="2">
        <v>15</v>
      </c>
      <c r="F128" s="2">
        <v>4</v>
      </c>
      <c r="G128" s="2">
        <v>5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</row>
    <row r="129" spans="1:22" s="1" customFormat="1">
      <c r="A129" s="3">
        <v>45482</v>
      </c>
      <c r="B129" s="2" t="s">
        <v>23</v>
      </c>
      <c r="C129" s="2">
        <v>16</v>
      </c>
      <c r="D129" s="2">
        <v>15</v>
      </c>
      <c r="E129" s="2">
        <v>14</v>
      </c>
      <c r="F129" s="2">
        <v>3</v>
      </c>
      <c r="G129" s="2">
        <v>4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</row>
    <row r="130" spans="1:22" s="1" customFormat="1">
      <c r="A130" s="3">
        <v>45483</v>
      </c>
      <c r="B130" s="2" t="s">
        <v>24</v>
      </c>
      <c r="C130" s="2">
        <v>15</v>
      </c>
      <c r="D130" s="2">
        <v>14</v>
      </c>
      <c r="E130" s="2">
        <v>13</v>
      </c>
      <c r="F130" s="2">
        <v>2</v>
      </c>
      <c r="G130" s="2">
        <v>3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</row>
    <row r="131" spans="1:22" s="1" customFormat="1">
      <c r="A131" s="3">
        <v>45484</v>
      </c>
      <c r="B131" s="2" t="s">
        <v>25</v>
      </c>
      <c r="C131" s="2">
        <v>14</v>
      </c>
      <c r="D131" s="2">
        <v>13</v>
      </c>
      <c r="E131" s="2">
        <v>12</v>
      </c>
      <c r="F131" s="2">
        <v>1</v>
      </c>
      <c r="G131" s="2">
        <v>2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693842.1840829321</v>
      </c>
      <c r="R131" s="1">
        <v>533475.0317272859</v>
      </c>
      <c r="S131" s="1">
        <v>253123.843730356</v>
      </c>
      <c r="T131" s="1">
        <v>0</v>
      </c>
      <c r="U131" s="1">
        <v>0</v>
      </c>
      <c r="V131" s="1">
        <v>0</v>
      </c>
    </row>
    <row r="132" spans="1:22" s="1" customFormat="1">
      <c r="A132" s="3">
        <v>45485</v>
      </c>
      <c r="B132" s="2" t="s">
        <v>26</v>
      </c>
      <c r="C132" s="2">
        <v>13</v>
      </c>
      <c r="D132" s="2">
        <v>12</v>
      </c>
      <c r="E132" s="2">
        <v>11</v>
      </c>
      <c r="F132" s="2">
        <v>4</v>
      </c>
      <c r="G132" s="2">
        <v>1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610719.568555103</v>
      </c>
      <c r="U132" s="1">
        <v>-248298.7303074209</v>
      </c>
      <c r="V132" s="1">
        <v>2400.643632502549</v>
      </c>
    </row>
    <row r="133" spans="1:22" s="1" customFormat="1">
      <c r="A133" s="3">
        <v>45488</v>
      </c>
      <c r="B133" s="2" t="s">
        <v>22</v>
      </c>
      <c r="C133" s="2">
        <v>12</v>
      </c>
      <c r="D133" s="2">
        <v>11</v>
      </c>
      <c r="E133" s="2">
        <v>10</v>
      </c>
      <c r="F133" s="2">
        <v>3</v>
      </c>
      <c r="G133" s="2">
        <v>4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</row>
    <row r="134" spans="1:22" s="1" customFormat="1">
      <c r="A134" s="3">
        <v>45489</v>
      </c>
      <c r="B134" s="2" t="s">
        <v>23</v>
      </c>
      <c r="C134" s="2">
        <v>11</v>
      </c>
      <c r="D134" s="2">
        <v>10</v>
      </c>
      <c r="E134" s="2">
        <v>9</v>
      </c>
      <c r="F134" s="2">
        <v>2</v>
      </c>
      <c r="G134" s="2">
        <v>3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</row>
    <row r="135" spans="1:22" s="1" customFormat="1">
      <c r="A135" s="3">
        <v>45491</v>
      </c>
      <c r="B135" s="2" t="s">
        <v>25</v>
      </c>
      <c r="C135" s="2">
        <v>10</v>
      </c>
      <c r="D135" s="2">
        <v>9</v>
      </c>
      <c r="E135" s="2">
        <v>8</v>
      </c>
      <c r="F135" s="2">
        <v>1</v>
      </c>
      <c r="G135" s="2">
        <v>2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141546.7319243216</v>
      </c>
      <c r="R135" s="1">
        <v>141546.7319243216</v>
      </c>
      <c r="S135" s="1">
        <v>176412.126043271</v>
      </c>
      <c r="T135" s="1">
        <v>0</v>
      </c>
      <c r="U135" s="1">
        <v>0</v>
      </c>
      <c r="V135" s="1">
        <v>0</v>
      </c>
    </row>
    <row r="136" spans="1:22" s="1" customFormat="1">
      <c r="A136" s="3">
        <v>45492</v>
      </c>
      <c r="B136" s="2" t="s">
        <v>26</v>
      </c>
      <c r="C136" s="2">
        <v>9</v>
      </c>
      <c r="D136" s="2">
        <v>8</v>
      </c>
      <c r="E136" s="2">
        <v>7</v>
      </c>
      <c r="F136" s="2">
        <v>5</v>
      </c>
      <c r="G136" s="2">
        <v>1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415428.9222844638</v>
      </c>
      <c r="U136" s="1">
        <v>415428.9222844638</v>
      </c>
      <c r="V136" s="1">
        <v>415059.7233793942</v>
      </c>
    </row>
    <row r="137" spans="1:22" s="1" customFormat="1">
      <c r="A137" s="3">
        <v>45495</v>
      </c>
      <c r="B137" s="2" t="s">
        <v>22</v>
      </c>
      <c r="C137" s="2">
        <v>8</v>
      </c>
      <c r="D137" s="2">
        <v>7</v>
      </c>
      <c r="E137" s="2">
        <v>6</v>
      </c>
      <c r="F137" s="2">
        <v>4</v>
      </c>
      <c r="G137" s="2">
        <v>5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</row>
    <row r="138" spans="1:22" s="1" customFormat="1">
      <c r="A138" s="3">
        <v>45496</v>
      </c>
      <c r="B138" s="2" t="s">
        <v>23</v>
      </c>
      <c r="C138" s="2">
        <v>7</v>
      </c>
      <c r="D138" s="2">
        <v>6</v>
      </c>
      <c r="E138" s="2">
        <v>5</v>
      </c>
      <c r="F138" s="2">
        <v>3</v>
      </c>
      <c r="G138" s="2">
        <v>4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</row>
    <row r="139" spans="1:22" s="1" customFormat="1">
      <c r="A139" s="3">
        <v>45497</v>
      </c>
      <c r="B139" s="2" t="s">
        <v>24</v>
      </c>
      <c r="C139" s="2">
        <v>6</v>
      </c>
      <c r="D139" s="2">
        <v>5</v>
      </c>
      <c r="E139" s="2">
        <v>4</v>
      </c>
      <c r="F139" s="2">
        <v>2</v>
      </c>
      <c r="G139" s="2">
        <v>3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</row>
    <row r="140" spans="1:22" s="1" customFormat="1">
      <c r="A140" s="3">
        <v>45498</v>
      </c>
      <c r="B140" s="2" t="s">
        <v>25</v>
      </c>
      <c r="C140" s="2">
        <v>5</v>
      </c>
      <c r="D140" s="2">
        <v>4</v>
      </c>
      <c r="E140" s="2">
        <v>3</v>
      </c>
      <c r="F140" s="2">
        <v>1</v>
      </c>
      <c r="G140" s="2">
        <v>2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329428.360631266</v>
      </c>
      <c r="R140" s="1">
        <v>-299536.2863675514</v>
      </c>
      <c r="S140" s="1">
        <v>286209.9527264355</v>
      </c>
      <c r="T140" s="1">
        <v>0</v>
      </c>
      <c r="U140" s="1">
        <v>0</v>
      </c>
      <c r="V140" s="1">
        <v>0</v>
      </c>
    </row>
    <row r="141" spans="1:22" s="1" customFormat="1">
      <c r="A141" s="3">
        <v>45499</v>
      </c>
      <c r="B141" s="2" t="s">
        <v>26</v>
      </c>
      <c r="C141" s="2">
        <v>4</v>
      </c>
      <c r="D141" s="2">
        <v>3</v>
      </c>
      <c r="E141" s="2">
        <v>2</v>
      </c>
      <c r="F141" s="2">
        <v>5</v>
      </c>
      <c r="G141" s="2">
        <v>1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1045941.438258008</v>
      </c>
      <c r="U141" s="1">
        <v>453285.6300107883</v>
      </c>
      <c r="V141" s="1">
        <v>16525.54222964043</v>
      </c>
    </row>
    <row r="142" spans="1:22" s="1" customFormat="1">
      <c r="A142" s="3">
        <v>45502</v>
      </c>
      <c r="B142" s="2" t="s">
        <v>22</v>
      </c>
      <c r="C142" s="2">
        <v>3</v>
      </c>
      <c r="D142" s="2">
        <v>2</v>
      </c>
      <c r="E142" s="2">
        <v>1</v>
      </c>
      <c r="F142" s="2">
        <v>4</v>
      </c>
      <c r="G142" s="2">
        <v>5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</row>
    <row r="143" spans="1:22" s="1" customFormat="1">
      <c r="A143" s="3">
        <v>45503</v>
      </c>
      <c r="B143" s="2" t="s">
        <v>23</v>
      </c>
      <c r="C143" s="2">
        <v>2</v>
      </c>
      <c r="D143" s="2">
        <v>1</v>
      </c>
      <c r="E143" s="2">
        <v>19</v>
      </c>
      <c r="F143" s="2">
        <v>3</v>
      </c>
      <c r="G143" s="2">
        <v>4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</row>
    <row r="144" spans="1:22" s="1" customFormat="1">
      <c r="A144" s="3">
        <v>45504</v>
      </c>
      <c r="B144" s="2" t="s">
        <v>24</v>
      </c>
      <c r="C144" s="2">
        <v>1</v>
      </c>
      <c r="D144" s="2">
        <v>19</v>
      </c>
      <c r="E144" s="2">
        <v>18</v>
      </c>
      <c r="F144" s="2">
        <v>2</v>
      </c>
      <c r="G144" s="2">
        <v>3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</row>
    <row r="145" spans="1:22" s="1" customFormat="1">
      <c r="A145" s="3">
        <v>45505</v>
      </c>
      <c r="B145" s="2" t="s">
        <v>25</v>
      </c>
      <c r="C145" s="2">
        <v>19</v>
      </c>
      <c r="D145" s="2">
        <v>18</v>
      </c>
      <c r="E145" s="2">
        <v>17</v>
      </c>
      <c r="F145" s="2">
        <v>1</v>
      </c>
      <c r="G145" s="2">
        <v>2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491961.7795647792</v>
      </c>
      <c r="R145" s="1">
        <v>708167.948254623</v>
      </c>
      <c r="S145" s="1">
        <v>594059.4521328093</v>
      </c>
      <c r="T145" s="1">
        <v>0</v>
      </c>
      <c r="U145" s="1">
        <v>0</v>
      </c>
      <c r="V145" s="1">
        <v>0</v>
      </c>
    </row>
    <row r="146" spans="1:22" s="1" customFormat="1">
      <c r="A146" s="3">
        <v>45506</v>
      </c>
      <c r="B146" s="2" t="s">
        <v>26</v>
      </c>
      <c r="C146" s="2">
        <v>18</v>
      </c>
      <c r="D146" s="2">
        <v>17</v>
      </c>
      <c r="E146" s="2">
        <v>16</v>
      </c>
      <c r="F146" s="2">
        <v>5</v>
      </c>
      <c r="G146" s="2">
        <v>1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684198.3745904346</v>
      </c>
      <c r="U146" s="1">
        <v>606789.053122215</v>
      </c>
      <c r="V146" s="1">
        <v>616425.6677289829</v>
      </c>
    </row>
    <row r="147" spans="1:22" s="1" customFormat="1">
      <c r="A147" s="3">
        <v>45509</v>
      </c>
      <c r="B147" s="2" t="s">
        <v>22</v>
      </c>
      <c r="C147" s="2">
        <v>17</v>
      </c>
      <c r="D147" s="2">
        <v>16</v>
      </c>
      <c r="E147" s="2">
        <v>15</v>
      </c>
      <c r="F147" s="2">
        <v>4</v>
      </c>
      <c r="G147" s="2">
        <v>5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</row>
    <row r="148" spans="1:22" s="1" customFormat="1">
      <c r="A148" s="3">
        <v>45510</v>
      </c>
      <c r="B148" s="2" t="s">
        <v>23</v>
      </c>
      <c r="C148" s="2">
        <v>16</v>
      </c>
      <c r="D148" s="2">
        <v>15</v>
      </c>
      <c r="E148" s="2">
        <v>14</v>
      </c>
      <c r="F148" s="2">
        <v>3</v>
      </c>
      <c r="G148" s="2">
        <v>4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</row>
    <row r="149" spans="1:22" s="1" customFormat="1">
      <c r="A149" s="3">
        <v>45511</v>
      </c>
      <c r="B149" s="2" t="s">
        <v>24</v>
      </c>
      <c r="C149" s="2">
        <v>15</v>
      </c>
      <c r="D149" s="2">
        <v>14</v>
      </c>
      <c r="E149" s="2">
        <v>13</v>
      </c>
      <c r="F149" s="2">
        <v>2</v>
      </c>
      <c r="G149" s="2">
        <v>3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</row>
    <row r="150" spans="1:22" s="1" customFormat="1">
      <c r="A150" s="3">
        <v>45512</v>
      </c>
      <c r="B150" s="2" t="s">
        <v>25</v>
      </c>
      <c r="C150" s="2">
        <v>14</v>
      </c>
      <c r="D150" s="2">
        <v>13</v>
      </c>
      <c r="E150" s="2">
        <v>12</v>
      </c>
      <c r="F150" s="2">
        <v>1</v>
      </c>
      <c r="G150" s="2">
        <v>2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82855.67828676064</v>
      </c>
      <c r="R150" s="1">
        <v>469487.179581077</v>
      </c>
      <c r="S150" s="1">
        <v>221982.8406638083</v>
      </c>
      <c r="T150" s="1">
        <v>0</v>
      </c>
      <c r="U150" s="1">
        <v>0</v>
      </c>
      <c r="V150" s="1">
        <v>0</v>
      </c>
    </row>
    <row r="151" spans="1:22" s="1" customFormat="1">
      <c r="A151" s="3">
        <v>45513</v>
      </c>
      <c r="B151" s="2" t="s">
        <v>26</v>
      </c>
      <c r="C151" s="2">
        <v>13</v>
      </c>
      <c r="D151" s="2">
        <v>12</v>
      </c>
      <c r="E151" s="2">
        <v>11</v>
      </c>
      <c r="F151" s="2">
        <v>4</v>
      </c>
      <c r="G151" s="2">
        <v>1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1162255.587635819</v>
      </c>
      <c r="U151" s="1">
        <v>999470.5222357612</v>
      </c>
      <c r="V151" s="1">
        <v>847496.9528009404</v>
      </c>
    </row>
    <row r="152" spans="1:22" s="1" customFormat="1">
      <c r="A152" s="3">
        <v>45516</v>
      </c>
      <c r="B152" s="2" t="s">
        <v>22</v>
      </c>
      <c r="C152" s="2">
        <v>12</v>
      </c>
      <c r="D152" s="2">
        <v>11</v>
      </c>
      <c r="E152" s="2">
        <v>10</v>
      </c>
      <c r="F152" s="2">
        <v>3</v>
      </c>
      <c r="G152" s="2">
        <v>4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</row>
    <row r="153" spans="1:22" s="1" customFormat="1">
      <c r="A153" s="3">
        <v>45517</v>
      </c>
      <c r="B153" s="2" t="s">
        <v>23</v>
      </c>
      <c r="C153" s="2">
        <v>11</v>
      </c>
      <c r="D153" s="2">
        <v>10</v>
      </c>
      <c r="E153" s="2">
        <v>9</v>
      </c>
      <c r="F153" s="2">
        <v>2</v>
      </c>
      <c r="G153" s="2">
        <v>3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</row>
    <row r="154" spans="1:22" s="1" customFormat="1">
      <c r="A154" s="3">
        <v>45518</v>
      </c>
      <c r="B154" s="2" t="s">
        <v>24</v>
      </c>
      <c r="C154" s="2">
        <v>10</v>
      </c>
      <c r="D154" s="2">
        <v>9</v>
      </c>
      <c r="E154" s="2">
        <v>8</v>
      </c>
      <c r="F154" s="2">
        <v>1</v>
      </c>
      <c r="G154" s="2">
        <v>2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859126.814555719</v>
      </c>
      <c r="R154" s="1">
        <v>859126.814555719</v>
      </c>
      <c r="S154" s="1">
        <v>508294.3570869809</v>
      </c>
      <c r="T154" s="1">
        <v>0</v>
      </c>
      <c r="U154" s="1">
        <v>0</v>
      </c>
      <c r="V154" s="1">
        <v>0</v>
      </c>
    </row>
    <row r="155" spans="1:22" s="1" customFormat="1">
      <c r="A155" s="3">
        <v>45520</v>
      </c>
      <c r="B155" s="2" t="s">
        <v>26</v>
      </c>
      <c r="C155" s="2">
        <v>9</v>
      </c>
      <c r="D155" s="2">
        <v>8</v>
      </c>
      <c r="E155" s="2">
        <v>7</v>
      </c>
      <c r="F155" s="2">
        <v>5</v>
      </c>
      <c r="G155" s="2">
        <v>1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163415.9698093579</v>
      </c>
      <c r="U155" s="1">
        <v>163415.9698093579</v>
      </c>
      <c r="V155" s="1">
        <v>400041.8710128578</v>
      </c>
    </row>
    <row r="156" spans="1:22" s="1" customFormat="1">
      <c r="A156" s="3">
        <v>45523</v>
      </c>
      <c r="B156" s="2" t="s">
        <v>22</v>
      </c>
      <c r="C156" s="2">
        <v>8</v>
      </c>
      <c r="D156" s="2">
        <v>7</v>
      </c>
      <c r="E156" s="2">
        <v>6</v>
      </c>
      <c r="F156" s="2">
        <v>4</v>
      </c>
      <c r="G156" s="2">
        <v>5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</row>
    <row r="157" spans="1:22" s="1" customFormat="1">
      <c r="A157" s="3">
        <v>45524</v>
      </c>
      <c r="B157" s="2" t="s">
        <v>23</v>
      </c>
      <c r="C157" s="2">
        <v>7</v>
      </c>
      <c r="D157" s="2">
        <v>6</v>
      </c>
      <c r="E157" s="2">
        <v>5</v>
      </c>
      <c r="F157" s="2">
        <v>3</v>
      </c>
      <c r="G157" s="2">
        <v>4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</row>
    <row r="158" spans="1:22" s="1" customFormat="1">
      <c r="A158" s="3">
        <v>45525</v>
      </c>
      <c r="B158" s="2" t="s">
        <v>24</v>
      </c>
      <c r="C158" s="2">
        <v>6</v>
      </c>
      <c r="D158" s="2">
        <v>5</v>
      </c>
      <c r="E158" s="2">
        <v>4</v>
      </c>
      <c r="F158" s="2">
        <v>2</v>
      </c>
      <c r="G158" s="2">
        <v>3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</row>
    <row r="159" spans="1:22" s="1" customFormat="1">
      <c r="A159" s="3">
        <v>45526</v>
      </c>
      <c r="B159" s="2" t="s">
        <v>25</v>
      </c>
      <c r="C159" s="2">
        <v>5</v>
      </c>
      <c r="D159" s="2">
        <v>4</v>
      </c>
      <c r="E159" s="2">
        <v>3</v>
      </c>
      <c r="F159" s="2">
        <v>1</v>
      </c>
      <c r="G159" s="2">
        <v>2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418871.5288515225</v>
      </c>
      <c r="R159" s="1">
        <v>502971.9985230407</v>
      </c>
      <c r="S159" s="1">
        <v>517985.0032044597</v>
      </c>
      <c r="T159" s="1">
        <v>0</v>
      </c>
      <c r="U159" s="1">
        <v>0</v>
      </c>
      <c r="V159" s="1">
        <v>0</v>
      </c>
    </row>
    <row r="160" spans="1:22" s="1" customFormat="1">
      <c r="A160" s="3">
        <v>45527</v>
      </c>
      <c r="B160" s="2" t="s">
        <v>26</v>
      </c>
      <c r="C160" s="2">
        <v>4</v>
      </c>
      <c r="D160" s="2">
        <v>3</v>
      </c>
      <c r="E160" s="2">
        <v>2</v>
      </c>
      <c r="F160" s="2">
        <v>5</v>
      </c>
      <c r="G160" s="2">
        <v>1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782877.803281441</v>
      </c>
      <c r="U160" s="1">
        <v>714788.3685903039</v>
      </c>
      <c r="V160" s="1">
        <v>677461.1586009255</v>
      </c>
    </row>
    <row r="161" spans="1:22" s="1" customFormat="1">
      <c r="A161" s="3">
        <v>45530</v>
      </c>
      <c r="B161" s="2" t="s">
        <v>22</v>
      </c>
      <c r="C161" s="2">
        <v>3</v>
      </c>
      <c r="D161" s="2">
        <v>2</v>
      </c>
      <c r="E161" s="2">
        <v>1</v>
      </c>
      <c r="F161" s="2">
        <v>4</v>
      </c>
      <c r="G161" s="2">
        <v>5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</row>
    <row r="162" spans="1:22" s="1" customFormat="1">
      <c r="A162" s="3">
        <v>45531</v>
      </c>
      <c r="B162" s="2" t="s">
        <v>23</v>
      </c>
      <c r="C162" s="2">
        <v>2</v>
      </c>
      <c r="D162" s="2">
        <v>1</v>
      </c>
      <c r="E162" s="2">
        <v>25</v>
      </c>
      <c r="F162" s="2">
        <v>3</v>
      </c>
      <c r="G162" s="2">
        <v>4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</row>
    <row r="163" spans="1:22" s="1" customFormat="1">
      <c r="A163" s="3">
        <v>45532</v>
      </c>
      <c r="B163" s="2" t="s">
        <v>24</v>
      </c>
      <c r="C163" s="2">
        <v>1</v>
      </c>
      <c r="D163" s="2">
        <v>20</v>
      </c>
      <c r="E163" s="2">
        <v>24</v>
      </c>
      <c r="F163" s="2">
        <v>2</v>
      </c>
      <c r="G163" s="2">
        <v>3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</row>
    <row r="164" spans="1:22" s="1" customFormat="1">
      <c r="A164" s="3">
        <v>45533</v>
      </c>
      <c r="B164" s="2" t="s">
        <v>25</v>
      </c>
      <c r="C164" s="2">
        <v>20</v>
      </c>
      <c r="D164" s="2">
        <v>19</v>
      </c>
      <c r="E164" s="2">
        <v>23</v>
      </c>
      <c r="F164" s="2">
        <v>1</v>
      </c>
      <c r="G164" s="2">
        <v>2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-15223.14851383364</v>
      </c>
      <c r="R164" s="1">
        <v>46852.49710577007</v>
      </c>
      <c r="S164" s="1">
        <v>-141507.7757399572</v>
      </c>
      <c r="T164" s="1">
        <v>0</v>
      </c>
      <c r="U164" s="1">
        <v>0</v>
      </c>
      <c r="V164" s="1">
        <v>0</v>
      </c>
    </row>
    <row r="165" spans="1:22" s="1" customFormat="1">
      <c r="A165" s="3">
        <v>45534</v>
      </c>
      <c r="B165" s="2" t="s">
        <v>26</v>
      </c>
      <c r="C165" s="2">
        <v>19</v>
      </c>
      <c r="D165" s="2">
        <v>18</v>
      </c>
      <c r="E165" s="2">
        <v>22</v>
      </c>
      <c r="F165" s="2">
        <v>5</v>
      </c>
      <c r="G165" s="2">
        <v>1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682991.4889045627</v>
      </c>
      <c r="U165" s="1">
        <v>453696.4595402389</v>
      </c>
      <c r="V165" s="1">
        <v>420608.4286171266</v>
      </c>
    </row>
    <row r="166" spans="1:22" s="1" customFormat="1">
      <c r="A166" s="3">
        <v>45537</v>
      </c>
      <c r="B166" s="2" t="s">
        <v>22</v>
      </c>
      <c r="C166" s="2">
        <v>18</v>
      </c>
      <c r="D166" s="2">
        <v>17</v>
      </c>
      <c r="E166" s="2">
        <v>21</v>
      </c>
      <c r="F166" s="2">
        <v>4</v>
      </c>
      <c r="G166" s="2">
        <v>5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</row>
    <row r="167" spans="1:22" s="1" customFormat="1">
      <c r="A167" s="3">
        <v>45538</v>
      </c>
      <c r="B167" s="2" t="s">
        <v>23</v>
      </c>
      <c r="C167" s="2">
        <v>17</v>
      </c>
      <c r="D167" s="2">
        <v>16</v>
      </c>
      <c r="E167" s="2">
        <v>20</v>
      </c>
      <c r="F167" s="2">
        <v>3</v>
      </c>
      <c r="G167" s="2">
        <v>4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</row>
    <row r="168" spans="1:22" s="1" customFormat="1">
      <c r="A168" s="3">
        <v>45539</v>
      </c>
      <c r="B168" s="2" t="s">
        <v>24</v>
      </c>
      <c r="C168" s="2">
        <v>16</v>
      </c>
      <c r="D168" s="2">
        <v>15</v>
      </c>
      <c r="E168" s="2">
        <v>19</v>
      </c>
      <c r="F168" s="2">
        <v>2</v>
      </c>
      <c r="G168" s="2">
        <v>3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</row>
    <row r="169" spans="1:22" s="1" customFormat="1">
      <c r="A169" s="3">
        <v>45540</v>
      </c>
      <c r="B169" s="2" t="s">
        <v>25</v>
      </c>
      <c r="C169" s="2">
        <v>15</v>
      </c>
      <c r="D169" s="2">
        <v>14</v>
      </c>
      <c r="E169" s="2">
        <v>18</v>
      </c>
      <c r="F169" s="2">
        <v>1</v>
      </c>
      <c r="G169" s="2">
        <v>2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241614.7591698735</v>
      </c>
      <c r="R169" s="1">
        <v>237712.3897507437</v>
      </c>
      <c r="S169" s="1">
        <v>56615.84586705056</v>
      </c>
      <c r="T169" s="1">
        <v>0</v>
      </c>
      <c r="U169" s="1">
        <v>0</v>
      </c>
      <c r="V169" s="1">
        <v>0</v>
      </c>
    </row>
    <row r="170" spans="1:22" s="1" customFormat="1">
      <c r="A170" s="3">
        <v>45541</v>
      </c>
      <c r="B170" s="2" t="s">
        <v>26</v>
      </c>
      <c r="C170" s="2">
        <v>14</v>
      </c>
      <c r="D170" s="2">
        <v>13</v>
      </c>
      <c r="E170" s="2">
        <v>17</v>
      </c>
      <c r="F170" s="2">
        <v>5</v>
      </c>
      <c r="G170" s="2">
        <v>1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16022.43393326239</v>
      </c>
      <c r="U170" s="1">
        <v>-182031.3859189309</v>
      </c>
      <c r="V170" s="1">
        <v>-77461.62899545388</v>
      </c>
    </row>
    <row r="171" spans="1:22" s="1" customFormat="1">
      <c r="A171" s="3">
        <v>45544</v>
      </c>
      <c r="B171" s="2" t="s">
        <v>22</v>
      </c>
      <c r="C171" s="2">
        <v>13</v>
      </c>
      <c r="D171" s="2">
        <v>12</v>
      </c>
      <c r="E171" s="2">
        <v>16</v>
      </c>
      <c r="F171" s="2">
        <v>4</v>
      </c>
      <c r="G171" s="2">
        <v>5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</row>
    <row r="172" spans="1:22" s="1" customFormat="1">
      <c r="A172" s="3">
        <v>45545</v>
      </c>
      <c r="B172" s="2" t="s">
        <v>23</v>
      </c>
      <c r="C172" s="2">
        <v>12</v>
      </c>
      <c r="D172" s="2">
        <v>11</v>
      </c>
      <c r="E172" s="2">
        <v>15</v>
      </c>
      <c r="F172" s="2">
        <v>3</v>
      </c>
      <c r="G172" s="2">
        <v>4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</row>
    <row r="173" spans="1:22" s="1" customFormat="1">
      <c r="A173" s="3">
        <v>45546</v>
      </c>
      <c r="B173" s="2" t="s">
        <v>24</v>
      </c>
      <c r="C173" s="2">
        <v>11</v>
      </c>
      <c r="D173" s="2">
        <v>10</v>
      </c>
      <c r="E173" s="2">
        <v>14</v>
      </c>
      <c r="F173" s="2">
        <v>2</v>
      </c>
      <c r="G173" s="2">
        <v>3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</row>
    <row r="174" spans="1:22" s="1" customFormat="1">
      <c r="A174" s="3">
        <v>45547</v>
      </c>
      <c r="B174" s="2" t="s">
        <v>25</v>
      </c>
      <c r="C174" s="2">
        <v>10</v>
      </c>
      <c r="D174" s="2">
        <v>9</v>
      </c>
      <c r="E174" s="2">
        <v>13</v>
      </c>
      <c r="F174" s="2">
        <v>1</v>
      </c>
      <c r="G174" s="2">
        <v>2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-236171.6408776714</v>
      </c>
      <c r="R174" s="1">
        <v>-467532.1651437687</v>
      </c>
      <c r="S174" s="1">
        <v>-206955.081996473</v>
      </c>
      <c r="T174" s="1">
        <v>0</v>
      </c>
      <c r="U174" s="1">
        <v>0</v>
      </c>
      <c r="V174" s="1">
        <v>0</v>
      </c>
    </row>
    <row r="175" spans="1:22" s="1" customFormat="1">
      <c r="A175" s="3">
        <v>45548</v>
      </c>
      <c r="B175" s="2" t="s">
        <v>26</v>
      </c>
      <c r="C175" s="2">
        <v>9</v>
      </c>
      <c r="D175" s="2">
        <v>8</v>
      </c>
      <c r="E175" s="2">
        <v>12</v>
      </c>
      <c r="F175" s="2">
        <v>5</v>
      </c>
      <c r="G175" s="2">
        <v>1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6499.611367689959</v>
      </c>
      <c r="U175" s="1">
        <v>-79353.41558101616</v>
      </c>
      <c r="V175" s="1">
        <v>20252.45926154989</v>
      </c>
    </row>
    <row r="176" spans="1:22" s="1" customFormat="1">
      <c r="A176" s="3">
        <v>45551</v>
      </c>
      <c r="B176" s="2" t="s">
        <v>22</v>
      </c>
      <c r="C176" s="2">
        <v>8</v>
      </c>
      <c r="D176" s="2">
        <v>7</v>
      </c>
      <c r="E176" s="2">
        <v>11</v>
      </c>
      <c r="F176" s="2">
        <v>4</v>
      </c>
      <c r="G176" s="2">
        <v>5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</row>
    <row r="177" spans="1:22" s="1" customFormat="1">
      <c r="A177" s="3">
        <v>45552</v>
      </c>
      <c r="B177" s="2" t="s">
        <v>23</v>
      </c>
      <c r="C177" s="2">
        <v>7</v>
      </c>
      <c r="D177" s="2">
        <v>6</v>
      </c>
      <c r="E177" s="2">
        <v>10</v>
      </c>
      <c r="F177" s="2">
        <v>3</v>
      </c>
      <c r="G177" s="2">
        <v>4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</row>
    <row r="178" spans="1:22" s="1" customFormat="1">
      <c r="A178" s="3">
        <v>45553</v>
      </c>
      <c r="B178" s="2" t="s">
        <v>24</v>
      </c>
      <c r="C178" s="2">
        <v>6</v>
      </c>
      <c r="D178" s="2">
        <v>5</v>
      </c>
      <c r="E178" s="2">
        <v>9</v>
      </c>
      <c r="F178" s="2">
        <v>2</v>
      </c>
      <c r="G178" s="2">
        <v>3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</row>
    <row r="179" spans="1:22" s="1" customFormat="1">
      <c r="A179" s="3">
        <v>45554</v>
      </c>
      <c r="B179" s="2" t="s">
        <v>25</v>
      </c>
      <c r="C179" s="2">
        <v>5</v>
      </c>
      <c r="D179" s="2">
        <v>4</v>
      </c>
      <c r="E179" s="2">
        <v>8</v>
      </c>
      <c r="F179" s="2">
        <v>1</v>
      </c>
      <c r="G179" s="2">
        <v>2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206899.3840249528</v>
      </c>
      <c r="R179" s="1">
        <v>185261.0683500793</v>
      </c>
      <c r="S179" s="1">
        <v>-4975.328199680444</v>
      </c>
      <c r="T179" s="1">
        <v>0</v>
      </c>
      <c r="U179" s="1">
        <v>0</v>
      </c>
      <c r="V179" s="1">
        <v>0</v>
      </c>
    </row>
    <row r="180" spans="1:22" s="1" customFormat="1">
      <c r="A180" s="3">
        <v>45555</v>
      </c>
      <c r="B180" s="2" t="s">
        <v>26</v>
      </c>
      <c r="C180" s="2">
        <v>4</v>
      </c>
      <c r="D180" s="2">
        <v>3</v>
      </c>
      <c r="E180" s="2">
        <v>7</v>
      </c>
      <c r="F180" s="2">
        <v>5</v>
      </c>
      <c r="G180" s="2">
        <v>1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-142766.72747668</v>
      </c>
      <c r="U180" s="1">
        <v>-154791.7033229086</v>
      </c>
      <c r="V180" s="1">
        <v>-302967.0354798054</v>
      </c>
    </row>
    <row r="181" spans="1:22" s="1" customFormat="1">
      <c r="A181" s="3">
        <v>45558</v>
      </c>
      <c r="B181" s="2" t="s">
        <v>22</v>
      </c>
      <c r="C181" s="2">
        <v>3</v>
      </c>
      <c r="D181" s="2">
        <v>2</v>
      </c>
      <c r="E181" s="2">
        <v>6</v>
      </c>
      <c r="F181" s="2">
        <v>4</v>
      </c>
      <c r="G181" s="2">
        <v>5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</row>
    <row r="182" spans="1:22" s="1" customFormat="1">
      <c r="A182" s="3">
        <v>45559</v>
      </c>
      <c r="B182" s="2" t="s">
        <v>23</v>
      </c>
      <c r="C182" s="2">
        <v>2</v>
      </c>
      <c r="D182" s="2">
        <v>1</v>
      </c>
      <c r="E182" s="2">
        <v>5</v>
      </c>
      <c r="F182" s="2">
        <v>3</v>
      </c>
      <c r="G182" s="2">
        <v>4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</row>
    <row r="183" spans="1:22" s="1" customFormat="1">
      <c r="A183" s="3">
        <v>45560</v>
      </c>
      <c r="B183" s="2" t="s">
        <v>24</v>
      </c>
      <c r="C183" s="2">
        <v>1</v>
      </c>
      <c r="D183" s="2">
        <v>24</v>
      </c>
      <c r="E183" s="2">
        <v>4</v>
      </c>
      <c r="F183" s="2">
        <v>2</v>
      </c>
      <c r="G183" s="2">
        <v>3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</row>
    <row r="184" spans="1:22" s="1" customFormat="1">
      <c r="A184" s="3">
        <v>45561</v>
      </c>
      <c r="B184" s="2" t="s">
        <v>25</v>
      </c>
      <c r="C184" s="2">
        <v>24</v>
      </c>
      <c r="D184" s="2">
        <v>23</v>
      </c>
      <c r="E184" s="2">
        <v>3</v>
      </c>
      <c r="F184" s="2">
        <v>1</v>
      </c>
      <c r="G184" s="2">
        <v>2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-200993.3205038691</v>
      </c>
      <c r="R184" s="1">
        <v>227716.0891633059</v>
      </c>
      <c r="S184" s="1">
        <v>52664.00579660873</v>
      </c>
      <c r="T184" s="1">
        <v>0</v>
      </c>
      <c r="U184" s="1">
        <v>0</v>
      </c>
      <c r="V184" s="1">
        <v>0</v>
      </c>
    </row>
    <row r="185" spans="1:22" s="1" customFormat="1">
      <c r="A185" s="3">
        <v>45562</v>
      </c>
      <c r="B185" s="2" t="s">
        <v>26</v>
      </c>
      <c r="C185" s="2">
        <v>23</v>
      </c>
      <c r="D185" s="2">
        <v>22</v>
      </c>
      <c r="E185" s="2">
        <v>2</v>
      </c>
      <c r="F185" s="2">
        <v>4</v>
      </c>
      <c r="G185" s="2">
        <v>1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511701.6803155897</v>
      </c>
      <c r="U185" s="1">
        <v>453334.7531068104</v>
      </c>
      <c r="V185" s="1">
        <v>651.3723884957037</v>
      </c>
    </row>
    <row r="186" spans="1:22" s="1" customFormat="1">
      <c r="A186" s="3">
        <v>45565</v>
      </c>
      <c r="B186" s="2" t="s">
        <v>22</v>
      </c>
      <c r="C186" s="2">
        <v>22</v>
      </c>
      <c r="D186" s="2">
        <v>21</v>
      </c>
      <c r="E186" s="2">
        <v>1</v>
      </c>
      <c r="F186" s="2">
        <v>3</v>
      </c>
      <c r="G186" s="2">
        <v>4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</row>
    <row r="187" spans="1:22" s="1" customFormat="1">
      <c r="A187" s="3">
        <v>45566</v>
      </c>
      <c r="B187" s="2" t="s">
        <v>23</v>
      </c>
      <c r="C187" s="2">
        <v>21</v>
      </c>
      <c r="D187" s="2">
        <v>20</v>
      </c>
      <c r="E187" s="2">
        <v>19</v>
      </c>
      <c r="F187" s="2">
        <v>2</v>
      </c>
      <c r="G187" s="2">
        <v>3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</row>
    <row r="188" spans="1:22" s="1" customFormat="1">
      <c r="A188" s="3">
        <v>45568</v>
      </c>
      <c r="B188" s="2" t="s">
        <v>25</v>
      </c>
      <c r="C188" s="2">
        <v>20</v>
      </c>
      <c r="D188" s="2">
        <v>19</v>
      </c>
      <c r="E188" s="2">
        <v>18</v>
      </c>
      <c r="F188" s="2">
        <v>1</v>
      </c>
      <c r="G188" s="2">
        <v>2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-594010.2175693634</v>
      </c>
      <c r="R188" s="1">
        <v>-594010.2175693634</v>
      </c>
      <c r="S188" s="1">
        <v>-410375.7371454559</v>
      </c>
      <c r="T188" s="1">
        <v>0</v>
      </c>
      <c r="U188" s="1">
        <v>0</v>
      </c>
      <c r="V188" s="1">
        <v>0</v>
      </c>
    </row>
    <row r="189" spans="1:22" s="1" customFormat="1">
      <c r="A189" s="3">
        <v>45569</v>
      </c>
      <c r="B189" s="2" t="s">
        <v>26</v>
      </c>
      <c r="C189" s="2">
        <v>19</v>
      </c>
      <c r="D189" s="2">
        <v>18</v>
      </c>
      <c r="E189" s="2">
        <v>17</v>
      </c>
      <c r="F189" s="2">
        <v>5</v>
      </c>
      <c r="G189" s="2">
        <v>1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-1012538.5584499</v>
      </c>
      <c r="U189" s="1">
        <v>-1012538.5584499</v>
      </c>
      <c r="V189" s="1">
        <v>-972732.4660566818</v>
      </c>
    </row>
    <row r="190" spans="1:22" s="1" customFormat="1">
      <c r="A190" s="3">
        <v>45572</v>
      </c>
      <c r="B190" s="2" t="s">
        <v>22</v>
      </c>
      <c r="C190" s="2">
        <v>18</v>
      </c>
      <c r="D190" s="2">
        <v>17</v>
      </c>
      <c r="E190" s="2">
        <v>16</v>
      </c>
      <c r="F190" s="2">
        <v>4</v>
      </c>
      <c r="G190" s="2">
        <v>5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</row>
    <row r="191" spans="1:22" s="1" customFormat="1">
      <c r="A191" s="3">
        <v>45573</v>
      </c>
      <c r="B191" s="2" t="s">
        <v>23</v>
      </c>
      <c r="C191" s="2">
        <v>17</v>
      </c>
      <c r="D191" s="2">
        <v>16</v>
      </c>
      <c r="E191" s="2">
        <v>15</v>
      </c>
      <c r="F191" s="2">
        <v>3</v>
      </c>
      <c r="G191" s="2">
        <v>4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</row>
    <row r="192" spans="1:22" s="1" customFormat="1">
      <c r="A192" s="3">
        <v>45574</v>
      </c>
      <c r="B192" s="2" t="s">
        <v>24</v>
      </c>
      <c r="C192" s="2">
        <v>16</v>
      </c>
      <c r="D192" s="2">
        <v>15</v>
      </c>
      <c r="E192" s="2">
        <v>14</v>
      </c>
      <c r="F192" s="2">
        <v>2</v>
      </c>
      <c r="G192" s="2">
        <v>3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</row>
    <row r="193" spans="1:22" s="1" customFormat="1">
      <c r="A193" s="3">
        <v>45575</v>
      </c>
      <c r="B193" s="2" t="s">
        <v>25</v>
      </c>
      <c r="C193" s="2">
        <v>15</v>
      </c>
      <c r="D193" s="2">
        <v>14</v>
      </c>
      <c r="E193" s="2">
        <v>13</v>
      </c>
      <c r="F193" s="2">
        <v>1</v>
      </c>
      <c r="G193" s="2">
        <v>2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592190.257956384</v>
      </c>
      <c r="R193" s="1">
        <v>613173.5869985105</v>
      </c>
      <c r="S193" s="1">
        <v>85345.27519879286</v>
      </c>
      <c r="T193" s="1">
        <v>0</v>
      </c>
      <c r="U193" s="1">
        <v>0</v>
      </c>
      <c r="V193" s="1">
        <v>0</v>
      </c>
    </row>
    <row r="194" spans="1:22" s="1" customFormat="1">
      <c r="A194" s="3">
        <v>45576</v>
      </c>
      <c r="B194" s="2" t="s">
        <v>26</v>
      </c>
      <c r="C194" s="2">
        <v>14</v>
      </c>
      <c r="D194" s="2">
        <v>13</v>
      </c>
      <c r="E194" s="2">
        <v>12</v>
      </c>
      <c r="F194" s="2">
        <v>5</v>
      </c>
      <c r="G194" s="2">
        <v>1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1095177.649535696</v>
      </c>
      <c r="U194" s="1">
        <v>1121657.474454081</v>
      </c>
      <c r="V194" s="1">
        <v>785067.5114306995</v>
      </c>
    </row>
    <row r="195" spans="1:22" s="1" customFormat="1">
      <c r="A195" s="3">
        <v>45579</v>
      </c>
      <c r="B195" s="2" t="s">
        <v>22</v>
      </c>
      <c r="C195" s="2">
        <v>13</v>
      </c>
      <c r="D195" s="2">
        <v>12</v>
      </c>
      <c r="E195" s="2">
        <v>11</v>
      </c>
      <c r="F195" s="2">
        <v>4</v>
      </c>
      <c r="G195" s="2">
        <v>5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</row>
    <row r="196" spans="1:22" s="1" customFormat="1">
      <c r="A196" s="3">
        <v>45580</v>
      </c>
      <c r="B196" s="2" t="s">
        <v>23</v>
      </c>
      <c r="C196" s="2">
        <v>12</v>
      </c>
      <c r="D196" s="2">
        <v>11</v>
      </c>
      <c r="E196" s="2">
        <v>10</v>
      </c>
      <c r="F196" s="2">
        <v>3</v>
      </c>
      <c r="G196" s="2">
        <v>4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</row>
    <row r="197" spans="1:22" s="1" customFormat="1">
      <c r="A197" s="3">
        <v>45581</v>
      </c>
      <c r="B197" s="2" t="s">
        <v>24</v>
      </c>
      <c r="C197" s="2">
        <v>11</v>
      </c>
      <c r="D197" s="2">
        <v>10</v>
      </c>
      <c r="E197" s="2">
        <v>9</v>
      </c>
      <c r="F197" s="2">
        <v>2</v>
      </c>
      <c r="G197" s="2">
        <v>3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</row>
    <row r="198" spans="1:22" s="1" customFormat="1">
      <c r="A198" s="3">
        <v>45582</v>
      </c>
      <c r="B198" s="2" t="s">
        <v>25</v>
      </c>
      <c r="C198" s="2">
        <v>10</v>
      </c>
      <c r="D198" s="2">
        <v>9</v>
      </c>
      <c r="E198" s="2">
        <v>8</v>
      </c>
      <c r="F198" s="2">
        <v>1</v>
      </c>
      <c r="G198" s="2">
        <v>2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-206397.0921044201</v>
      </c>
      <c r="R198" s="1">
        <v>232517.6275869432</v>
      </c>
      <c r="S198" s="1">
        <v>209717.147896058</v>
      </c>
      <c r="T198" s="1">
        <v>0</v>
      </c>
      <c r="U198" s="1">
        <v>0</v>
      </c>
      <c r="V198" s="1">
        <v>0</v>
      </c>
    </row>
    <row r="199" spans="1:22" s="1" customFormat="1">
      <c r="A199" s="3">
        <v>45583</v>
      </c>
      <c r="B199" s="2" t="s">
        <v>26</v>
      </c>
      <c r="C199" s="2">
        <v>9</v>
      </c>
      <c r="D199" s="2">
        <v>8</v>
      </c>
      <c r="E199" s="2">
        <v>7</v>
      </c>
      <c r="F199" s="2">
        <v>5</v>
      </c>
      <c r="G199" s="2">
        <v>1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32664.11456771245</v>
      </c>
      <c r="U199" s="1">
        <v>-23030.79973874159</v>
      </c>
      <c r="V199" s="1">
        <v>-155208.9892029694</v>
      </c>
    </row>
    <row r="200" spans="1:22" s="1" customFormat="1">
      <c r="A200" s="3">
        <v>45586</v>
      </c>
      <c r="B200" s="2" t="s">
        <v>22</v>
      </c>
      <c r="C200" s="2">
        <v>8</v>
      </c>
      <c r="D200" s="2">
        <v>7</v>
      </c>
      <c r="E200" s="2">
        <v>6</v>
      </c>
      <c r="F200" s="2">
        <v>4</v>
      </c>
      <c r="G200" s="2">
        <v>5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</row>
    <row r="201" spans="1:22" s="1" customFormat="1">
      <c r="A201" s="3">
        <v>45587</v>
      </c>
      <c r="B201" s="2" t="s">
        <v>23</v>
      </c>
      <c r="C201" s="2">
        <v>7</v>
      </c>
      <c r="D201" s="2">
        <v>6</v>
      </c>
      <c r="E201" s="2">
        <v>5</v>
      </c>
      <c r="F201" s="2">
        <v>3</v>
      </c>
      <c r="G201" s="2">
        <v>4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</row>
    <row r="202" spans="1:22" s="1" customFormat="1">
      <c r="A202" s="3">
        <v>45588</v>
      </c>
      <c r="B202" s="2" t="s">
        <v>24</v>
      </c>
      <c r="C202" s="2">
        <v>6</v>
      </c>
      <c r="D202" s="2">
        <v>5</v>
      </c>
      <c r="E202" s="2">
        <v>4</v>
      </c>
      <c r="F202" s="2">
        <v>2</v>
      </c>
      <c r="G202" s="2">
        <v>3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</row>
    <row r="203" spans="1:22" s="1" customFormat="1">
      <c r="A203" s="3">
        <v>45589</v>
      </c>
      <c r="B203" s="2" t="s">
        <v>25</v>
      </c>
      <c r="C203" s="2">
        <v>5</v>
      </c>
      <c r="D203" s="2">
        <v>4</v>
      </c>
      <c r="E203" s="2">
        <v>3</v>
      </c>
      <c r="F203" s="2">
        <v>1</v>
      </c>
      <c r="G203" s="2">
        <v>2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456727.3477334027</v>
      </c>
      <c r="R203" s="1">
        <v>421740.1771017166</v>
      </c>
      <c r="S203" s="1">
        <v>520400.6420268629</v>
      </c>
      <c r="T203" s="1">
        <v>0</v>
      </c>
      <c r="U203" s="1">
        <v>0</v>
      </c>
      <c r="V203" s="1">
        <v>0</v>
      </c>
    </row>
    <row r="204" spans="1:22" s="1" customFormat="1">
      <c r="A204" s="3">
        <v>45590</v>
      </c>
      <c r="B204" s="2" t="s">
        <v>26</v>
      </c>
      <c r="C204" s="2">
        <v>4</v>
      </c>
      <c r="D204" s="2">
        <v>3</v>
      </c>
      <c r="E204" s="2">
        <v>2</v>
      </c>
      <c r="F204" s="2">
        <v>5</v>
      </c>
      <c r="G204" s="2">
        <v>1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82920.13598190661</v>
      </c>
      <c r="U204" s="1">
        <v>142799.5084865607</v>
      </c>
      <c r="V204" s="1">
        <v>370502.9846145275</v>
      </c>
    </row>
    <row r="205" spans="1:22" s="1" customFormat="1">
      <c r="A205" s="3">
        <v>45593</v>
      </c>
      <c r="B205" s="2" t="s">
        <v>22</v>
      </c>
      <c r="C205" s="2">
        <v>3</v>
      </c>
      <c r="D205" s="2">
        <v>2</v>
      </c>
      <c r="E205" s="2">
        <v>1</v>
      </c>
      <c r="F205" s="2">
        <v>4</v>
      </c>
      <c r="G205" s="2">
        <v>4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</row>
    <row r="206" spans="1:22" s="1" customFormat="1">
      <c r="A206" s="3">
        <v>45594</v>
      </c>
      <c r="B206" s="2" t="s">
        <v>23</v>
      </c>
      <c r="C206" s="2">
        <v>2</v>
      </c>
      <c r="D206" s="2">
        <v>1</v>
      </c>
      <c r="E206" s="2">
        <v>17</v>
      </c>
      <c r="F206" s="2">
        <v>3</v>
      </c>
      <c r="G206" s="2">
        <v>3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</row>
    <row r="207" spans="1:22" s="1" customFormat="1">
      <c r="A207" s="3">
        <v>45595</v>
      </c>
      <c r="B207" s="2" t="s">
        <v>24</v>
      </c>
      <c r="C207" s="2">
        <v>1</v>
      </c>
      <c r="D207" s="2">
        <v>17</v>
      </c>
      <c r="E207" s="2">
        <v>16</v>
      </c>
      <c r="F207" s="2">
        <v>2</v>
      </c>
      <c r="G207" s="2">
        <v>2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</row>
    <row r="208" spans="1:22" s="1" customFormat="1">
      <c r="A208" s="3">
        <v>45596</v>
      </c>
      <c r="B208" s="2" t="s">
        <v>25</v>
      </c>
      <c r="C208" s="2">
        <v>17</v>
      </c>
      <c r="D208" s="2">
        <v>16</v>
      </c>
      <c r="E208" s="2">
        <v>15</v>
      </c>
      <c r="F208" s="2">
        <v>1</v>
      </c>
      <c r="G208" s="2">
        <v>1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-154639.0287209673</v>
      </c>
      <c r="R208" s="1">
        <v>-347456.0901802205</v>
      </c>
      <c r="S208" s="1">
        <v>117578.2476197381</v>
      </c>
      <c r="T208" s="1">
        <v>-355774.6225874034</v>
      </c>
      <c r="U208" s="1">
        <v>-355774.6225874034</v>
      </c>
      <c r="V208" s="1">
        <v>38819.17814554476</v>
      </c>
    </row>
    <row r="209" spans="1:22" s="1" customFormat="1">
      <c r="A209" s="3">
        <v>45600</v>
      </c>
      <c r="B209" s="2" t="s">
        <v>22</v>
      </c>
      <c r="C209" s="2">
        <v>16</v>
      </c>
      <c r="D209" s="2">
        <v>15</v>
      </c>
      <c r="E209" s="2">
        <v>14</v>
      </c>
      <c r="F209" s="2">
        <v>4</v>
      </c>
      <c r="G209" s="2">
        <v>5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</row>
    <row r="210" spans="1:22" s="1" customFormat="1">
      <c r="A210" s="3">
        <v>45601</v>
      </c>
      <c r="B210" s="2" t="s">
        <v>23</v>
      </c>
      <c r="C210" s="2">
        <v>15</v>
      </c>
      <c r="D210" s="2">
        <v>14</v>
      </c>
      <c r="E210" s="2">
        <v>13</v>
      </c>
      <c r="F210" s="2">
        <v>3</v>
      </c>
      <c r="G210" s="2">
        <v>4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</row>
    <row r="211" spans="1:22" s="1" customFormat="1">
      <c r="A211" s="3">
        <v>45602</v>
      </c>
      <c r="B211" s="2" t="s">
        <v>24</v>
      </c>
      <c r="C211" s="2">
        <v>14</v>
      </c>
      <c r="D211" s="2">
        <v>13</v>
      </c>
      <c r="E211" s="2">
        <v>12</v>
      </c>
      <c r="F211" s="2">
        <v>2</v>
      </c>
      <c r="G211" s="2">
        <v>3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</row>
    <row r="212" spans="1:22" s="1" customFormat="1">
      <c r="A212" s="3">
        <v>45603</v>
      </c>
      <c r="B212" s="2" t="s">
        <v>25</v>
      </c>
      <c r="C212" s="2">
        <v>13</v>
      </c>
      <c r="D212" s="2">
        <v>12</v>
      </c>
      <c r="E212" s="2">
        <v>11</v>
      </c>
      <c r="F212" s="2">
        <v>1</v>
      </c>
      <c r="G212" s="2">
        <v>2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31365.43661848221</v>
      </c>
      <c r="R212" s="1">
        <v>31365.43661848221</v>
      </c>
      <c r="S212" s="1">
        <v>72026.96985127826</v>
      </c>
      <c r="T212" s="1">
        <v>0</v>
      </c>
      <c r="U212" s="1">
        <v>0</v>
      </c>
      <c r="V212" s="1">
        <v>0</v>
      </c>
    </row>
    <row r="213" spans="1:22" s="1" customFormat="1">
      <c r="A213" s="3">
        <v>45604</v>
      </c>
      <c r="B213" s="2" t="s">
        <v>26</v>
      </c>
      <c r="C213" s="2">
        <v>12</v>
      </c>
      <c r="D213" s="2">
        <v>11</v>
      </c>
      <c r="E213" s="2">
        <v>10</v>
      </c>
      <c r="F213" s="2">
        <v>5</v>
      </c>
      <c r="G213" s="2">
        <v>1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545958.6061549491</v>
      </c>
      <c r="U213" s="1">
        <v>314886.7171431229</v>
      </c>
      <c r="V213" s="1">
        <v>368104.8473286236</v>
      </c>
    </row>
    <row r="214" spans="1:22" s="1" customFormat="1">
      <c r="A214" s="3">
        <v>45607</v>
      </c>
      <c r="B214" s="2" t="s">
        <v>22</v>
      </c>
      <c r="C214" s="2">
        <v>11</v>
      </c>
      <c r="D214" s="2">
        <v>10</v>
      </c>
      <c r="E214" s="2">
        <v>9</v>
      </c>
      <c r="F214" s="2">
        <v>4</v>
      </c>
      <c r="G214" s="2">
        <v>4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</row>
    <row r="215" spans="1:22" s="1" customFormat="1">
      <c r="A215" s="3">
        <v>45608</v>
      </c>
      <c r="B215" s="2" t="s">
        <v>23</v>
      </c>
      <c r="C215" s="2">
        <v>10</v>
      </c>
      <c r="D215" s="2">
        <v>9</v>
      </c>
      <c r="E215" s="2">
        <v>8</v>
      </c>
      <c r="F215" s="2">
        <v>3</v>
      </c>
      <c r="G215" s="2">
        <v>3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</row>
    <row r="216" spans="1:22" s="1" customFormat="1">
      <c r="A216" s="3">
        <v>45609</v>
      </c>
      <c r="B216" s="2" t="s">
        <v>24</v>
      </c>
      <c r="C216" s="2">
        <v>9</v>
      </c>
      <c r="D216" s="2">
        <v>8</v>
      </c>
      <c r="E216" s="2">
        <v>7</v>
      </c>
      <c r="F216" s="2">
        <v>2</v>
      </c>
      <c r="G216" s="2">
        <v>2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</row>
    <row r="217" spans="1:22" s="1" customFormat="1">
      <c r="A217" s="3">
        <v>45610</v>
      </c>
      <c r="B217" s="2" t="s">
        <v>25</v>
      </c>
      <c r="C217" s="2">
        <v>8</v>
      </c>
      <c r="D217" s="2">
        <v>7</v>
      </c>
      <c r="E217" s="2">
        <v>6</v>
      </c>
      <c r="F217" s="2">
        <v>1</v>
      </c>
      <c r="G217" s="2">
        <v>1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104687.066852029</v>
      </c>
      <c r="R217" s="1">
        <v>-266764.6324896272</v>
      </c>
      <c r="S217" s="1">
        <v>-216269.8980170186</v>
      </c>
      <c r="T217" s="1">
        <v>-232263.288487098</v>
      </c>
      <c r="U217" s="1">
        <v>-232263.288487098</v>
      </c>
      <c r="V217" s="1">
        <v>-169034.0868218037</v>
      </c>
    </row>
    <row r="218" spans="1:22" s="1" customFormat="1">
      <c r="A218" s="3">
        <v>45614</v>
      </c>
      <c r="B218" s="2" t="s">
        <v>22</v>
      </c>
      <c r="C218" s="2">
        <v>7</v>
      </c>
      <c r="D218" s="2">
        <v>6</v>
      </c>
      <c r="E218" s="2">
        <v>5</v>
      </c>
      <c r="F218" s="2">
        <v>3</v>
      </c>
      <c r="G218" s="2">
        <v>4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</row>
    <row r="219" spans="1:22" s="1" customFormat="1">
      <c r="A219" s="3">
        <v>45615</v>
      </c>
      <c r="B219" s="2" t="s">
        <v>23</v>
      </c>
      <c r="C219" s="2">
        <v>6</v>
      </c>
      <c r="D219" s="2">
        <v>5</v>
      </c>
      <c r="E219" s="2">
        <v>4</v>
      </c>
      <c r="F219" s="2">
        <v>2</v>
      </c>
      <c r="G219" s="2">
        <v>3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</row>
    <row r="220" spans="1:22" s="1" customFormat="1">
      <c r="A220" s="3">
        <v>45617</v>
      </c>
      <c r="B220" s="2" t="s">
        <v>25</v>
      </c>
      <c r="C220" s="2">
        <v>5</v>
      </c>
      <c r="D220" s="2">
        <v>4</v>
      </c>
      <c r="E220" s="2">
        <v>3</v>
      </c>
      <c r="F220" s="2">
        <v>1</v>
      </c>
      <c r="G220" s="2">
        <v>2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-352522.6391390686</v>
      </c>
      <c r="R220" s="1">
        <v>-352522.6391390686</v>
      </c>
      <c r="S220" s="1">
        <v>-352522.6391390686</v>
      </c>
      <c r="T220" s="1">
        <v>0</v>
      </c>
      <c r="U220" s="1">
        <v>0</v>
      </c>
      <c r="V220" s="1">
        <v>0</v>
      </c>
    </row>
    <row r="221" spans="1:22" s="1" customFormat="1">
      <c r="A221" s="3">
        <v>45618</v>
      </c>
      <c r="B221" s="2" t="s">
        <v>26</v>
      </c>
      <c r="C221" s="2">
        <v>4</v>
      </c>
      <c r="D221" s="2">
        <v>3</v>
      </c>
      <c r="E221" s="2">
        <v>2</v>
      </c>
      <c r="F221" s="2">
        <v>5</v>
      </c>
      <c r="G221" s="2">
        <v>1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-861712.6132517349</v>
      </c>
      <c r="U221" s="1">
        <v>-861712.6132517349</v>
      </c>
      <c r="V221" s="1">
        <v>-1017073.95604987</v>
      </c>
    </row>
    <row r="222" spans="1:22" s="1" customFormat="1">
      <c r="A222" s="3">
        <v>45621</v>
      </c>
      <c r="B222" s="2" t="s">
        <v>22</v>
      </c>
      <c r="C222" s="2">
        <v>3</v>
      </c>
      <c r="D222" s="2">
        <v>2</v>
      </c>
      <c r="E222" s="2">
        <v>1</v>
      </c>
      <c r="F222" s="2">
        <v>4</v>
      </c>
      <c r="G222" s="2">
        <v>5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</row>
    <row r="223" spans="1:22" s="1" customFormat="1">
      <c r="A223" s="3">
        <v>45622</v>
      </c>
      <c r="B223" s="2" t="s">
        <v>23</v>
      </c>
      <c r="C223" s="2">
        <v>2</v>
      </c>
      <c r="D223" s="2">
        <v>1</v>
      </c>
      <c r="E223" s="2">
        <v>24</v>
      </c>
      <c r="F223" s="2">
        <v>3</v>
      </c>
      <c r="G223" s="2">
        <v>4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</row>
    <row r="224" spans="1:22" s="1" customFormat="1">
      <c r="A224" s="3">
        <v>45623</v>
      </c>
      <c r="B224" s="2" t="s">
        <v>24</v>
      </c>
      <c r="C224" s="2">
        <v>1</v>
      </c>
      <c r="D224" s="2">
        <v>24</v>
      </c>
      <c r="E224" s="2">
        <v>23</v>
      </c>
      <c r="F224" s="2">
        <v>2</v>
      </c>
      <c r="G224" s="2">
        <v>3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</row>
    <row r="225" spans="1:22" s="1" customFormat="1">
      <c r="A225" s="3">
        <v>45624</v>
      </c>
      <c r="B225" s="2" t="s">
        <v>25</v>
      </c>
      <c r="C225" s="2">
        <v>19</v>
      </c>
      <c r="D225" s="2">
        <v>23</v>
      </c>
      <c r="E225" s="2">
        <v>22</v>
      </c>
      <c r="F225" s="2">
        <v>1</v>
      </c>
      <c r="G225" s="2">
        <v>2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-1438291.545937985</v>
      </c>
      <c r="R225" s="1">
        <v>218577.594875491</v>
      </c>
      <c r="S225" s="1">
        <v>-132437.3272593537</v>
      </c>
      <c r="T225" s="1">
        <v>0</v>
      </c>
      <c r="U225" s="1">
        <v>0</v>
      </c>
      <c r="V225" s="1">
        <v>0</v>
      </c>
    </row>
    <row r="226" spans="1:22" s="1" customFormat="1">
      <c r="A226" s="3">
        <v>45625</v>
      </c>
      <c r="B226" s="2" t="s">
        <v>26</v>
      </c>
      <c r="C226" s="2">
        <v>18</v>
      </c>
      <c r="D226" s="2">
        <v>22</v>
      </c>
      <c r="E226" s="2">
        <v>21</v>
      </c>
      <c r="F226" s="2">
        <v>5</v>
      </c>
      <c r="G226" s="2">
        <v>1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499270.9649044554</v>
      </c>
      <c r="U226" s="1">
        <v>554597.5522320687</v>
      </c>
      <c r="V226" s="1">
        <v>37273.13548160687</v>
      </c>
    </row>
    <row r="227" spans="1:22" s="1" customFormat="1">
      <c r="A227" s="3">
        <v>45628</v>
      </c>
      <c r="B227" s="2" t="s">
        <v>22</v>
      </c>
      <c r="C227" s="2">
        <v>17</v>
      </c>
      <c r="D227" s="2">
        <v>21</v>
      </c>
      <c r="E227" s="2">
        <v>20</v>
      </c>
      <c r="F227" s="2">
        <v>4</v>
      </c>
      <c r="G227" s="2">
        <v>5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</row>
    <row r="228" spans="1:22" s="1" customFormat="1">
      <c r="A228" s="3">
        <v>45629</v>
      </c>
      <c r="B228" s="2" t="s">
        <v>23</v>
      </c>
      <c r="C228" s="2">
        <v>16</v>
      </c>
      <c r="D228" s="2">
        <v>20</v>
      </c>
      <c r="E228" s="2">
        <v>19</v>
      </c>
      <c r="F228" s="2">
        <v>3</v>
      </c>
      <c r="G228" s="2">
        <v>4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</row>
    <row r="229" spans="1:22" s="1" customFormat="1">
      <c r="A229" s="3">
        <v>45630</v>
      </c>
      <c r="B229" s="2" t="s">
        <v>24</v>
      </c>
      <c r="C229" s="2">
        <v>15</v>
      </c>
      <c r="D229" s="2">
        <v>19</v>
      </c>
      <c r="E229" s="2">
        <v>18</v>
      </c>
      <c r="F229" s="2">
        <v>2</v>
      </c>
      <c r="G229" s="2">
        <v>3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</row>
    <row r="230" spans="1:22" s="1" customFormat="1">
      <c r="A230" s="3">
        <v>45631</v>
      </c>
      <c r="B230" s="2" t="s">
        <v>25</v>
      </c>
      <c r="C230" s="2">
        <v>14</v>
      </c>
      <c r="D230" s="2">
        <v>18</v>
      </c>
      <c r="E230" s="2">
        <v>17</v>
      </c>
      <c r="F230" s="2">
        <v>1</v>
      </c>
      <c r="G230" s="2">
        <v>2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-754746.4864559333</v>
      </c>
      <c r="R230" s="1">
        <v>-958958.2558579134</v>
      </c>
      <c r="S230" s="1">
        <v>-368660.3460106761</v>
      </c>
      <c r="T230" s="1">
        <v>0</v>
      </c>
      <c r="U230" s="1">
        <v>0</v>
      </c>
      <c r="V230" s="1">
        <v>0</v>
      </c>
    </row>
    <row r="231" spans="1:22" s="1" customFormat="1">
      <c r="A231" s="3">
        <v>45632</v>
      </c>
      <c r="B231" s="2" t="s">
        <v>26</v>
      </c>
      <c r="C231" s="2">
        <v>13</v>
      </c>
      <c r="D231" s="2">
        <v>17</v>
      </c>
      <c r="E231" s="2">
        <v>16</v>
      </c>
      <c r="F231" s="2">
        <v>5</v>
      </c>
      <c r="G231" s="2">
        <v>1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276678.9610398135</v>
      </c>
      <c r="U231" s="1">
        <v>546957.9291915722</v>
      </c>
      <c r="V231" s="1">
        <v>467200.7969951413</v>
      </c>
    </row>
    <row r="232" spans="1:22" s="1" customFormat="1">
      <c r="A232" s="3">
        <v>45635</v>
      </c>
      <c r="B232" s="2" t="s">
        <v>22</v>
      </c>
      <c r="C232" s="2">
        <v>12</v>
      </c>
      <c r="D232" s="2">
        <v>16</v>
      </c>
      <c r="E232" s="2">
        <v>15</v>
      </c>
      <c r="F232" s="2">
        <v>4</v>
      </c>
      <c r="G232" s="2">
        <v>5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</row>
    <row r="233" spans="1:22" s="1" customFormat="1">
      <c r="A233" s="3">
        <v>45636</v>
      </c>
      <c r="B233" s="2" t="s">
        <v>23</v>
      </c>
      <c r="C233" s="2">
        <v>11</v>
      </c>
      <c r="D233" s="2">
        <v>15</v>
      </c>
      <c r="E233" s="2">
        <v>14</v>
      </c>
      <c r="F233" s="2">
        <v>3</v>
      </c>
      <c r="G233" s="2">
        <v>4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</row>
    <row r="234" spans="1:22" s="1" customFormat="1">
      <c r="A234" s="3">
        <v>45637</v>
      </c>
      <c r="B234" s="2" t="s">
        <v>24</v>
      </c>
      <c r="C234" s="2">
        <v>10</v>
      </c>
      <c r="D234" s="2">
        <v>14</v>
      </c>
      <c r="E234" s="2">
        <v>13</v>
      </c>
      <c r="F234" s="2">
        <v>2</v>
      </c>
      <c r="G234" s="2">
        <v>3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</row>
    <row r="235" spans="1:22" s="1" customFormat="1">
      <c r="A235" s="3">
        <v>45638</v>
      </c>
      <c r="B235" s="2" t="s">
        <v>25</v>
      </c>
      <c r="C235" s="2">
        <v>9</v>
      </c>
      <c r="D235" s="2">
        <v>13</v>
      </c>
      <c r="E235" s="2">
        <v>12</v>
      </c>
      <c r="F235" s="2">
        <v>1</v>
      </c>
      <c r="G235" s="2">
        <v>2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1318248.495984396</v>
      </c>
      <c r="R235" s="1">
        <v>1014945.972698077</v>
      </c>
      <c r="S235" s="1">
        <v>658930.6118797445</v>
      </c>
      <c r="T235" s="1">
        <v>0</v>
      </c>
      <c r="U235" s="1">
        <v>0</v>
      </c>
      <c r="V235" s="1">
        <v>0</v>
      </c>
    </row>
    <row r="236" spans="1:22" s="1" customFormat="1">
      <c r="A236" s="3">
        <v>45639</v>
      </c>
      <c r="B236" s="2" t="s">
        <v>26</v>
      </c>
      <c r="C236" s="2">
        <v>8</v>
      </c>
      <c r="D236" s="2">
        <v>12</v>
      </c>
      <c r="E236" s="2">
        <v>11</v>
      </c>
      <c r="F236" s="2">
        <v>5</v>
      </c>
      <c r="G236" s="2">
        <v>1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677453.8503913424</v>
      </c>
      <c r="U236" s="1">
        <v>314512.031446405</v>
      </c>
      <c r="V236" s="1">
        <v>18609.36515608872</v>
      </c>
    </row>
    <row r="237" spans="1:22" s="1" customFormat="1">
      <c r="A237" s="3">
        <v>45642</v>
      </c>
      <c r="B237" s="2" t="s">
        <v>22</v>
      </c>
      <c r="C237" s="2">
        <v>7</v>
      </c>
      <c r="D237" s="2">
        <v>11</v>
      </c>
      <c r="E237" s="2">
        <v>10</v>
      </c>
      <c r="F237" s="2">
        <v>4</v>
      </c>
      <c r="G237" s="2">
        <v>5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</row>
    <row r="238" spans="1:22" s="1" customFormat="1">
      <c r="A238" s="3">
        <v>45643</v>
      </c>
      <c r="B238" s="2" t="s">
        <v>23</v>
      </c>
      <c r="C238" s="2">
        <v>6</v>
      </c>
      <c r="D238" s="2">
        <v>10</v>
      </c>
      <c r="E238" s="2">
        <v>9</v>
      </c>
      <c r="F238" s="2">
        <v>3</v>
      </c>
      <c r="G238" s="2">
        <v>4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</row>
    <row r="239" spans="1:22" s="1" customFormat="1">
      <c r="A239" s="3">
        <v>45644</v>
      </c>
      <c r="B239" s="2" t="s">
        <v>24</v>
      </c>
      <c r="C239" s="2">
        <v>5</v>
      </c>
      <c r="D239" s="2">
        <v>9</v>
      </c>
      <c r="E239" s="2">
        <v>8</v>
      </c>
      <c r="F239" s="2">
        <v>2</v>
      </c>
      <c r="G239" s="2">
        <v>3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</row>
    <row r="240" spans="1:22" s="1" customFormat="1">
      <c r="A240" s="3">
        <v>45645</v>
      </c>
      <c r="B240" s="2" t="s">
        <v>25</v>
      </c>
      <c r="C240" s="2">
        <v>4</v>
      </c>
      <c r="D240" s="2">
        <v>8</v>
      </c>
      <c r="E240" s="2">
        <v>7</v>
      </c>
      <c r="F240" s="2">
        <v>1</v>
      </c>
      <c r="G240" s="2">
        <v>2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-440438.1626322572</v>
      </c>
      <c r="R240" s="1">
        <v>-82595.82891549038</v>
      </c>
      <c r="S240" s="1">
        <v>138512.5937885572</v>
      </c>
      <c r="T240" s="1">
        <v>0</v>
      </c>
      <c r="U240" s="1">
        <v>0</v>
      </c>
      <c r="V240" s="1">
        <v>0</v>
      </c>
    </row>
    <row r="241" spans="1:22" s="1" customFormat="1">
      <c r="A241" s="3">
        <v>45646</v>
      </c>
      <c r="B241" s="2" t="s">
        <v>26</v>
      </c>
      <c r="C241" s="2">
        <v>3</v>
      </c>
      <c r="D241" s="2">
        <v>7</v>
      </c>
      <c r="E241" s="2">
        <v>6</v>
      </c>
      <c r="F241" s="2">
        <v>4</v>
      </c>
      <c r="G241" s="2">
        <v>1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-1370975.724015625</v>
      </c>
      <c r="U241" s="1">
        <v>-915729.4341738297</v>
      </c>
      <c r="V241" s="1">
        <v>-828699.3761062804</v>
      </c>
    </row>
    <row r="242" spans="1:22" s="1" customFormat="1">
      <c r="A242" s="3">
        <v>45649</v>
      </c>
      <c r="B242" s="2" t="s">
        <v>22</v>
      </c>
      <c r="C242" s="2">
        <v>2</v>
      </c>
      <c r="D242" s="2">
        <v>6</v>
      </c>
      <c r="E242" s="2">
        <v>5</v>
      </c>
      <c r="F242" s="2">
        <v>3</v>
      </c>
      <c r="G242" s="2">
        <v>4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</row>
    <row r="243" spans="1:22" s="1" customFormat="1">
      <c r="A243" s="3">
        <v>45650</v>
      </c>
      <c r="B243" s="2" t="s">
        <v>23</v>
      </c>
      <c r="C243" s="2">
        <v>1</v>
      </c>
      <c r="D243" s="2">
        <v>5</v>
      </c>
      <c r="E243" s="2">
        <v>4</v>
      </c>
      <c r="F243" s="2">
        <v>2</v>
      </c>
      <c r="G243" s="2">
        <v>3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</row>
    <row r="244" spans="1:22" s="1" customFormat="1">
      <c r="A244" s="3">
        <v>45652</v>
      </c>
      <c r="B244" s="2" t="s">
        <v>25</v>
      </c>
      <c r="C244" s="2">
        <v>26</v>
      </c>
      <c r="D244" s="2">
        <v>4</v>
      </c>
      <c r="E244" s="2">
        <v>3</v>
      </c>
      <c r="F244" s="2">
        <v>1</v>
      </c>
      <c r="G244" s="2">
        <v>2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552188.1130864453</v>
      </c>
      <c r="R244" s="1">
        <v>552188.1130864453</v>
      </c>
      <c r="S244" s="1">
        <v>416036.551626138</v>
      </c>
      <c r="T244" s="1">
        <v>0</v>
      </c>
      <c r="U244" s="1">
        <v>0</v>
      </c>
      <c r="V244" s="1">
        <v>0</v>
      </c>
    </row>
    <row r="245" spans="1:22" s="1" customFormat="1">
      <c r="A245" s="3">
        <v>45653</v>
      </c>
      <c r="B245" s="2" t="s">
        <v>26</v>
      </c>
      <c r="C245" s="2">
        <v>25</v>
      </c>
      <c r="D245" s="2">
        <v>3</v>
      </c>
      <c r="E245" s="2">
        <v>2</v>
      </c>
      <c r="F245" s="2">
        <v>5</v>
      </c>
      <c r="G245" s="2">
        <v>1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1022916.390725799</v>
      </c>
      <c r="U245" s="1">
        <v>1022916.390725799</v>
      </c>
      <c r="V245" s="1">
        <v>822455.0891026838</v>
      </c>
    </row>
    <row r="246" spans="1:22" s="1" customFormat="1">
      <c r="A246" s="3">
        <v>45656</v>
      </c>
      <c r="B246" s="2" t="s">
        <v>22</v>
      </c>
      <c r="C246" s="2">
        <v>24</v>
      </c>
      <c r="D246" s="2">
        <v>2</v>
      </c>
      <c r="E246" s="2">
        <v>1</v>
      </c>
      <c r="F246" s="2">
        <v>4</v>
      </c>
      <c r="G246" s="2">
        <v>5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</row>
    <row r="247" spans="1:22" s="1" customFormat="1">
      <c r="A247" s="3">
        <v>45657</v>
      </c>
      <c r="B247" s="2" t="s">
        <v>23</v>
      </c>
      <c r="C247" s="2">
        <v>23</v>
      </c>
      <c r="D247" s="2">
        <v>1</v>
      </c>
      <c r="E247" s="2">
        <v>23</v>
      </c>
      <c r="F247" s="2">
        <v>3</v>
      </c>
      <c r="G247" s="2">
        <v>4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</row>
    <row r="248" spans="1:22" s="1" customFormat="1">
      <c r="A248" s="3">
        <v>45658</v>
      </c>
      <c r="B248" s="2" t="s">
        <v>24</v>
      </c>
      <c r="C248" s="2">
        <v>22</v>
      </c>
      <c r="D248" s="2">
        <v>22</v>
      </c>
      <c r="E248" s="2">
        <v>22</v>
      </c>
      <c r="F248" s="2">
        <v>2</v>
      </c>
      <c r="G248" s="2">
        <v>3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</row>
    <row r="249" spans="1:22" s="1" customFormat="1">
      <c r="A249" s="3">
        <v>45659</v>
      </c>
      <c r="B249" s="2" t="s">
        <v>25</v>
      </c>
      <c r="C249" s="2">
        <v>21</v>
      </c>
      <c r="D249" s="2">
        <v>21</v>
      </c>
      <c r="E249" s="2">
        <v>21</v>
      </c>
      <c r="F249" s="2">
        <v>1</v>
      </c>
      <c r="G249" s="2">
        <v>2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-640076.6750995278</v>
      </c>
      <c r="R249" s="1">
        <v>-739468.2138293054</v>
      </c>
      <c r="S249" s="1">
        <v>-306327.4319602767</v>
      </c>
      <c r="T249" s="1">
        <v>0</v>
      </c>
      <c r="U249" s="1">
        <v>0</v>
      </c>
      <c r="V249" s="1">
        <v>0</v>
      </c>
    </row>
    <row r="250" spans="1:22" s="1" customFormat="1">
      <c r="A250" s="3">
        <v>45660</v>
      </c>
      <c r="B250" s="2" t="s">
        <v>26</v>
      </c>
      <c r="C250" s="2">
        <v>20</v>
      </c>
      <c r="D250" s="2">
        <v>20</v>
      </c>
      <c r="E250" s="2">
        <v>20</v>
      </c>
      <c r="F250" s="2">
        <v>5</v>
      </c>
      <c r="G250" s="2">
        <v>1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190743.0634449697</v>
      </c>
      <c r="U250" s="1">
        <v>-280747.439132017</v>
      </c>
      <c r="V250" s="1">
        <v>368954.3587384206</v>
      </c>
    </row>
    <row r="251" spans="1:22" s="1" customFormat="1">
      <c r="A251" s="3">
        <v>45663</v>
      </c>
      <c r="B251" s="2" t="s">
        <v>22</v>
      </c>
      <c r="C251" s="2">
        <v>19</v>
      </c>
      <c r="D251" s="2">
        <v>19</v>
      </c>
      <c r="E251" s="2">
        <v>19</v>
      </c>
      <c r="F251" s="2">
        <v>4</v>
      </c>
      <c r="G251" s="2">
        <v>2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</row>
    <row r="252" spans="1:22" s="1" customFormat="1">
      <c r="A252" s="3">
        <v>45664</v>
      </c>
      <c r="B252" s="2" t="s">
        <v>23</v>
      </c>
      <c r="C252" s="2">
        <v>18</v>
      </c>
      <c r="D252" s="2">
        <v>18</v>
      </c>
      <c r="E252" s="2">
        <v>18</v>
      </c>
      <c r="F252" s="2">
        <v>3</v>
      </c>
      <c r="G252" s="2">
        <v>1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675145.6691621613</v>
      </c>
      <c r="U252" s="1">
        <v>675145.6691621613</v>
      </c>
      <c r="V252" s="1">
        <v>675145.6691621613</v>
      </c>
    </row>
    <row r="253" spans="1:22" s="1" customFormat="1">
      <c r="A253" s="3">
        <v>45665</v>
      </c>
      <c r="B253" s="2" t="s">
        <v>24</v>
      </c>
      <c r="C253" s="2">
        <v>17</v>
      </c>
      <c r="D253" s="2">
        <v>17</v>
      </c>
      <c r="E253" s="2">
        <v>17</v>
      </c>
      <c r="F253" s="2">
        <v>2</v>
      </c>
      <c r="G253" s="2">
        <v>5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</row>
    <row r="254" spans="1:22" s="1" customFormat="1">
      <c r="A254" s="3">
        <v>45666</v>
      </c>
      <c r="B254" s="2" t="s">
        <v>25</v>
      </c>
      <c r="C254" s="2">
        <v>16</v>
      </c>
      <c r="D254" s="2">
        <v>16</v>
      </c>
      <c r="E254" s="2">
        <v>16</v>
      </c>
      <c r="F254" s="2">
        <v>1</v>
      </c>
      <c r="G254" s="2">
        <v>4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747559.2749054392</v>
      </c>
      <c r="R254" s="1">
        <v>974567.162082126</v>
      </c>
      <c r="S254" s="1">
        <v>405615.936831417</v>
      </c>
      <c r="T254" s="1">
        <v>0</v>
      </c>
      <c r="U254" s="1">
        <v>0</v>
      </c>
      <c r="V254" s="1">
        <v>0</v>
      </c>
    </row>
    <row r="255" spans="1:22" s="1" customFormat="1">
      <c r="A255" s="3">
        <v>45667</v>
      </c>
      <c r="B255" s="2" t="s">
        <v>26</v>
      </c>
      <c r="C255" s="2">
        <v>15</v>
      </c>
      <c r="D255" s="2">
        <v>15</v>
      </c>
      <c r="E255" s="2">
        <v>15</v>
      </c>
      <c r="F255" s="2">
        <v>5</v>
      </c>
      <c r="G255" s="2">
        <v>3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</row>
    <row r="256" spans="1:22" s="1" customFormat="1">
      <c r="A256" s="3">
        <v>45670</v>
      </c>
      <c r="B256" s="2" t="s">
        <v>22</v>
      </c>
      <c r="C256" s="2">
        <v>14</v>
      </c>
      <c r="D256" s="2">
        <v>14</v>
      </c>
      <c r="E256" s="2">
        <v>14</v>
      </c>
      <c r="F256" s="2">
        <v>4</v>
      </c>
      <c r="G256" s="2">
        <v>2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</row>
    <row r="257" spans="1:22" s="1" customFormat="1">
      <c r="A257" s="3">
        <v>45671</v>
      </c>
      <c r="B257" s="2" t="s">
        <v>23</v>
      </c>
      <c r="C257" s="2">
        <v>13</v>
      </c>
      <c r="D257" s="2">
        <v>13</v>
      </c>
      <c r="E257" s="2">
        <v>13</v>
      </c>
      <c r="F257" s="2">
        <v>3</v>
      </c>
      <c r="G257" s="2">
        <v>1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707778.9530921777</v>
      </c>
      <c r="U257" s="1">
        <v>442278.9074103967</v>
      </c>
      <c r="V257" s="1">
        <v>451830.4948476292</v>
      </c>
    </row>
    <row r="258" spans="1:22" s="1" customFormat="1">
      <c r="A258" s="3">
        <v>45672</v>
      </c>
      <c r="B258" s="2" t="s">
        <v>24</v>
      </c>
      <c r="C258" s="2">
        <v>12</v>
      </c>
      <c r="D258" s="2">
        <v>12</v>
      </c>
      <c r="E258" s="2">
        <v>12</v>
      </c>
      <c r="F258" s="2">
        <v>2</v>
      </c>
      <c r="G258" s="2">
        <v>5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</row>
    <row r="259" spans="1:22" s="1" customFormat="1">
      <c r="A259" s="3">
        <v>45673</v>
      </c>
      <c r="B259" s="2" t="s">
        <v>25</v>
      </c>
      <c r="C259" s="2">
        <v>11</v>
      </c>
      <c r="D259" s="2">
        <v>11</v>
      </c>
      <c r="E259" s="2">
        <v>11</v>
      </c>
      <c r="F259" s="2">
        <v>1</v>
      </c>
      <c r="G259" s="2">
        <v>4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504893.6046154393</v>
      </c>
      <c r="R259" s="1">
        <v>990889.7633518897</v>
      </c>
      <c r="S259" s="1">
        <v>649156.5906657322</v>
      </c>
      <c r="T259" s="1">
        <v>0</v>
      </c>
      <c r="U259" s="1">
        <v>0</v>
      </c>
      <c r="V259" s="1">
        <v>0</v>
      </c>
    </row>
    <row r="260" spans="1:22" s="1" customFormat="1">
      <c r="A260" s="3">
        <v>45674</v>
      </c>
      <c r="B260" s="2" t="s">
        <v>26</v>
      </c>
      <c r="C260" s="2">
        <v>10</v>
      </c>
      <c r="D260" s="2">
        <v>10</v>
      </c>
      <c r="E260" s="2">
        <v>10</v>
      </c>
      <c r="F260" s="2">
        <v>5</v>
      </c>
      <c r="G260" s="2">
        <v>3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</row>
    <row r="261" spans="1:22" s="1" customFormat="1">
      <c r="A261" s="3">
        <v>45677</v>
      </c>
      <c r="B261" s="2" t="s">
        <v>22</v>
      </c>
      <c r="C261" s="2">
        <v>9</v>
      </c>
      <c r="D261" s="2">
        <v>9</v>
      </c>
      <c r="E261" s="2">
        <v>9</v>
      </c>
      <c r="F261" s="2">
        <v>4</v>
      </c>
      <c r="G261" s="2">
        <v>2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</row>
    <row r="262" spans="1:22" s="1" customFormat="1">
      <c r="A262" s="3">
        <v>45678</v>
      </c>
      <c r="B262" s="2" t="s">
        <v>23</v>
      </c>
      <c r="C262" s="2">
        <v>8</v>
      </c>
      <c r="D262" s="2">
        <v>8</v>
      </c>
      <c r="E262" s="2">
        <v>8</v>
      </c>
      <c r="F262" s="2">
        <v>3</v>
      </c>
      <c r="G262" s="2">
        <v>1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-355145.216652221</v>
      </c>
      <c r="U262" s="1">
        <v>-436970.6523428921</v>
      </c>
      <c r="V262" s="1">
        <v>-629532.32545378</v>
      </c>
    </row>
    <row r="263" spans="1:22" s="1" customFormat="1">
      <c r="A263" s="3">
        <v>45679</v>
      </c>
      <c r="B263" s="2" t="s">
        <v>24</v>
      </c>
      <c r="C263" s="2">
        <v>7</v>
      </c>
      <c r="D263" s="2">
        <v>7</v>
      </c>
      <c r="E263" s="2">
        <v>7</v>
      </c>
      <c r="F263" s="2">
        <v>2</v>
      </c>
      <c r="G263" s="2">
        <v>5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</row>
    <row r="264" spans="1:22" s="1" customFormat="1">
      <c r="A264" s="3">
        <v>45680</v>
      </c>
      <c r="B264" s="2" t="s">
        <v>25</v>
      </c>
      <c r="C264" s="2">
        <v>6</v>
      </c>
      <c r="D264" s="2">
        <v>6</v>
      </c>
      <c r="E264" s="2">
        <v>6</v>
      </c>
      <c r="F264" s="2">
        <v>1</v>
      </c>
      <c r="G264" s="2">
        <v>4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730592.9947389939</v>
      </c>
      <c r="R264" s="1">
        <v>603931.38464754</v>
      </c>
      <c r="S264" s="1">
        <v>684682.2809947287</v>
      </c>
      <c r="T264" s="1">
        <v>0</v>
      </c>
      <c r="U264" s="1">
        <v>0</v>
      </c>
      <c r="V264" s="1">
        <v>0</v>
      </c>
    </row>
    <row r="265" spans="1:22" s="1" customFormat="1">
      <c r="A265" s="3">
        <v>45681</v>
      </c>
      <c r="B265" s="2" t="s">
        <v>26</v>
      </c>
      <c r="C265" s="2">
        <v>5</v>
      </c>
      <c r="D265" s="2">
        <v>5</v>
      </c>
      <c r="E265" s="2">
        <v>5</v>
      </c>
      <c r="F265" s="2">
        <v>5</v>
      </c>
      <c r="G265" s="2">
        <v>3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</row>
    <row r="266" spans="1:22" s="1" customFormat="1">
      <c r="A266" s="3">
        <v>45684</v>
      </c>
      <c r="B266" s="2" t="s">
        <v>22</v>
      </c>
      <c r="C266" s="2">
        <v>4</v>
      </c>
      <c r="D266" s="2">
        <v>4</v>
      </c>
      <c r="E266" s="2">
        <v>4</v>
      </c>
      <c r="F266" s="2">
        <v>4</v>
      </c>
      <c r="G266" s="2">
        <v>2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</row>
    <row r="267" spans="1:22" s="1" customFormat="1">
      <c r="A267" s="3">
        <v>45685</v>
      </c>
      <c r="B267" s="2" t="s">
        <v>23</v>
      </c>
      <c r="C267" s="2">
        <v>3</v>
      </c>
      <c r="D267" s="2">
        <v>3</v>
      </c>
      <c r="E267" s="2">
        <v>3</v>
      </c>
      <c r="F267" s="2">
        <v>3</v>
      </c>
      <c r="G267" s="2">
        <v>1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456912.2308498513</v>
      </c>
      <c r="U267" s="1">
        <v>-27755.76024826032</v>
      </c>
      <c r="V267" s="1">
        <v>-169391.2770495309</v>
      </c>
    </row>
    <row r="268" spans="1:22" s="1" customFormat="1">
      <c r="A268" s="3">
        <v>45686</v>
      </c>
      <c r="B268" s="2" t="s">
        <v>24</v>
      </c>
      <c r="C268" s="2">
        <v>2</v>
      </c>
      <c r="D268" s="2">
        <v>2</v>
      </c>
      <c r="E268" s="2">
        <v>2</v>
      </c>
      <c r="F268" s="2">
        <v>2</v>
      </c>
      <c r="G268" s="2">
        <v>6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</row>
    <row r="269" spans="1:22" s="1" customFormat="1">
      <c r="A269" s="3">
        <v>45687</v>
      </c>
      <c r="B269" s="2" t="s">
        <v>25</v>
      </c>
      <c r="C269" s="2">
        <v>1</v>
      </c>
      <c r="D269" s="2">
        <v>1</v>
      </c>
      <c r="E269" s="2">
        <v>1</v>
      </c>
      <c r="F269" s="2">
        <v>1</v>
      </c>
      <c r="G269" s="2">
        <v>5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138065.9725606045</v>
      </c>
      <c r="R269" s="1">
        <v>706378.2401541752</v>
      </c>
      <c r="S269" s="1">
        <v>687616.0211221883</v>
      </c>
      <c r="T269" s="1">
        <v>0</v>
      </c>
      <c r="U269" s="1">
        <v>0</v>
      </c>
      <c r="V269" s="1">
        <v>0</v>
      </c>
    </row>
    <row r="270" spans="1:22" s="1" customFormat="1">
      <c r="A270" s="3">
        <v>45688</v>
      </c>
      <c r="B270" s="2" t="s">
        <v>26</v>
      </c>
      <c r="C270" s="2">
        <v>20</v>
      </c>
      <c r="D270" s="2">
        <v>20</v>
      </c>
      <c r="E270" s="2">
        <v>20</v>
      </c>
      <c r="F270" s="2">
        <v>6</v>
      </c>
      <c r="G270" s="2">
        <v>4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</row>
    <row r="271" spans="1:22" s="1" customFormat="1">
      <c r="A271" s="3">
        <v>45689</v>
      </c>
      <c r="B271" s="2" t="s">
        <v>27</v>
      </c>
      <c r="C271" s="2">
        <v>19</v>
      </c>
      <c r="D271" s="2">
        <v>19</v>
      </c>
      <c r="E271" s="2">
        <v>19</v>
      </c>
      <c r="F271" s="2">
        <v>5</v>
      </c>
      <c r="G271" s="2">
        <v>3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</row>
    <row r="272" spans="1:22" s="1" customFormat="1">
      <c r="A272" s="3">
        <v>45691</v>
      </c>
      <c r="B272" s="2" t="s">
        <v>22</v>
      </c>
      <c r="C272" s="2">
        <v>18</v>
      </c>
      <c r="D272" s="2">
        <v>18</v>
      </c>
      <c r="E272" s="2">
        <v>18</v>
      </c>
      <c r="F272" s="2">
        <v>4</v>
      </c>
      <c r="G272" s="2">
        <v>2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</row>
    <row r="273" spans="1:22" s="1" customFormat="1">
      <c r="A273" s="3">
        <v>45692</v>
      </c>
      <c r="B273" s="2" t="s">
        <v>23</v>
      </c>
      <c r="C273" s="2">
        <v>17</v>
      </c>
      <c r="D273" s="2">
        <v>17</v>
      </c>
      <c r="E273" s="2">
        <v>17</v>
      </c>
      <c r="F273" s="2">
        <v>3</v>
      </c>
      <c r="G273" s="2">
        <v>1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1417833.251120639</v>
      </c>
      <c r="U273" s="1">
        <v>1144853.570452607</v>
      </c>
      <c r="V273" s="1">
        <v>432460.3629940473</v>
      </c>
    </row>
    <row r="274" spans="1:22" s="1" customFormat="1">
      <c r="A274" s="3">
        <v>45693</v>
      </c>
      <c r="B274" s="2" t="s">
        <v>24</v>
      </c>
      <c r="C274" s="2">
        <v>16</v>
      </c>
      <c r="D274" s="2">
        <v>16</v>
      </c>
      <c r="E274" s="2">
        <v>16</v>
      </c>
      <c r="F274" s="2">
        <v>2</v>
      </c>
      <c r="G274" s="2">
        <v>5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</row>
    <row r="275" spans="1:22" s="1" customFormat="1">
      <c r="A275" s="3">
        <v>45694</v>
      </c>
      <c r="B275" s="2" t="s">
        <v>25</v>
      </c>
      <c r="C275" s="2">
        <v>15</v>
      </c>
      <c r="D275" s="2">
        <v>15</v>
      </c>
      <c r="E275" s="2">
        <v>15</v>
      </c>
      <c r="F275" s="2">
        <v>1</v>
      </c>
      <c r="G275" s="2">
        <v>4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759942.1655198266</v>
      </c>
      <c r="R275" s="1">
        <v>21719.75279730807</v>
      </c>
      <c r="S275" s="1">
        <v>632416.2539599345</v>
      </c>
      <c r="T275" s="1">
        <v>0</v>
      </c>
      <c r="U275" s="1">
        <v>0</v>
      </c>
      <c r="V275" s="1">
        <v>0</v>
      </c>
    </row>
    <row r="276" spans="1:22" s="1" customFormat="1">
      <c r="A276" s="3">
        <v>45695</v>
      </c>
      <c r="B276" s="2" t="s">
        <v>26</v>
      </c>
      <c r="C276" s="2">
        <v>14</v>
      </c>
      <c r="D276" s="2">
        <v>14</v>
      </c>
      <c r="E276" s="2">
        <v>14</v>
      </c>
      <c r="F276" s="2">
        <v>5</v>
      </c>
      <c r="G276" s="2">
        <v>3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</row>
    <row r="277" spans="1:22" s="1" customFormat="1">
      <c r="A277" s="3">
        <v>45698</v>
      </c>
      <c r="B277" s="2" t="s">
        <v>22</v>
      </c>
      <c r="C277" s="2">
        <v>13</v>
      </c>
      <c r="D277" s="2">
        <v>13</v>
      </c>
      <c r="E277" s="2">
        <v>13</v>
      </c>
      <c r="F277" s="2">
        <v>4</v>
      </c>
      <c r="G277" s="2">
        <v>2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</row>
    <row r="278" spans="1:22" s="1" customFormat="1">
      <c r="A278" s="3">
        <v>45699</v>
      </c>
      <c r="B278" s="2" t="s">
        <v>23</v>
      </c>
      <c r="C278" s="2">
        <v>12</v>
      </c>
      <c r="D278" s="2">
        <v>12</v>
      </c>
      <c r="E278" s="2">
        <v>12</v>
      </c>
      <c r="F278" s="2">
        <v>3</v>
      </c>
      <c r="G278" s="2">
        <v>1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227727.8339549277</v>
      </c>
      <c r="U278" s="1">
        <v>282583.0189132984</v>
      </c>
      <c r="V278" s="1">
        <v>-32754.61316531947</v>
      </c>
    </row>
    <row r="279" spans="1:22" s="1" customFormat="1">
      <c r="A279" s="3">
        <v>45700</v>
      </c>
      <c r="B279" s="2" t="s">
        <v>24</v>
      </c>
      <c r="C279" s="2">
        <v>11</v>
      </c>
      <c r="D279" s="2">
        <v>11</v>
      </c>
      <c r="E279" s="2">
        <v>11</v>
      </c>
      <c r="F279" s="2">
        <v>2</v>
      </c>
      <c r="G279" s="2">
        <v>5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</row>
    <row r="280" spans="1:22" s="1" customFormat="1">
      <c r="A280" s="3">
        <v>45701</v>
      </c>
      <c r="B280" s="2" t="s">
        <v>25</v>
      </c>
      <c r="C280" s="2">
        <v>10</v>
      </c>
      <c r="D280" s="2">
        <v>10</v>
      </c>
      <c r="E280" s="2">
        <v>10</v>
      </c>
      <c r="F280" s="2">
        <v>1</v>
      </c>
      <c r="G280" s="2">
        <v>4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-1311544.510807493</v>
      </c>
      <c r="R280" s="1">
        <v>-789138.4003385761</v>
      </c>
      <c r="S280" s="1">
        <v>-410246.906340698</v>
      </c>
      <c r="T280" s="1">
        <v>0</v>
      </c>
      <c r="U280" s="1">
        <v>0</v>
      </c>
      <c r="V280" s="1">
        <v>0</v>
      </c>
    </row>
    <row r="281" spans="1:22" s="1" customFormat="1">
      <c r="A281" s="3">
        <v>45702</v>
      </c>
      <c r="B281" s="2" t="s">
        <v>26</v>
      </c>
      <c r="C281" s="2">
        <v>9</v>
      </c>
      <c r="D281" s="2">
        <v>9</v>
      </c>
      <c r="E281" s="2">
        <v>9</v>
      </c>
      <c r="F281" s="2">
        <v>5</v>
      </c>
      <c r="G281" s="2">
        <v>3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</row>
    <row r="282" spans="1:22" s="1" customFormat="1">
      <c r="A282" s="3">
        <v>45705</v>
      </c>
      <c r="B282" s="2" t="s">
        <v>22</v>
      </c>
      <c r="C282" s="2">
        <v>8</v>
      </c>
      <c r="D282" s="2">
        <v>8</v>
      </c>
      <c r="E282" s="2">
        <v>8</v>
      </c>
      <c r="F282" s="2">
        <v>4</v>
      </c>
      <c r="G282" s="2">
        <v>2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</row>
    <row r="283" spans="1:22" s="1" customFormat="1">
      <c r="A283" s="3">
        <v>45706</v>
      </c>
      <c r="B283" s="2" t="s">
        <v>23</v>
      </c>
      <c r="C283" s="2">
        <v>7</v>
      </c>
      <c r="D283" s="2">
        <v>7</v>
      </c>
      <c r="E283" s="2">
        <v>7</v>
      </c>
      <c r="F283" s="2">
        <v>3</v>
      </c>
      <c r="G283" s="2">
        <v>1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964255.5302112136</v>
      </c>
      <c r="U283" s="1">
        <v>684012.8756732832</v>
      </c>
      <c r="V283" s="1">
        <v>840125.2970513559</v>
      </c>
    </row>
    <row r="284" spans="1:22" s="1" customFormat="1">
      <c r="A284" s="3">
        <v>45707</v>
      </c>
      <c r="B284" s="2" t="s">
        <v>24</v>
      </c>
      <c r="C284" s="2">
        <v>6</v>
      </c>
      <c r="D284" s="2">
        <v>6</v>
      </c>
      <c r="E284" s="2">
        <v>6</v>
      </c>
      <c r="F284" s="2">
        <v>2</v>
      </c>
      <c r="G284" s="2">
        <v>5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</row>
    <row r="285" spans="1:22" s="1" customFormat="1">
      <c r="A285" s="3">
        <v>45708</v>
      </c>
      <c r="B285" s="2" t="s">
        <v>25</v>
      </c>
      <c r="C285" s="2">
        <v>5</v>
      </c>
      <c r="D285" s="2">
        <v>5</v>
      </c>
      <c r="E285" s="2">
        <v>5</v>
      </c>
      <c r="F285" s="2">
        <v>1</v>
      </c>
      <c r="G285" s="2">
        <v>4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1016322.355492686</v>
      </c>
      <c r="R285" s="1">
        <v>1103777.31203891</v>
      </c>
      <c r="S285" s="1">
        <v>771655.999832309</v>
      </c>
      <c r="T285" s="1">
        <v>0</v>
      </c>
      <c r="U285" s="1">
        <v>0</v>
      </c>
      <c r="V285" s="1">
        <v>0</v>
      </c>
    </row>
    <row r="286" spans="1:22" s="1" customFormat="1">
      <c r="A286" s="3">
        <v>45709</v>
      </c>
      <c r="B286" s="2" t="s">
        <v>26</v>
      </c>
      <c r="C286" s="2">
        <v>4</v>
      </c>
      <c r="D286" s="2">
        <v>4</v>
      </c>
      <c r="E286" s="2">
        <v>4</v>
      </c>
      <c r="F286" s="2">
        <v>4</v>
      </c>
      <c r="G286" s="2">
        <v>3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</row>
    <row r="287" spans="1:22" s="1" customFormat="1">
      <c r="A287" s="3">
        <v>45712</v>
      </c>
      <c r="B287" s="2" t="s">
        <v>22</v>
      </c>
      <c r="C287" s="2">
        <v>3</v>
      </c>
      <c r="D287" s="2">
        <v>3</v>
      </c>
      <c r="E287" s="2">
        <v>3</v>
      </c>
      <c r="F287" s="2">
        <v>3</v>
      </c>
      <c r="G287" s="2">
        <v>2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</row>
    <row r="288" spans="1:22" s="1" customFormat="1">
      <c r="A288" s="3">
        <v>45713</v>
      </c>
      <c r="B288" s="2" t="s">
        <v>23</v>
      </c>
      <c r="C288" s="2">
        <v>2</v>
      </c>
      <c r="D288" s="2">
        <v>2</v>
      </c>
      <c r="E288" s="2">
        <v>2</v>
      </c>
      <c r="F288" s="2">
        <v>2</v>
      </c>
      <c r="G288" s="2">
        <v>1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764027.1453188354</v>
      </c>
      <c r="U288" s="1">
        <v>634707.8281988241</v>
      </c>
      <c r="V288" s="1">
        <v>607704.2871820346</v>
      </c>
    </row>
    <row r="289" spans="1:22" s="1" customFormat="1">
      <c r="A289" s="3">
        <v>45715</v>
      </c>
      <c r="B289" s="2" t="s">
        <v>25</v>
      </c>
      <c r="C289" s="2">
        <v>1</v>
      </c>
      <c r="D289" s="2">
        <v>1</v>
      </c>
      <c r="E289" s="2">
        <v>1</v>
      </c>
      <c r="F289" s="2">
        <v>1</v>
      </c>
      <c r="G289" s="2">
        <v>4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835975.5483130979</v>
      </c>
      <c r="R289" s="1">
        <v>835975.5483130979</v>
      </c>
      <c r="S289" s="1">
        <v>826191.2768715377</v>
      </c>
      <c r="T289" s="1">
        <v>0</v>
      </c>
      <c r="U289" s="1">
        <v>0</v>
      </c>
      <c r="V289" s="1">
        <v>0</v>
      </c>
    </row>
    <row r="290" spans="1:22" s="1" customFormat="1">
      <c r="A290" s="3">
        <v>45716</v>
      </c>
      <c r="B290" s="2" t="s">
        <v>26</v>
      </c>
      <c r="C290" s="2">
        <v>19</v>
      </c>
      <c r="D290" s="2">
        <v>19</v>
      </c>
      <c r="E290" s="2">
        <v>19</v>
      </c>
      <c r="F290" s="2">
        <v>5</v>
      </c>
      <c r="G290" s="2">
        <v>3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</row>
    <row r="291" spans="1:22" s="1" customFormat="1">
      <c r="A291" s="3">
        <v>45719</v>
      </c>
      <c r="B291" s="2" t="s">
        <v>22</v>
      </c>
      <c r="C291" s="2">
        <v>18</v>
      </c>
      <c r="D291" s="2">
        <v>18</v>
      </c>
      <c r="E291" s="2">
        <v>18</v>
      </c>
      <c r="F291" s="2">
        <v>4</v>
      </c>
      <c r="G291" s="2">
        <v>2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</row>
    <row r="292" spans="1:22" s="1" customFormat="1">
      <c r="A292" s="3">
        <v>45720</v>
      </c>
      <c r="B292" s="2" t="s">
        <v>23</v>
      </c>
      <c r="C292" s="2">
        <v>17</v>
      </c>
      <c r="D292" s="2">
        <v>17</v>
      </c>
      <c r="E292" s="2">
        <v>17</v>
      </c>
      <c r="F292" s="2">
        <v>3</v>
      </c>
      <c r="G292" s="2">
        <v>1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-486489.1647975697</v>
      </c>
      <c r="U292" s="1">
        <v>-486489.1647975697</v>
      </c>
      <c r="V292" s="1">
        <v>300300.3708302295</v>
      </c>
    </row>
    <row r="293" spans="1:22" s="1" customFormat="1">
      <c r="A293" s="3">
        <v>45721</v>
      </c>
      <c r="B293" s="2" t="s">
        <v>24</v>
      </c>
      <c r="C293" s="2">
        <v>16</v>
      </c>
      <c r="D293" s="2">
        <v>16</v>
      </c>
      <c r="E293" s="2">
        <v>16</v>
      </c>
      <c r="F293" s="2">
        <v>2</v>
      </c>
      <c r="G293" s="2">
        <v>5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</row>
    <row r="294" spans="1:22" s="1" customFormat="1">
      <c r="A294" s="3">
        <v>45722</v>
      </c>
      <c r="B294" s="2" t="s">
        <v>25</v>
      </c>
      <c r="C294" s="2">
        <v>15</v>
      </c>
      <c r="D294" s="2">
        <v>15</v>
      </c>
      <c r="E294" s="2">
        <v>15</v>
      </c>
      <c r="F294" s="2">
        <v>1</v>
      </c>
      <c r="G294" s="2">
        <v>4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-45037.12388552172</v>
      </c>
      <c r="R294" s="1">
        <v>152018.5225775648</v>
      </c>
      <c r="S294" s="1">
        <v>-317323.7904535535</v>
      </c>
      <c r="T294" s="1">
        <v>0</v>
      </c>
      <c r="U294" s="1">
        <v>0</v>
      </c>
      <c r="V294" s="1">
        <v>0</v>
      </c>
    </row>
    <row r="295" spans="1:22" s="1" customFormat="1">
      <c r="A295" s="3">
        <v>45723</v>
      </c>
      <c r="B295" s="2" t="s">
        <v>26</v>
      </c>
      <c r="C295" s="2">
        <v>14</v>
      </c>
      <c r="D295" s="2">
        <v>14</v>
      </c>
      <c r="E295" s="2">
        <v>14</v>
      </c>
      <c r="F295" s="2">
        <v>5</v>
      </c>
      <c r="G295" s="2">
        <v>3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</row>
    <row r="296" spans="1:22" s="1" customFormat="1">
      <c r="A296" s="3">
        <v>45726</v>
      </c>
      <c r="B296" s="2" t="s">
        <v>22</v>
      </c>
      <c r="C296" s="2">
        <v>13</v>
      </c>
      <c r="D296" s="2">
        <v>13</v>
      </c>
      <c r="E296" s="2">
        <v>13</v>
      </c>
      <c r="F296" s="2">
        <v>4</v>
      </c>
      <c r="G296" s="2">
        <v>2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</row>
    <row r="297" spans="1:22" s="1" customFormat="1">
      <c r="A297" s="3">
        <v>45727</v>
      </c>
      <c r="B297" s="2" t="s">
        <v>23</v>
      </c>
      <c r="C297" s="2">
        <v>12</v>
      </c>
      <c r="D297" s="2">
        <v>12</v>
      </c>
      <c r="E297" s="2">
        <v>12</v>
      </c>
      <c r="F297" s="2">
        <v>3</v>
      </c>
      <c r="G297" s="2">
        <v>1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85536.09494616976</v>
      </c>
      <c r="U297" s="1">
        <v>215703.644030967</v>
      </c>
      <c r="V297" s="1">
        <v>282700.4219974683</v>
      </c>
    </row>
    <row r="298" spans="1:22" s="1" customFormat="1">
      <c r="A298" s="3">
        <v>45728</v>
      </c>
      <c r="B298" s="2" t="s">
        <v>24</v>
      </c>
      <c r="C298" s="2">
        <v>11</v>
      </c>
      <c r="D298" s="2">
        <v>11</v>
      </c>
      <c r="E298" s="2">
        <v>11</v>
      </c>
      <c r="F298" s="2">
        <v>2</v>
      </c>
      <c r="G298" s="2">
        <v>4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</row>
    <row r="299" spans="1:22" s="1" customFormat="1">
      <c r="A299" s="3">
        <v>45729</v>
      </c>
      <c r="B299" s="2" t="s">
        <v>25</v>
      </c>
      <c r="C299" s="2">
        <v>10</v>
      </c>
      <c r="D299" s="2">
        <v>10</v>
      </c>
      <c r="E299" s="2">
        <v>10</v>
      </c>
      <c r="F299" s="2">
        <v>1</v>
      </c>
      <c r="G299" s="2">
        <v>3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-85198.73728207058</v>
      </c>
      <c r="R299" s="1">
        <v>-266482.4763899555</v>
      </c>
      <c r="S299" s="1">
        <v>669415.2537581946</v>
      </c>
      <c r="T299" s="1">
        <v>0</v>
      </c>
      <c r="U299" s="1">
        <v>0</v>
      </c>
      <c r="V299" s="1">
        <v>0</v>
      </c>
    </row>
    <row r="300" spans="1:22" s="1" customFormat="1">
      <c r="A300" s="3">
        <v>45733</v>
      </c>
      <c r="B300" s="2" t="s">
        <v>22</v>
      </c>
      <c r="C300" s="2">
        <v>9</v>
      </c>
      <c r="D300" s="2">
        <v>9</v>
      </c>
      <c r="E300" s="2">
        <v>9</v>
      </c>
      <c r="F300" s="2">
        <v>4</v>
      </c>
      <c r="G300" s="2">
        <v>2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</row>
    <row r="301" spans="1:22" s="1" customFormat="1">
      <c r="A301" s="3">
        <v>45734</v>
      </c>
      <c r="B301" s="2" t="s">
        <v>23</v>
      </c>
      <c r="C301" s="2">
        <v>8</v>
      </c>
      <c r="D301" s="2">
        <v>8</v>
      </c>
      <c r="E301" s="2">
        <v>8</v>
      </c>
      <c r="F301" s="2">
        <v>3</v>
      </c>
      <c r="G301" s="2">
        <v>1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146087.785397077</v>
      </c>
      <c r="U301" s="1">
        <v>146087.785397077</v>
      </c>
      <c r="V301" s="1">
        <v>-70781.19200349864</v>
      </c>
    </row>
    <row r="302" spans="1:22" s="1" customFormat="1">
      <c r="A302" s="3">
        <v>45735</v>
      </c>
      <c r="B302" s="2" t="s">
        <v>24</v>
      </c>
      <c r="C302" s="2">
        <v>7</v>
      </c>
      <c r="D302" s="2">
        <v>7</v>
      </c>
      <c r="E302" s="2">
        <v>7</v>
      </c>
      <c r="F302" s="2">
        <v>2</v>
      </c>
      <c r="G302" s="2">
        <v>5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</row>
    <row r="303" spans="1:22" s="1" customFormat="1">
      <c r="A303" s="3">
        <v>45736</v>
      </c>
      <c r="B303" s="2" t="s">
        <v>25</v>
      </c>
      <c r="C303" s="2">
        <v>6</v>
      </c>
      <c r="D303" s="2">
        <v>6</v>
      </c>
      <c r="E303" s="2">
        <v>6</v>
      </c>
      <c r="F303" s="2">
        <v>1</v>
      </c>
      <c r="G303" s="2">
        <v>4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-510239.0480142258</v>
      </c>
      <c r="R303" s="1">
        <v>-510239.0480142258</v>
      </c>
      <c r="S303" s="1">
        <v>-176310.9015926275</v>
      </c>
      <c r="T303" s="1">
        <v>0</v>
      </c>
      <c r="U303" s="1">
        <v>0</v>
      </c>
      <c r="V303" s="1">
        <v>0</v>
      </c>
    </row>
    <row r="304" spans="1:22" s="1" customFormat="1">
      <c r="A304" s="3">
        <v>45737</v>
      </c>
      <c r="B304" s="2" t="s">
        <v>26</v>
      </c>
      <c r="C304" s="2">
        <v>5</v>
      </c>
      <c r="D304" s="2">
        <v>5</v>
      </c>
      <c r="E304" s="2">
        <v>5</v>
      </c>
      <c r="F304" s="2">
        <v>5</v>
      </c>
      <c r="G304" s="2">
        <v>3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</row>
    <row r="305" spans="1:22" s="1" customFormat="1">
      <c r="A305" s="3">
        <v>45740</v>
      </c>
      <c r="B305" s="2" t="s">
        <v>22</v>
      </c>
      <c r="C305" s="2">
        <v>4</v>
      </c>
      <c r="D305" s="2">
        <v>4</v>
      </c>
      <c r="E305" s="2">
        <v>4</v>
      </c>
      <c r="F305" s="2">
        <v>4</v>
      </c>
      <c r="G305" s="2">
        <v>2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</row>
    <row r="306" spans="1:22" s="1" customFormat="1">
      <c r="A306" s="3">
        <v>45741</v>
      </c>
      <c r="B306" s="2" t="s">
        <v>23</v>
      </c>
      <c r="C306" s="2">
        <v>3</v>
      </c>
      <c r="D306" s="2">
        <v>3</v>
      </c>
      <c r="E306" s="2">
        <v>3</v>
      </c>
      <c r="F306" s="2">
        <v>3</v>
      </c>
      <c r="G306" s="2">
        <v>1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-1273520.786709387</v>
      </c>
      <c r="U306" s="1">
        <v>-1070445.712685429</v>
      </c>
      <c r="V306" s="1">
        <v>-753207.4372101031</v>
      </c>
    </row>
    <row r="307" spans="1:22" s="1" customFormat="1">
      <c r="A307" s="3">
        <v>45742</v>
      </c>
      <c r="B307" s="2" t="s">
        <v>24</v>
      </c>
      <c r="C307" s="2">
        <v>2</v>
      </c>
      <c r="D307" s="2">
        <v>2</v>
      </c>
      <c r="E307" s="2">
        <v>2</v>
      </c>
      <c r="F307" s="2">
        <v>2</v>
      </c>
      <c r="G307" s="2">
        <v>4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</row>
    <row r="308" spans="1:22" s="1" customFormat="1">
      <c r="A308" s="3">
        <v>45743</v>
      </c>
      <c r="B308" s="2" t="s">
        <v>25</v>
      </c>
      <c r="C308" s="2">
        <v>1</v>
      </c>
      <c r="D308" s="2">
        <v>1</v>
      </c>
      <c r="E308" s="2">
        <v>1</v>
      </c>
      <c r="F308" s="2">
        <v>1</v>
      </c>
      <c r="G308" s="2">
        <v>3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294240.3465762089</v>
      </c>
      <c r="R308" s="1">
        <v>138196.4773530086</v>
      </c>
      <c r="S308" s="1">
        <v>450945.16034379</v>
      </c>
      <c r="T308" s="1">
        <v>0</v>
      </c>
      <c r="U308" s="1">
        <v>0</v>
      </c>
      <c r="V308" s="1">
        <v>0</v>
      </c>
    </row>
    <row r="309" spans="1:22" s="1" customFormat="1">
      <c r="A309" s="3">
        <v>45744</v>
      </c>
      <c r="B309" s="2" t="s">
        <v>26</v>
      </c>
      <c r="C309" s="2">
        <v>16</v>
      </c>
      <c r="D309" s="2">
        <v>16</v>
      </c>
      <c r="E309" s="2">
        <v>16</v>
      </c>
      <c r="F309" s="2">
        <v>4</v>
      </c>
      <c r="G309" s="2">
        <v>2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</row>
    <row r="310" spans="1:22" s="1" customFormat="1">
      <c r="A310" s="3">
        <v>45748</v>
      </c>
      <c r="B310" s="2" t="s">
        <v>23</v>
      </c>
      <c r="C310" s="2">
        <v>15</v>
      </c>
      <c r="D310" s="2">
        <v>15</v>
      </c>
      <c r="E310" s="2">
        <v>15</v>
      </c>
      <c r="F310" s="2">
        <v>3</v>
      </c>
      <c r="G310" s="2">
        <v>1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79915.26456931086</v>
      </c>
      <c r="U310" s="1">
        <v>79915.26456931086</v>
      </c>
      <c r="V310" s="1">
        <v>-191982.1359374463</v>
      </c>
    </row>
    <row r="311" spans="1:22" s="1" customFormat="1">
      <c r="A311" s="3">
        <v>45749</v>
      </c>
      <c r="B311" s="2" t="s">
        <v>24</v>
      </c>
      <c r="C311" s="2">
        <v>14</v>
      </c>
      <c r="D311" s="2">
        <v>14</v>
      </c>
      <c r="E311" s="2">
        <v>14</v>
      </c>
      <c r="F311" s="2">
        <v>2</v>
      </c>
      <c r="G311" s="2">
        <v>5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</row>
    <row r="312" spans="1:22" s="1" customFormat="1">
      <c r="A312" s="3">
        <v>45750</v>
      </c>
      <c r="B312" s="2" t="s">
        <v>25</v>
      </c>
      <c r="C312" s="2">
        <v>13</v>
      </c>
      <c r="D312" s="2">
        <v>13</v>
      </c>
      <c r="E312" s="2">
        <v>13</v>
      </c>
      <c r="F312" s="2">
        <v>1</v>
      </c>
      <c r="G312" s="2">
        <v>4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468250.489559183</v>
      </c>
      <c r="R312" s="1">
        <v>468250.489559183</v>
      </c>
      <c r="S312" s="1">
        <v>700363.815282649</v>
      </c>
      <c r="T312" s="1">
        <v>0</v>
      </c>
      <c r="U312" s="1">
        <v>0</v>
      </c>
      <c r="V312" s="1">
        <v>0</v>
      </c>
    </row>
    <row r="313" spans="1:22" s="1" customFormat="1">
      <c r="A313" s="3">
        <v>45751</v>
      </c>
      <c r="B313" s="2" t="s">
        <v>26</v>
      </c>
      <c r="C313" s="2">
        <v>12</v>
      </c>
      <c r="D313" s="2">
        <v>12</v>
      </c>
      <c r="E313" s="2">
        <v>12</v>
      </c>
      <c r="F313" s="2">
        <v>4</v>
      </c>
      <c r="G313" s="2">
        <v>3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</row>
    <row r="314" spans="1:22" s="1" customFormat="1">
      <c r="A314" s="3">
        <v>45754</v>
      </c>
      <c r="B314" s="2" t="s">
        <v>22</v>
      </c>
      <c r="C314" s="2">
        <v>11</v>
      </c>
      <c r="D314" s="2">
        <v>11</v>
      </c>
      <c r="E314" s="2">
        <v>11</v>
      </c>
      <c r="F314" s="2">
        <v>3</v>
      </c>
      <c r="G314" s="2">
        <v>2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</row>
    <row r="315" spans="1:22" s="1" customFormat="1">
      <c r="A315" s="3">
        <v>45755</v>
      </c>
      <c r="B315" s="2" t="s">
        <v>23</v>
      </c>
      <c r="C315" s="2">
        <v>10</v>
      </c>
      <c r="D315" s="2">
        <v>10</v>
      </c>
      <c r="E315" s="2">
        <v>10</v>
      </c>
      <c r="F315" s="2">
        <v>2</v>
      </c>
      <c r="G315" s="2">
        <v>1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-825098.4328431487</v>
      </c>
      <c r="U315" s="1">
        <v>-936961.8922585337</v>
      </c>
      <c r="V315" s="1">
        <v>-1135004.007772768</v>
      </c>
    </row>
    <row r="316" spans="1:22" s="1" customFormat="1">
      <c r="A316" s="3">
        <v>45756</v>
      </c>
      <c r="B316" s="2" t="s">
        <v>24</v>
      </c>
      <c r="C316" s="2">
        <v>9</v>
      </c>
      <c r="D316" s="2">
        <v>9</v>
      </c>
      <c r="E316" s="2">
        <v>9</v>
      </c>
      <c r="F316" s="2">
        <v>1</v>
      </c>
      <c r="G316" s="2">
        <v>3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-2822471.147882892</v>
      </c>
      <c r="R316" s="1">
        <v>-2822471.147882892</v>
      </c>
      <c r="S316" s="1">
        <v>0</v>
      </c>
      <c r="T316" s="1">
        <v>0</v>
      </c>
      <c r="U316" s="1">
        <v>0</v>
      </c>
      <c r="V316" s="1">
        <v>0</v>
      </c>
    </row>
    <row r="317" spans="1:22" s="1" customFormat="1">
      <c r="A317" s="3">
        <v>45758</v>
      </c>
      <c r="B317" s="2" t="s">
        <v>26</v>
      </c>
      <c r="C317" s="2">
        <v>8</v>
      </c>
      <c r="D317" s="2">
        <v>8</v>
      </c>
      <c r="E317" s="2">
        <v>8</v>
      </c>
      <c r="F317" s="2">
        <v>4</v>
      </c>
      <c r="G317" s="2">
        <v>2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</row>
    <row r="318" spans="1:22" s="1" customFormat="1">
      <c r="A318" s="3">
        <v>45762</v>
      </c>
      <c r="B318" s="2" t="s">
        <v>23</v>
      </c>
      <c r="C318" s="2">
        <v>7</v>
      </c>
      <c r="D318" s="2">
        <v>7</v>
      </c>
      <c r="E318" s="2">
        <v>7</v>
      </c>
      <c r="F318" s="2">
        <v>3</v>
      </c>
      <c r="G318" s="2">
        <v>1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103885.0901409477</v>
      </c>
      <c r="U318" s="1">
        <v>103885.0901409477</v>
      </c>
      <c r="V318" s="1">
        <v>103885.0901409477</v>
      </c>
    </row>
    <row r="319" spans="1:22" s="1" customFormat="1">
      <c r="A319" s="3">
        <v>45763</v>
      </c>
      <c r="B319" s="2" t="s">
        <v>24</v>
      </c>
      <c r="C319" s="2">
        <v>6</v>
      </c>
      <c r="D319" s="2">
        <v>6</v>
      </c>
      <c r="E319" s="2">
        <v>6</v>
      </c>
      <c r="F319" s="2">
        <v>2</v>
      </c>
      <c r="G319" s="2">
        <v>4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</row>
    <row r="320" spans="1:22" s="1" customFormat="1">
      <c r="A320" s="3">
        <v>45764</v>
      </c>
      <c r="B320" s="2" t="s">
        <v>25</v>
      </c>
      <c r="C320" s="2">
        <v>5</v>
      </c>
      <c r="D320" s="2">
        <v>5</v>
      </c>
      <c r="E320" s="2">
        <v>5</v>
      </c>
      <c r="F320" s="2">
        <v>1</v>
      </c>
      <c r="G320" s="2">
        <v>3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-38643.37311056125</v>
      </c>
      <c r="R320" s="1">
        <v>-38643.37311056125</v>
      </c>
      <c r="S320" s="1">
        <v>-227077.0726549347</v>
      </c>
      <c r="T320" s="1">
        <v>0</v>
      </c>
      <c r="U320" s="1">
        <v>0</v>
      </c>
      <c r="V320" s="1">
        <v>0</v>
      </c>
    </row>
    <row r="321" spans="1:22" s="1" customFormat="1">
      <c r="A321" s="3">
        <v>45768</v>
      </c>
      <c r="B321" s="2" t="s">
        <v>22</v>
      </c>
      <c r="C321" s="2">
        <v>4</v>
      </c>
      <c r="D321" s="2">
        <v>4</v>
      </c>
      <c r="E321" s="2">
        <v>4</v>
      </c>
      <c r="F321" s="2">
        <v>4</v>
      </c>
      <c r="G321" s="2">
        <v>2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</row>
    <row r="322" spans="1:22" s="1" customFormat="1">
      <c r="A322" s="3">
        <v>45769</v>
      </c>
      <c r="B322" s="2" t="s">
        <v>23</v>
      </c>
      <c r="C322" s="2">
        <v>3</v>
      </c>
      <c r="D322" s="2">
        <v>3</v>
      </c>
      <c r="E322" s="2">
        <v>3</v>
      </c>
      <c r="F322" s="2">
        <v>3</v>
      </c>
      <c r="G322" s="2">
        <v>1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-371497.2607040827</v>
      </c>
      <c r="U322" s="1">
        <v>-371497.2607040827</v>
      </c>
      <c r="V322" s="1">
        <v>190371.8627849439</v>
      </c>
    </row>
    <row r="323" spans="1:22" s="1" customFormat="1">
      <c r="A323" s="3">
        <v>45770</v>
      </c>
      <c r="B323" s="2" t="s">
        <v>24</v>
      </c>
      <c r="C323" s="2">
        <v>2</v>
      </c>
      <c r="D323" s="2">
        <v>2</v>
      </c>
      <c r="E323" s="2">
        <v>2</v>
      </c>
      <c r="F323" s="2">
        <v>2</v>
      </c>
      <c r="G323" s="2">
        <v>5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</row>
    <row r="324" spans="1:22" s="1" customFormat="1">
      <c r="A324" s="3">
        <v>45771</v>
      </c>
      <c r="B324" s="2" t="s">
        <v>25</v>
      </c>
      <c r="C324" s="2">
        <v>1</v>
      </c>
      <c r="D324" s="2">
        <v>1</v>
      </c>
      <c r="E324" s="2">
        <v>1</v>
      </c>
      <c r="F324" s="2">
        <v>1</v>
      </c>
      <c r="G324" s="2">
        <v>4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411197.4336011016</v>
      </c>
      <c r="R324" s="1">
        <v>411197.4336011016</v>
      </c>
      <c r="S324" s="1">
        <v>174122.3402053221</v>
      </c>
      <c r="T324" s="1">
        <v>0</v>
      </c>
      <c r="U324" s="1">
        <v>0</v>
      </c>
      <c r="V324" s="1">
        <v>0</v>
      </c>
    </row>
    <row r="325" spans="1:22" s="1" customFormat="1">
      <c r="A325" s="3">
        <v>45772</v>
      </c>
      <c r="B325" s="2" t="s">
        <v>26</v>
      </c>
      <c r="C325" s="2">
        <v>24</v>
      </c>
      <c r="D325" s="2">
        <v>24</v>
      </c>
      <c r="E325" s="2">
        <v>24</v>
      </c>
      <c r="F325" s="2">
        <v>4</v>
      </c>
      <c r="G325" s="2">
        <v>3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</row>
    <row r="326" spans="1:22" s="1" customFormat="1">
      <c r="A326" s="3">
        <v>45775</v>
      </c>
      <c r="B326" s="2" t="s">
        <v>22</v>
      </c>
      <c r="C326" s="2">
        <v>23</v>
      </c>
      <c r="D326" s="2">
        <v>23</v>
      </c>
      <c r="E326" s="2">
        <v>23</v>
      </c>
      <c r="F326" s="2">
        <v>3</v>
      </c>
      <c r="G326" s="2">
        <v>2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</row>
    <row r="327" spans="1:22" s="1" customFormat="1">
      <c r="A327" s="3">
        <v>45776</v>
      </c>
      <c r="B327" s="2" t="s">
        <v>23</v>
      </c>
      <c r="C327" s="2">
        <v>22</v>
      </c>
      <c r="D327" s="2">
        <v>22</v>
      </c>
      <c r="E327" s="2">
        <v>22</v>
      </c>
      <c r="F327" s="2">
        <v>2</v>
      </c>
      <c r="G327" s="2">
        <v>1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-314658.9499705216</v>
      </c>
      <c r="U327" s="1">
        <v>-639945.5263217767</v>
      </c>
      <c r="V327" s="1">
        <v>-53281.11764632018</v>
      </c>
    </row>
    <row r="328" spans="1:22" s="1" customFormat="1">
      <c r="A328" s="3">
        <v>45777</v>
      </c>
      <c r="B328" s="2" t="s">
        <v>24</v>
      </c>
      <c r="C328" s="2">
        <v>21</v>
      </c>
      <c r="D328" s="2">
        <v>21</v>
      </c>
      <c r="E328" s="2">
        <v>21</v>
      </c>
      <c r="F328" s="2">
        <v>1</v>
      </c>
      <c r="G328" s="2">
        <v>4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380562.6478302496</v>
      </c>
      <c r="R328" s="1">
        <v>380562.6478302496</v>
      </c>
      <c r="S328" s="1">
        <v>552186.3327845748</v>
      </c>
      <c r="T328" s="1">
        <v>0</v>
      </c>
      <c r="U328" s="1">
        <v>0</v>
      </c>
      <c r="V328" s="1">
        <v>0</v>
      </c>
    </row>
    <row r="329" spans="1:22" s="1" customFormat="1">
      <c r="A329" s="3">
        <v>45779</v>
      </c>
      <c r="B329" s="2" t="s">
        <v>26</v>
      </c>
      <c r="C329" s="2">
        <v>20</v>
      </c>
      <c r="D329" s="2">
        <v>20</v>
      </c>
      <c r="E329" s="2">
        <v>20</v>
      </c>
      <c r="F329" s="2">
        <v>5</v>
      </c>
      <c r="G329" s="2">
        <v>3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</row>
    <row r="330" spans="1:22" s="1" customFormat="1">
      <c r="A330" s="3">
        <v>45782</v>
      </c>
      <c r="B330" s="2" t="s">
        <v>22</v>
      </c>
      <c r="C330" s="2">
        <v>19</v>
      </c>
      <c r="D330" s="2">
        <v>19</v>
      </c>
      <c r="E330" s="2">
        <v>19</v>
      </c>
      <c r="F330" s="2">
        <v>4</v>
      </c>
      <c r="G330" s="2">
        <v>2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</row>
    <row r="331" spans="1:22" s="1" customFormat="1">
      <c r="A331" s="3">
        <v>45783</v>
      </c>
      <c r="B331" s="2" t="s">
        <v>23</v>
      </c>
      <c r="C331" s="2">
        <v>18</v>
      </c>
      <c r="D331" s="2">
        <v>18</v>
      </c>
      <c r="E331" s="2">
        <v>18</v>
      </c>
      <c r="F331" s="2">
        <v>3</v>
      </c>
      <c r="G331" s="2">
        <v>1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1116648.644850378</v>
      </c>
      <c r="U331" s="1">
        <v>1116648.644850378</v>
      </c>
      <c r="V331" s="1">
        <v>704561.5189724612</v>
      </c>
    </row>
    <row r="332" spans="1:22" s="1" customFormat="1">
      <c r="A332" s="3">
        <v>45784</v>
      </c>
      <c r="B332" s="2" t="s">
        <v>24</v>
      </c>
      <c r="C332" s="2">
        <v>17</v>
      </c>
      <c r="D332" s="2">
        <v>17</v>
      </c>
      <c r="E332" s="2">
        <v>17</v>
      </c>
      <c r="F332" s="2">
        <v>2</v>
      </c>
      <c r="G332" s="2">
        <v>5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</row>
    <row r="333" spans="1:22" s="1" customFormat="1">
      <c r="A333" s="3">
        <v>45785</v>
      </c>
      <c r="B333" s="2" t="s">
        <v>25</v>
      </c>
      <c r="C333" s="2">
        <v>16</v>
      </c>
      <c r="D333" s="2">
        <v>16</v>
      </c>
      <c r="E333" s="2">
        <v>16</v>
      </c>
      <c r="F333" s="2">
        <v>1</v>
      </c>
      <c r="G333" s="2">
        <v>4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1086543.545802323</v>
      </c>
      <c r="R333" s="1">
        <v>509801.4233611106</v>
      </c>
      <c r="S333" s="1">
        <v>334299.6399409102</v>
      </c>
      <c r="T333" s="1">
        <v>0</v>
      </c>
      <c r="U333" s="1">
        <v>0</v>
      </c>
      <c r="V333" s="1">
        <v>0</v>
      </c>
    </row>
    <row r="334" spans="1:22" s="1" customFormat="1">
      <c r="A334" s="3">
        <v>45786</v>
      </c>
      <c r="B334" s="2" t="s">
        <v>26</v>
      </c>
      <c r="C334" s="2">
        <v>15</v>
      </c>
      <c r="D334" s="2">
        <v>15</v>
      </c>
      <c r="E334" s="2">
        <v>15</v>
      </c>
      <c r="F334" s="2">
        <v>5</v>
      </c>
      <c r="G334" s="2">
        <v>3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</row>
    <row r="335" spans="1:22" s="1" customFormat="1">
      <c r="A335" s="3">
        <v>45789</v>
      </c>
      <c r="B335" s="2" t="s">
        <v>22</v>
      </c>
      <c r="C335" s="2">
        <v>14</v>
      </c>
      <c r="D335" s="2">
        <v>14</v>
      </c>
      <c r="E335" s="2">
        <v>14</v>
      </c>
      <c r="F335" s="2">
        <v>4</v>
      </c>
      <c r="G335" s="2">
        <v>2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</row>
    <row r="336" spans="1:22" s="1" customFormat="1">
      <c r="A336" s="3">
        <v>45790</v>
      </c>
      <c r="B336" s="2" t="s">
        <v>23</v>
      </c>
      <c r="C336" s="2">
        <v>13</v>
      </c>
      <c r="D336" s="2">
        <v>13</v>
      </c>
      <c r="E336" s="2">
        <v>13</v>
      </c>
      <c r="F336" s="2">
        <v>3</v>
      </c>
      <c r="G336" s="2">
        <v>1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-1045425.797129242</v>
      </c>
      <c r="U336" s="1">
        <v>-1520677.974470688</v>
      </c>
      <c r="V336" s="1">
        <v>-767138.1682404623</v>
      </c>
    </row>
    <row r="337" spans="1:22" s="1" customFormat="1">
      <c r="A337" s="3">
        <v>45791</v>
      </c>
      <c r="B337" s="2" t="s">
        <v>24</v>
      </c>
      <c r="C337" s="2">
        <v>12</v>
      </c>
      <c r="D337" s="2">
        <v>12</v>
      </c>
      <c r="E337" s="2">
        <v>12</v>
      </c>
      <c r="F337" s="2">
        <v>2</v>
      </c>
      <c r="G337" s="2">
        <v>5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</row>
    <row r="338" spans="1:22" s="1" customFormat="1">
      <c r="A338" s="3">
        <v>45792</v>
      </c>
      <c r="B338" s="2" t="s">
        <v>25</v>
      </c>
      <c r="C338" s="2">
        <v>11</v>
      </c>
      <c r="D338" s="2">
        <v>11</v>
      </c>
      <c r="E338" s="2">
        <v>11</v>
      </c>
      <c r="F338" s="2">
        <v>1</v>
      </c>
      <c r="G338" s="2">
        <v>4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-305029.9998693139</v>
      </c>
      <c r="R338" s="1">
        <v>-268.3994915072752</v>
      </c>
      <c r="S338" s="1">
        <v>233479.4429807246</v>
      </c>
      <c r="T338" s="1">
        <v>0</v>
      </c>
      <c r="U338" s="1">
        <v>0</v>
      </c>
      <c r="V338" s="1">
        <v>0</v>
      </c>
    </row>
    <row r="339" spans="1:22" s="1" customFormat="1">
      <c r="A339" s="3">
        <v>45793</v>
      </c>
      <c r="B339" s="2" t="s">
        <v>26</v>
      </c>
      <c r="C339" s="2">
        <v>10</v>
      </c>
      <c r="D339" s="2">
        <v>10</v>
      </c>
      <c r="E339" s="2">
        <v>10</v>
      </c>
      <c r="F339" s="2">
        <v>5</v>
      </c>
      <c r="G339" s="2">
        <v>3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</row>
    <row r="340" spans="1:22" s="1" customFormat="1">
      <c r="A340" s="3">
        <v>45796</v>
      </c>
      <c r="B340" s="2" t="s">
        <v>22</v>
      </c>
      <c r="C340" s="2">
        <v>9</v>
      </c>
      <c r="D340" s="2">
        <v>9</v>
      </c>
      <c r="E340" s="2">
        <v>9</v>
      </c>
      <c r="F340" s="2">
        <v>4</v>
      </c>
      <c r="G340" s="2">
        <v>2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</row>
    <row r="341" spans="1:22" s="1" customFormat="1">
      <c r="A341" s="3">
        <v>45797</v>
      </c>
      <c r="B341" s="2" t="s">
        <v>23</v>
      </c>
      <c r="C341" s="2">
        <v>8</v>
      </c>
      <c r="D341" s="2">
        <v>8</v>
      </c>
      <c r="E341" s="2">
        <v>8</v>
      </c>
      <c r="F341" s="2">
        <v>3</v>
      </c>
      <c r="G341" s="2">
        <v>1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362762.0984541198</v>
      </c>
      <c r="U341" s="1">
        <v>391731.4649449047</v>
      </c>
      <c r="V341" s="1">
        <v>480241.8913378298</v>
      </c>
    </row>
    <row r="342" spans="1:22" s="1" customFormat="1">
      <c r="A342" s="3">
        <v>45798</v>
      </c>
      <c r="B342" s="2" t="s">
        <v>24</v>
      </c>
      <c r="C342" s="2">
        <v>7</v>
      </c>
      <c r="D342" s="2">
        <v>7</v>
      </c>
      <c r="E342" s="2">
        <v>7</v>
      </c>
      <c r="F342" s="2">
        <v>2</v>
      </c>
      <c r="G342" s="2">
        <v>5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</row>
    <row r="343" spans="1:22" s="1" customFormat="1">
      <c r="A343" s="3">
        <v>45799</v>
      </c>
      <c r="B343" s="2" t="s">
        <v>25</v>
      </c>
      <c r="C343" s="2">
        <v>6</v>
      </c>
      <c r="D343" s="2">
        <v>6</v>
      </c>
      <c r="E343" s="2">
        <v>6</v>
      </c>
      <c r="F343" s="2">
        <v>1</v>
      </c>
      <c r="G343" s="2">
        <v>4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-58410.63271277588</v>
      </c>
      <c r="R343" s="1">
        <v>-111066.4002738275</v>
      </c>
      <c r="S343" s="1">
        <v>-5782.51102536819</v>
      </c>
      <c r="T343" s="1">
        <v>0</v>
      </c>
      <c r="U343" s="1">
        <v>0</v>
      </c>
      <c r="V343" s="1">
        <v>0</v>
      </c>
    </row>
    <row r="344" spans="1:22" s="1" customFormat="1">
      <c r="A344" s="3">
        <v>45800</v>
      </c>
      <c r="B344" s="2" t="s">
        <v>26</v>
      </c>
      <c r="C344" s="2">
        <v>5</v>
      </c>
      <c r="D344" s="2">
        <v>5</v>
      </c>
      <c r="E344" s="2">
        <v>5</v>
      </c>
      <c r="F344" s="2">
        <v>5</v>
      </c>
      <c r="G344" s="2">
        <v>3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</row>
    <row r="345" spans="1:22" s="1" customFormat="1">
      <c r="A345" s="3">
        <v>45803</v>
      </c>
      <c r="B345" s="2" t="s">
        <v>22</v>
      </c>
      <c r="C345" s="2">
        <v>4</v>
      </c>
      <c r="D345" s="2">
        <v>4</v>
      </c>
      <c r="E345" s="2">
        <v>4</v>
      </c>
      <c r="F345" s="2">
        <v>4</v>
      </c>
      <c r="G345" s="2">
        <v>2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</row>
    <row r="346" spans="1:22" s="1" customFormat="1">
      <c r="A346" s="3">
        <v>45804</v>
      </c>
      <c r="B346" s="2" t="s">
        <v>23</v>
      </c>
      <c r="C346" s="2">
        <v>3</v>
      </c>
      <c r="D346" s="2">
        <v>3</v>
      </c>
      <c r="E346" s="2">
        <v>3</v>
      </c>
      <c r="F346" s="2">
        <v>3</v>
      </c>
      <c r="G346" s="2">
        <v>1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-5424.988204542707</v>
      </c>
      <c r="U346" s="1">
        <v>76681.45338593544</v>
      </c>
      <c r="V346" s="1">
        <v>317339.1728295418</v>
      </c>
    </row>
    <row r="347" spans="1:22" s="1" customFormat="1">
      <c r="A347" s="3">
        <v>45805</v>
      </c>
      <c r="B347" s="2" t="s">
        <v>24</v>
      </c>
      <c r="C347" s="2">
        <v>2</v>
      </c>
      <c r="D347" s="2">
        <v>2</v>
      </c>
      <c r="E347" s="2">
        <v>2</v>
      </c>
      <c r="F347" s="2">
        <v>2</v>
      </c>
      <c r="G347" s="2">
        <v>5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</row>
    <row r="348" spans="1:22" s="1" customFormat="1">
      <c r="A348" s="3">
        <v>45806</v>
      </c>
      <c r="B348" s="2" t="s">
        <v>25</v>
      </c>
      <c r="C348" s="2">
        <v>1</v>
      </c>
      <c r="D348" s="2">
        <v>1</v>
      </c>
      <c r="E348" s="2">
        <v>1</v>
      </c>
      <c r="F348" s="2">
        <v>1</v>
      </c>
      <c r="G348" s="2">
        <v>4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1116237.019332245</v>
      </c>
      <c r="R348" s="1">
        <v>989569.1092736839</v>
      </c>
      <c r="S348" s="1">
        <v>1052147.701967745</v>
      </c>
      <c r="T348" s="1">
        <v>0</v>
      </c>
      <c r="U348" s="1">
        <v>0</v>
      </c>
      <c r="V348" s="1">
        <v>0</v>
      </c>
    </row>
    <row r="349" spans="1:22" s="1" customFormat="1">
      <c r="A349" s="3">
        <v>45807</v>
      </c>
      <c r="B349" s="2" t="s">
        <v>26</v>
      </c>
      <c r="C349" s="2">
        <v>20</v>
      </c>
      <c r="D349" s="2">
        <v>20</v>
      </c>
      <c r="E349" s="2">
        <v>20</v>
      </c>
      <c r="F349" s="2">
        <v>5</v>
      </c>
      <c r="G349" s="2">
        <v>3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</row>
    <row r="350" spans="1:22" s="1" customFormat="1">
      <c r="A350" s="3">
        <v>45810</v>
      </c>
      <c r="B350" s="2" t="s">
        <v>22</v>
      </c>
      <c r="C350" s="2">
        <v>19</v>
      </c>
      <c r="D350" s="2">
        <v>19</v>
      </c>
      <c r="E350" s="2">
        <v>19</v>
      </c>
      <c r="F350" s="2">
        <v>4</v>
      </c>
      <c r="G350" s="2">
        <v>2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</row>
    <row r="351" spans="1:22" s="1" customFormat="1">
      <c r="A351" s="3">
        <v>45811</v>
      </c>
      <c r="B351" s="2" t="s">
        <v>23</v>
      </c>
      <c r="C351" s="2">
        <v>18</v>
      </c>
      <c r="D351" s="2">
        <v>18</v>
      </c>
      <c r="E351" s="2">
        <v>18</v>
      </c>
      <c r="F351" s="2">
        <v>3</v>
      </c>
      <c r="G351" s="2">
        <v>1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1111729.811229898</v>
      </c>
      <c r="U351" s="1">
        <v>512215.7378463544</v>
      </c>
      <c r="V351" s="1">
        <v>-101426.008275973</v>
      </c>
    </row>
    <row r="352" spans="1:22" s="1" customFormat="1">
      <c r="A352" s="3">
        <v>45812</v>
      </c>
      <c r="B352" s="2" t="s">
        <v>24</v>
      </c>
      <c r="C352" s="2">
        <v>17</v>
      </c>
      <c r="D352" s="2">
        <v>17</v>
      </c>
      <c r="E352" s="2">
        <v>17</v>
      </c>
      <c r="F352" s="2">
        <v>2</v>
      </c>
      <c r="G352" s="2">
        <v>5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</row>
    <row r="353" spans="1:22" s="1" customFormat="1">
      <c r="A353" s="3">
        <v>45813</v>
      </c>
      <c r="B353" s="2" t="s">
        <v>25</v>
      </c>
      <c r="C353" s="2">
        <v>16</v>
      </c>
      <c r="D353" s="2">
        <v>16</v>
      </c>
      <c r="E353" s="2">
        <v>16</v>
      </c>
      <c r="F353" s="2">
        <v>1</v>
      </c>
      <c r="G353" s="2">
        <v>4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935888.2762797656</v>
      </c>
      <c r="R353" s="1">
        <v>1245557.633611503</v>
      </c>
      <c r="S353" s="1">
        <v>1040211.754745639</v>
      </c>
      <c r="T353" s="1">
        <v>0</v>
      </c>
      <c r="U353" s="1">
        <v>0</v>
      </c>
      <c r="V353" s="1">
        <v>0</v>
      </c>
    </row>
    <row r="354" spans="1:22" s="1" customFormat="1">
      <c r="A354" s="3">
        <v>45814</v>
      </c>
      <c r="B354" s="2" t="s">
        <v>26</v>
      </c>
      <c r="C354" s="2">
        <v>15</v>
      </c>
      <c r="D354" s="2">
        <v>15</v>
      </c>
      <c r="E354" s="2">
        <v>15</v>
      </c>
      <c r="F354" s="2">
        <v>5</v>
      </c>
      <c r="G354" s="2">
        <v>3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</row>
    <row r="355" spans="1:22" s="1" customFormat="1">
      <c r="A355" s="3">
        <v>45817</v>
      </c>
      <c r="B355" s="2" t="s">
        <v>22</v>
      </c>
      <c r="C355" s="2">
        <v>14</v>
      </c>
      <c r="D355" s="2">
        <v>14</v>
      </c>
      <c r="E355" s="2">
        <v>14</v>
      </c>
      <c r="F355" s="2">
        <v>4</v>
      </c>
      <c r="G355" s="2">
        <v>2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</row>
    <row r="356" spans="1:22" s="1" customFormat="1">
      <c r="A356" s="3">
        <v>45818</v>
      </c>
      <c r="B356" s="2" t="s">
        <v>23</v>
      </c>
      <c r="C356" s="2">
        <v>13</v>
      </c>
      <c r="D356" s="2">
        <v>13</v>
      </c>
      <c r="E356" s="2">
        <v>13</v>
      </c>
      <c r="F356" s="2">
        <v>3</v>
      </c>
      <c r="G356" s="2">
        <v>1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764181.6419349107</v>
      </c>
      <c r="U356" s="1">
        <v>599706.113252119</v>
      </c>
      <c r="V356" s="1">
        <v>640126.8357000521</v>
      </c>
    </row>
    <row r="357" spans="1:22" s="1" customFormat="1">
      <c r="A357" s="3">
        <v>45819</v>
      </c>
      <c r="B357" s="2" t="s">
        <v>24</v>
      </c>
      <c r="C357" s="2">
        <v>12</v>
      </c>
      <c r="D357" s="2">
        <v>12</v>
      </c>
      <c r="E357" s="2">
        <v>12</v>
      </c>
      <c r="F357" s="2">
        <v>2</v>
      </c>
      <c r="G357" s="2">
        <v>5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</row>
    <row r="358" spans="1:22" s="1" customFormat="1">
      <c r="A358" s="3">
        <v>45820</v>
      </c>
      <c r="B358" s="2" t="s">
        <v>25</v>
      </c>
      <c r="C358" s="2">
        <v>11</v>
      </c>
      <c r="D358" s="2">
        <v>11</v>
      </c>
      <c r="E358" s="2">
        <v>11</v>
      </c>
      <c r="F358" s="2">
        <v>1</v>
      </c>
      <c r="G358" s="2">
        <v>4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470353.4831751825</v>
      </c>
      <c r="R358" s="1">
        <v>537660.9413553611</v>
      </c>
      <c r="S358" s="1">
        <v>75934.03266847279</v>
      </c>
      <c r="T358" s="1">
        <v>0</v>
      </c>
      <c r="U358" s="1">
        <v>0</v>
      </c>
      <c r="V358" s="1">
        <v>0</v>
      </c>
    </row>
    <row r="359" spans="1:22" s="1" customFormat="1">
      <c r="A359" s="3">
        <v>45821</v>
      </c>
      <c r="B359" s="2" t="s">
        <v>26</v>
      </c>
      <c r="C359" s="2">
        <v>10</v>
      </c>
      <c r="D359" s="2">
        <v>10</v>
      </c>
      <c r="E359" s="2">
        <v>10</v>
      </c>
      <c r="F359" s="2">
        <v>5</v>
      </c>
      <c r="G359" s="2">
        <v>3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</row>
    <row r="360" spans="1:22" s="1" customFormat="1">
      <c r="A360" s="3">
        <v>45824</v>
      </c>
      <c r="B360" s="2" t="s">
        <v>22</v>
      </c>
      <c r="C360" s="2">
        <v>9</v>
      </c>
      <c r="D360" s="2">
        <v>9</v>
      </c>
      <c r="E360" s="2">
        <v>9</v>
      </c>
      <c r="F360" s="2">
        <v>4</v>
      </c>
      <c r="G360" s="2">
        <v>2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</row>
    <row r="361" spans="1:22" s="1" customFormat="1">
      <c r="A361" s="3">
        <v>45825</v>
      </c>
      <c r="B361" s="2" t="s">
        <v>23</v>
      </c>
      <c r="C361" s="2">
        <v>8</v>
      </c>
      <c r="D361" s="2">
        <v>8</v>
      </c>
      <c r="E361" s="2">
        <v>8</v>
      </c>
      <c r="F361" s="2">
        <v>3</v>
      </c>
      <c r="G361" s="2">
        <v>1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-434641.7897900677</v>
      </c>
      <c r="U361" s="1">
        <v>-396389.0738055144</v>
      </c>
      <c r="V361" s="1">
        <v>608813.4922536506</v>
      </c>
    </row>
    <row r="362" spans="1:22" s="1" customFormat="1">
      <c r="A362" s="3">
        <v>45826</v>
      </c>
      <c r="B362" s="2" t="s">
        <v>24</v>
      </c>
      <c r="C362" s="2">
        <v>7</v>
      </c>
      <c r="D362" s="2">
        <v>7</v>
      </c>
      <c r="E362" s="2">
        <v>7</v>
      </c>
      <c r="F362" s="2">
        <v>2</v>
      </c>
      <c r="G362" s="2">
        <v>5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</row>
    <row r="363" spans="1:22" s="1" customFormat="1">
      <c r="A363" s="3">
        <v>45827</v>
      </c>
      <c r="B363" s="2" t="s">
        <v>25</v>
      </c>
      <c r="C363" s="2">
        <v>6</v>
      </c>
      <c r="D363" s="2">
        <v>6</v>
      </c>
      <c r="E363" s="2">
        <v>6</v>
      </c>
      <c r="F363" s="2">
        <v>1</v>
      </c>
      <c r="G363" s="2">
        <v>4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229509.3530916373</v>
      </c>
      <c r="R363" s="1">
        <v>504531.1159406793</v>
      </c>
      <c r="S363" s="1">
        <v>668354.3835606632</v>
      </c>
      <c r="T363" s="1">
        <v>0</v>
      </c>
      <c r="U363" s="1">
        <v>0</v>
      </c>
      <c r="V363" s="1">
        <v>0</v>
      </c>
    </row>
    <row r="364" spans="1:22" s="1" customFormat="1">
      <c r="A364" s="3">
        <v>45828</v>
      </c>
      <c r="B364" s="2" t="s">
        <v>26</v>
      </c>
      <c r="C364" s="2">
        <v>5</v>
      </c>
      <c r="D364" s="2">
        <v>5</v>
      </c>
      <c r="E364" s="2">
        <v>5</v>
      </c>
      <c r="F364" s="2">
        <v>5</v>
      </c>
      <c r="G364" s="2">
        <v>3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</row>
    <row r="365" spans="1:22" s="1" customFormat="1">
      <c r="A365" s="3">
        <v>45831</v>
      </c>
      <c r="B365" s="2" t="s">
        <v>22</v>
      </c>
      <c r="C365" s="2">
        <v>4</v>
      </c>
      <c r="D365" s="2">
        <v>4</v>
      </c>
      <c r="E365" s="2">
        <v>4</v>
      </c>
      <c r="F365" s="2">
        <v>4</v>
      </c>
      <c r="G365" s="2">
        <v>2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</row>
    <row r="366" spans="1:22" s="1" customFormat="1">
      <c r="A366" s="3">
        <v>45832</v>
      </c>
      <c r="B366" s="2" t="s">
        <v>23</v>
      </c>
      <c r="C366" s="2">
        <v>3</v>
      </c>
      <c r="D366" s="2">
        <v>3</v>
      </c>
      <c r="E366" s="2">
        <v>3</v>
      </c>
      <c r="F366" s="2">
        <v>3</v>
      </c>
      <c r="G366" s="2">
        <v>1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-871781.1938959237</v>
      </c>
      <c r="U366" s="1">
        <v>-1178236.648997237</v>
      </c>
      <c r="V366" s="1">
        <v>-1124916.343608454</v>
      </c>
    </row>
    <row r="367" spans="1:22" s="1" customFormat="1">
      <c r="A367" s="3">
        <v>45833</v>
      </c>
      <c r="B367" s="2" t="s">
        <v>24</v>
      </c>
      <c r="C367" s="2">
        <v>2</v>
      </c>
      <c r="D367" s="2">
        <v>2</v>
      </c>
      <c r="E367" s="2">
        <v>2</v>
      </c>
      <c r="F367" s="2">
        <v>2</v>
      </c>
      <c r="G367" s="2">
        <v>5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</row>
    <row r="368" spans="1:22" s="1" customFormat="1">
      <c r="A368" s="3">
        <v>45834</v>
      </c>
      <c r="B368" s="2" t="s">
        <v>25</v>
      </c>
      <c r="C368" s="2">
        <v>1</v>
      </c>
      <c r="D368" s="2">
        <v>1</v>
      </c>
      <c r="E368" s="2">
        <v>1</v>
      </c>
      <c r="F368" s="2">
        <v>1</v>
      </c>
      <c r="G368" s="2">
        <v>4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-685785.6406762648</v>
      </c>
      <c r="R368" s="1">
        <v>-396019.1540799633</v>
      </c>
      <c r="S368" s="1">
        <v>-160738.3566110589</v>
      </c>
      <c r="T368" s="1">
        <v>0</v>
      </c>
      <c r="U368" s="1">
        <v>0</v>
      </c>
      <c r="V368" s="1">
        <v>0</v>
      </c>
    </row>
    <row r="369" spans="1:22" s="1" customFormat="1">
      <c r="A369" s="3">
        <v>45835</v>
      </c>
      <c r="B369" s="2" t="s">
        <v>26</v>
      </c>
      <c r="C369" s="2">
        <v>25</v>
      </c>
      <c r="D369" s="2">
        <v>25</v>
      </c>
      <c r="E369" s="2">
        <v>25</v>
      </c>
      <c r="F369" s="2">
        <v>5</v>
      </c>
      <c r="G369" s="2">
        <v>3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</row>
    <row r="370" spans="1:22" s="1" customFormat="1">
      <c r="A370" s="3">
        <v>45838</v>
      </c>
      <c r="B370" s="2" t="s">
        <v>22</v>
      </c>
      <c r="C370" s="2">
        <v>24</v>
      </c>
      <c r="D370" s="2">
        <v>24</v>
      </c>
      <c r="E370" s="2">
        <v>24</v>
      </c>
      <c r="F370" s="2">
        <v>4</v>
      </c>
      <c r="G370" s="2">
        <v>2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</row>
    <row r="371" spans="1:22" s="1" customFormat="1">
      <c r="A371" s="3">
        <v>45839</v>
      </c>
      <c r="B371" s="2" t="s">
        <v>23</v>
      </c>
      <c r="C371" s="2">
        <v>23</v>
      </c>
      <c r="D371" s="2">
        <v>23</v>
      </c>
      <c r="E371" s="2">
        <v>23</v>
      </c>
      <c r="F371" s="2">
        <v>3</v>
      </c>
      <c r="G371" s="2">
        <v>1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374205.5702809505</v>
      </c>
      <c r="U371" s="1">
        <v>754356.8466239005</v>
      </c>
      <c r="V371" s="1">
        <v>694721.955876812</v>
      </c>
    </row>
    <row r="372" spans="1:22" s="1" customFormat="1">
      <c r="A372" s="3">
        <v>45840</v>
      </c>
      <c r="B372" s="2" t="s">
        <v>24</v>
      </c>
      <c r="C372" s="2">
        <v>22</v>
      </c>
      <c r="D372" s="2">
        <v>22</v>
      </c>
      <c r="E372" s="2">
        <v>22</v>
      </c>
      <c r="F372" s="2">
        <v>2</v>
      </c>
      <c r="G372" s="2">
        <v>5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</row>
    <row r="373" spans="1:22" s="1" customFormat="1">
      <c r="A373" s="3">
        <v>45841</v>
      </c>
      <c r="B373" s="2" t="s">
        <v>25</v>
      </c>
      <c r="C373" s="2">
        <v>21</v>
      </c>
      <c r="D373" s="2">
        <v>21</v>
      </c>
      <c r="E373" s="2">
        <v>21</v>
      </c>
      <c r="F373" s="2">
        <v>1</v>
      </c>
      <c r="G373" s="2">
        <v>4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673105.6516824975</v>
      </c>
      <c r="R373" s="1">
        <v>509653.4988210894</v>
      </c>
      <c r="S373" s="1">
        <v>78689.01365715562</v>
      </c>
      <c r="T373" s="1">
        <v>0</v>
      </c>
      <c r="U373" s="1">
        <v>0</v>
      </c>
      <c r="V373" s="1">
        <v>0</v>
      </c>
    </row>
    <row r="374" spans="1:22" s="1" customFormat="1">
      <c r="A374" s="3">
        <v>45842</v>
      </c>
      <c r="B374" s="2" t="s">
        <v>26</v>
      </c>
      <c r="C374" s="2">
        <v>20</v>
      </c>
      <c r="D374" s="2">
        <v>20</v>
      </c>
      <c r="E374" s="2">
        <v>20</v>
      </c>
      <c r="F374" s="2">
        <v>5</v>
      </c>
      <c r="G374" s="2">
        <v>3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</row>
    <row r="375" spans="1:22" s="1" customFormat="1">
      <c r="A375" s="3">
        <v>45845</v>
      </c>
      <c r="B375" s="2" t="s">
        <v>22</v>
      </c>
      <c r="C375" s="2">
        <v>19</v>
      </c>
      <c r="D375" s="2">
        <v>19</v>
      </c>
      <c r="E375" s="2">
        <v>19</v>
      </c>
      <c r="F375" s="2">
        <v>4</v>
      </c>
      <c r="G375" s="2">
        <v>2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</row>
    <row r="376" spans="1:22" s="1" customFormat="1">
      <c r="A376" s="3">
        <v>45846</v>
      </c>
      <c r="B376" s="2" t="s">
        <v>23</v>
      </c>
      <c r="C376" s="2">
        <v>18</v>
      </c>
      <c r="D376" s="2">
        <v>18</v>
      </c>
      <c r="E376" s="2">
        <v>18</v>
      </c>
      <c r="F376" s="2">
        <v>3</v>
      </c>
      <c r="G376" s="2">
        <v>1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802126.1862417146</v>
      </c>
      <c r="U376" s="1">
        <v>685503.8013650194</v>
      </c>
      <c r="V376" s="1">
        <v>509561.6579373062</v>
      </c>
    </row>
    <row r="377" spans="1:22" s="1" customFormat="1">
      <c r="A377" s="3">
        <v>45847</v>
      </c>
      <c r="B377" s="2" t="s">
        <v>24</v>
      </c>
      <c r="C377" s="2">
        <v>17</v>
      </c>
      <c r="D377" s="2">
        <v>17</v>
      </c>
      <c r="E377" s="2">
        <v>17</v>
      </c>
      <c r="F377" s="2">
        <v>2</v>
      </c>
      <c r="G377" s="2">
        <v>5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</row>
    <row r="378" spans="1:22" s="1" customFormat="1">
      <c r="A378" s="3">
        <v>45848</v>
      </c>
      <c r="B378" s="2" t="s">
        <v>25</v>
      </c>
      <c r="C378" s="2">
        <v>16</v>
      </c>
      <c r="D378" s="2">
        <v>16</v>
      </c>
      <c r="E378" s="2">
        <v>16</v>
      </c>
      <c r="F378" s="2">
        <v>1</v>
      </c>
      <c r="G378" s="2">
        <v>4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507644.2195291877</v>
      </c>
      <c r="R378" s="1">
        <v>800880.8974039668</v>
      </c>
      <c r="S378" s="1">
        <v>525845.4173046141</v>
      </c>
      <c r="T378" s="1">
        <v>0</v>
      </c>
      <c r="U378" s="1">
        <v>0</v>
      </c>
      <c r="V378" s="1">
        <v>0</v>
      </c>
    </row>
    <row r="379" spans="1:22" s="1" customFormat="1">
      <c r="A379" s="3">
        <v>45849</v>
      </c>
      <c r="B379" s="2" t="s">
        <v>26</v>
      </c>
      <c r="C379" s="2">
        <v>15</v>
      </c>
      <c r="D379" s="2">
        <v>15</v>
      </c>
      <c r="E379" s="2">
        <v>15</v>
      </c>
      <c r="F379" s="2">
        <v>5</v>
      </c>
      <c r="G379" s="2">
        <v>3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</row>
    <row r="380" spans="1:22" s="1" customFormat="1">
      <c r="A380" s="3">
        <v>45852</v>
      </c>
      <c r="B380" s="2" t="s">
        <v>22</v>
      </c>
      <c r="C380" s="2">
        <v>14</v>
      </c>
      <c r="D380" s="2">
        <v>14</v>
      </c>
      <c r="E380" s="2">
        <v>14</v>
      </c>
      <c r="F380" s="2">
        <v>4</v>
      </c>
      <c r="G380" s="2">
        <v>2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</row>
    <row r="381" spans="1:22" s="1" customFormat="1">
      <c r="A381" s="3">
        <v>45853</v>
      </c>
      <c r="B381" s="2" t="s">
        <v>23</v>
      </c>
      <c r="C381" s="2">
        <v>13</v>
      </c>
      <c r="D381" s="2">
        <v>13</v>
      </c>
      <c r="E381" s="2">
        <v>13</v>
      </c>
      <c r="F381" s="2">
        <v>3</v>
      </c>
      <c r="G381" s="2">
        <v>1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180254.1195846025</v>
      </c>
      <c r="U381" s="1">
        <v>248345.2146040262</v>
      </c>
      <c r="V381" s="1">
        <v>222700.4870643311</v>
      </c>
    </row>
    <row r="382" spans="1:22" s="1" customFormat="1">
      <c r="A382" s="3">
        <v>45854</v>
      </c>
      <c r="B382" s="2" t="s">
        <v>24</v>
      </c>
      <c r="C382" s="2">
        <v>12</v>
      </c>
      <c r="D382" s="2">
        <v>12</v>
      </c>
      <c r="E382" s="2">
        <v>12</v>
      </c>
      <c r="F382" s="2">
        <v>2</v>
      </c>
      <c r="G382" s="2">
        <v>5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</row>
    <row r="383" spans="1:22" s="1" customFormat="1">
      <c r="A383" s="3">
        <v>45855</v>
      </c>
      <c r="B383" s="2" t="s">
        <v>25</v>
      </c>
      <c r="C383" s="2">
        <v>11</v>
      </c>
      <c r="D383" s="2">
        <v>11</v>
      </c>
      <c r="E383" s="2">
        <v>11</v>
      </c>
      <c r="F383" s="2">
        <v>1</v>
      </c>
      <c r="G383" s="2">
        <v>4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709186.6108828523</v>
      </c>
      <c r="R383" s="1">
        <v>540699.8667564132</v>
      </c>
      <c r="S383" s="1">
        <v>436670.6156570322</v>
      </c>
      <c r="T383" s="1">
        <v>0</v>
      </c>
      <c r="U383" s="1">
        <v>0</v>
      </c>
      <c r="V383" s="1">
        <v>0</v>
      </c>
    </row>
    <row r="384" spans="1:22" s="1" customFormat="1">
      <c r="A384" s="3">
        <v>45856</v>
      </c>
      <c r="B384" s="2" t="s">
        <v>26</v>
      </c>
      <c r="C384" s="2">
        <v>10</v>
      </c>
      <c r="D384" s="2">
        <v>10</v>
      </c>
      <c r="E384" s="2">
        <v>10</v>
      </c>
      <c r="F384" s="2">
        <v>5</v>
      </c>
      <c r="G384" s="2">
        <v>3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</row>
    <row r="385" spans="1:22" s="1" customFormat="1">
      <c r="A385" s="3">
        <v>45859</v>
      </c>
      <c r="B385" s="2" t="s">
        <v>22</v>
      </c>
      <c r="C385" s="2">
        <v>9</v>
      </c>
      <c r="D385" s="2">
        <v>9</v>
      </c>
      <c r="E385" s="2">
        <v>9</v>
      </c>
      <c r="F385" s="2">
        <v>4</v>
      </c>
      <c r="G385" s="2">
        <v>2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</row>
    <row r="386" spans="1:22" s="1" customFormat="1">
      <c r="A386" s="3">
        <v>45860</v>
      </c>
      <c r="B386" s="2" t="s">
        <v>23</v>
      </c>
      <c r="C386" s="2">
        <v>8</v>
      </c>
      <c r="D386" s="2">
        <v>8</v>
      </c>
      <c r="E386" s="2">
        <v>8</v>
      </c>
      <c r="F386" s="2">
        <v>3</v>
      </c>
      <c r="G386" s="2">
        <v>1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125314.2007769003</v>
      </c>
      <c r="U386" s="1">
        <v>-62765.29024987231</v>
      </c>
      <c r="V386" s="1">
        <v>22508.06574663435</v>
      </c>
    </row>
    <row r="387" spans="1:22" s="1" customFormat="1">
      <c r="A387" s="3">
        <v>45861</v>
      </c>
      <c r="B387" s="2" t="s">
        <v>24</v>
      </c>
      <c r="C387" s="2">
        <v>7</v>
      </c>
      <c r="D387" s="2">
        <v>7</v>
      </c>
      <c r="E387" s="2">
        <v>7</v>
      </c>
      <c r="F387" s="2">
        <v>2</v>
      </c>
      <c r="G387" s="2">
        <v>5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</row>
    <row r="388" spans="1:22" s="1" customFormat="1">
      <c r="A388" s="3">
        <v>45862</v>
      </c>
      <c r="B388" s="2" t="s">
        <v>25</v>
      </c>
      <c r="C388" s="2">
        <v>6</v>
      </c>
      <c r="D388" s="2">
        <v>6</v>
      </c>
      <c r="E388" s="2">
        <v>6</v>
      </c>
      <c r="F388" s="2">
        <v>1</v>
      </c>
      <c r="G388" s="2">
        <v>4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623172.6055362065</v>
      </c>
      <c r="R388" s="1">
        <v>322596.9240531486</v>
      </c>
      <c r="S388" s="1">
        <v>-38472.49798548699</v>
      </c>
      <c r="T388" s="1">
        <v>0</v>
      </c>
      <c r="U388" s="1">
        <v>0</v>
      </c>
      <c r="V388" s="1">
        <v>0</v>
      </c>
    </row>
    <row r="389" spans="1:22" s="1" customFormat="1">
      <c r="A389" s="3">
        <v>45863</v>
      </c>
      <c r="B389" s="2" t="s">
        <v>26</v>
      </c>
      <c r="C389" s="2">
        <v>5</v>
      </c>
      <c r="D389" s="2">
        <v>5</v>
      </c>
      <c r="E389" s="2">
        <v>5</v>
      </c>
      <c r="F389" s="2">
        <v>5</v>
      </c>
      <c r="G389" s="2">
        <v>3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</row>
    <row r="390" spans="1:22" s="1" customFormat="1">
      <c r="A390" s="3">
        <v>45866</v>
      </c>
      <c r="B390" s="2" t="s">
        <v>22</v>
      </c>
      <c r="C390" s="2">
        <v>4</v>
      </c>
      <c r="D390" s="2">
        <v>4</v>
      </c>
      <c r="E390" s="2">
        <v>4</v>
      </c>
      <c r="F390" s="2">
        <v>4</v>
      </c>
      <c r="G390" s="2">
        <v>2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</row>
    <row r="391" spans="1:22" s="1" customFormat="1">
      <c r="A391" s="3">
        <v>45867</v>
      </c>
      <c r="B391" s="2" t="s">
        <v>23</v>
      </c>
      <c r="C391" s="2">
        <v>3</v>
      </c>
      <c r="D391" s="2">
        <v>3</v>
      </c>
      <c r="E391" s="2">
        <v>3</v>
      </c>
      <c r="F391" s="2">
        <v>3</v>
      </c>
      <c r="G391" s="2">
        <v>1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-824337.109413755</v>
      </c>
      <c r="U391" s="1">
        <v>-753533.9029400332</v>
      </c>
      <c r="V391" s="1">
        <v>-243519.0682645747</v>
      </c>
    </row>
    <row r="392" spans="1:22" s="1" customFormat="1">
      <c r="A392" s="3">
        <v>45868</v>
      </c>
      <c r="B392" s="2" t="s">
        <v>24</v>
      </c>
      <c r="C392" s="2">
        <v>2</v>
      </c>
      <c r="D392" s="2">
        <v>2</v>
      </c>
      <c r="E392" s="2">
        <v>2</v>
      </c>
      <c r="F392" s="2">
        <v>2</v>
      </c>
      <c r="G392" s="2">
        <v>5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</row>
    <row r="393" spans="1:22" s="1" customFormat="1">
      <c r="A393" s="3">
        <v>45869</v>
      </c>
      <c r="B393" s="2" t="s">
        <v>25</v>
      </c>
      <c r="C393" s="2">
        <v>1</v>
      </c>
      <c r="D393" s="2">
        <v>1</v>
      </c>
      <c r="E393" s="2">
        <v>1</v>
      </c>
      <c r="F393" s="2">
        <v>1</v>
      </c>
      <c r="G393" s="2">
        <v>4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-459893.9651857325</v>
      </c>
      <c r="R393" s="1">
        <v>-385921.8765373283</v>
      </c>
      <c r="S393" s="1">
        <v>-388072.3785630346</v>
      </c>
      <c r="T393" s="1">
        <v>0</v>
      </c>
      <c r="U393" s="1">
        <v>0</v>
      </c>
      <c r="V393" s="1">
        <v>0</v>
      </c>
    </row>
    <row r="394" spans="1:22" s="1" customFormat="1">
      <c r="A394" s="3">
        <v>45870</v>
      </c>
      <c r="B394" s="2" t="s">
        <v>26</v>
      </c>
      <c r="C394" s="2">
        <v>18</v>
      </c>
      <c r="D394" s="2">
        <v>18</v>
      </c>
      <c r="E394" s="2">
        <v>18</v>
      </c>
      <c r="F394" s="2">
        <v>5</v>
      </c>
      <c r="G394" s="2">
        <v>3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</row>
    <row r="395" spans="1:22" s="1" customFormat="1">
      <c r="A395" s="3">
        <v>45873</v>
      </c>
      <c r="B395" s="2" t="s">
        <v>22</v>
      </c>
      <c r="C395" s="2">
        <v>17</v>
      </c>
      <c r="D395" s="2">
        <v>17</v>
      </c>
      <c r="E395" s="2">
        <v>17</v>
      </c>
      <c r="F395" s="2">
        <v>4</v>
      </c>
      <c r="G395" s="2">
        <v>2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</row>
    <row r="396" spans="1:22" s="1" customFormat="1">
      <c r="A396" s="3">
        <v>45874</v>
      </c>
      <c r="B396" s="2" t="s">
        <v>23</v>
      </c>
      <c r="C396" s="2">
        <v>16</v>
      </c>
      <c r="D396" s="2">
        <v>16</v>
      </c>
      <c r="E396" s="2">
        <v>16</v>
      </c>
      <c r="F396" s="2">
        <v>3</v>
      </c>
      <c r="G396" s="2">
        <v>1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-10931.78339782443</v>
      </c>
      <c r="U396" s="1">
        <v>89270.91017948667</v>
      </c>
      <c r="V396" s="1">
        <v>537935.4567068771</v>
      </c>
    </row>
    <row r="397" spans="1:22" s="1" customFormat="1">
      <c r="A397" s="3">
        <v>45875</v>
      </c>
      <c r="B397" s="2" t="s">
        <v>24</v>
      </c>
      <c r="C397" s="2">
        <v>15</v>
      </c>
      <c r="D397" s="2">
        <v>15</v>
      </c>
      <c r="E397" s="2">
        <v>15</v>
      </c>
      <c r="F397" s="2">
        <v>2</v>
      </c>
      <c r="G397" s="2">
        <v>5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</row>
    <row r="398" spans="1:22" s="1" customFormat="1">
      <c r="A398" s="3">
        <v>45876</v>
      </c>
      <c r="B398" s="2" t="s">
        <v>25</v>
      </c>
      <c r="C398" s="2">
        <v>14</v>
      </c>
      <c r="D398" s="2">
        <v>14</v>
      </c>
      <c r="E398" s="2">
        <v>14</v>
      </c>
      <c r="F398" s="2">
        <v>1</v>
      </c>
      <c r="G398" s="2">
        <v>4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587794.7426118392</v>
      </c>
      <c r="R398" s="1">
        <v>369336.2965368657</v>
      </c>
      <c r="S398" s="1">
        <v>220301.8409935043</v>
      </c>
      <c r="T398" s="1">
        <v>0</v>
      </c>
      <c r="U398" s="1">
        <v>0</v>
      </c>
      <c r="V398" s="1">
        <v>0</v>
      </c>
    </row>
    <row r="399" spans="1:22" s="1" customFormat="1">
      <c r="A399" s="3">
        <v>45877</v>
      </c>
      <c r="B399" s="2" t="s">
        <v>26</v>
      </c>
      <c r="C399" s="2">
        <v>13</v>
      </c>
      <c r="D399" s="2">
        <v>13</v>
      </c>
      <c r="E399" s="2">
        <v>13</v>
      </c>
      <c r="F399" s="2">
        <v>5</v>
      </c>
      <c r="G399" s="2">
        <v>3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</row>
    <row r="400" spans="1:22" s="1" customFormat="1">
      <c r="A400" s="3">
        <v>45880</v>
      </c>
      <c r="B400" s="2" t="s">
        <v>22</v>
      </c>
      <c r="C400" s="2">
        <v>12</v>
      </c>
      <c r="D400" s="2">
        <v>12</v>
      </c>
      <c r="E400" s="2">
        <v>12</v>
      </c>
      <c r="F400" s="2">
        <v>4</v>
      </c>
      <c r="G400" s="2">
        <v>2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</row>
    <row r="401" spans="1:22" s="1" customFormat="1">
      <c r="A401" s="3">
        <v>45881</v>
      </c>
      <c r="B401" s="2" t="s">
        <v>23</v>
      </c>
      <c r="C401" s="2">
        <v>11</v>
      </c>
      <c r="D401" s="2">
        <v>11</v>
      </c>
      <c r="E401" s="2">
        <v>11</v>
      </c>
      <c r="F401" s="2">
        <v>3</v>
      </c>
      <c r="G401" s="2">
        <v>1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-314622.6902662899</v>
      </c>
      <c r="U401" s="1">
        <v>-153866.9964536107</v>
      </c>
      <c r="V401" s="1">
        <v>155503.7890537199</v>
      </c>
    </row>
    <row r="402" spans="1:22" s="1" customFormat="1">
      <c r="A402" s="3">
        <v>45882</v>
      </c>
      <c r="B402" s="2" t="s">
        <v>24</v>
      </c>
      <c r="C402" s="2">
        <v>10</v>
      </c>
      <c r="D402" s="2">
        <v>10</v>
      </c>
      <c r="E402" s="2">
        <v>10</v>
      </c>
      <c r="F402" s="2">
        <v>2</v>
      </c>
      <c r="G402" s="2">
        <v>4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</row>
    <row r="403" spans="1:22" s="1" customFormat="1">
      <c r="A403" s="3">
        <v>45883</v>
      </c>
      <c r="B403" s="2" t="s">
        <v>25</v>
      </c>
      <c r="C403" s="2">
        <v>9</v>
      </c>
      <c r="D403" s="2">
        <v>9</v>
      </c>
      <c r="E403" s="2">
        <v>9</v>
      </c>
      <c r="F403" s="2">
        <v>1</v>
      </c>
      <c r="G403" s="2">
        <v>3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611544.7843034182</v>
      </c>
      <c r="R403" s="1">
        <v>442007.1461272782</v>
      </c>
      <c r="S403" s="1">
        <v>530090.1105336193</v>
      </c>
      <c r="T403" s="1">
        <v>0</v>
      </c>
      <c r="U403" s="1">
        <v>0</v>
      </c>
      <c r="V403" s="1">
        <v>0</v>
      </c>
    </row>
    <row r="404" spans="1:22" s="1" customFormat="1">
      <c r="A404" s="3">
        <v>45887</v>
      </c>
      <c r="B404" s="2" t="s">
        <v>22</v>
      </c>
      <c r="C404" s="2">
        <v>8</v>
      </c>
      <c r="D404" s="2">
        <v>8</v>
      </c>
      <c r="E404" s="2">
        <v>8</v>
      </c>
      <c r="F404" s="2">
        <v>4</v>
      </c>
      <c r="G404" s="2">
        <v>2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</row>
    <row r="405" spans="1:22" s="1" customFormat="1">
      <c r="A405" s="3">
        <v>45888</v>
      </c>
      <c r="B405" s="2" t="s">
        <v>23</v>
      </c>
      <c r="C405" s="2">
        <v>7</v>
      </c>
      <c r="D405" s="2">
        <v>7</v>
      </c>
      <c r="E405" s="2">
        <v>7</v>
      </c>
      <c r="F405" s="2">
        <v>3</v>
      </c>
      <c r="G405" s="2">
        <v>1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258235.439610507</v>
      </c>
      <c r="U405" s="1">
        <v>258235.439610507</v>
      </c>
      <c r="V405" s="1">
        <v>147562.2816454896</v>
      </c>
    </row>
    <row r="406" spans="1:22" s="1" customFormat="1">
      <c r="A406" s="3">
        <v>45889</v>
      </c>
      <c r="B406" s="2" t="s">
        <v>24</v>
      </c>
      <c r="C406" s="2">
        <v>6</v>
      </c>
      <c r="D406" s="2">
        <v>6</v>
      </c>
      <c r="E406" s="2">
        <v>6</v>
      </c>
      <c r="F406" s="2">
        <v>2</v>
      </c>
      <c r="G406" s="2">
        <v>5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</row>
    <row r="407" spans="1:22" s="1" customFormat="1">
      <c r="A407" s="3">
        <v>45890</v>
      </c>
      <c r="B407" s="2" t="s">
        <v>25</v>
      </c>
      <c r="C407" s="2">
        <v>5</v>
      </c>
      <c r="D407" s="2">
        <v>5</v>
      </c>
      <c r="E407" s="2">
        <v>5</v>
      </c>
      <c r="F407" s="2">
        <v>1</v>
      </c>
      <c r="G407" s="2">
        <v>4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761502.2431360249</v>
      </c>
      <c r="R407" s="1">
        <v>761502.2431360249</v>
      </c>
      <c r="S407" s="1">
        <v>420448.007804521</v>
      </c>
      <c r="T407" s="1">
        <v>0</v>
      </c>
      <c r="U407" s="1">
        <v>0</v>
      </c>
      <c r="V407" s="1">
        <v>0</v>
      </c>
    </row>
    <row r="408" spans="1:22" s="1" customFormat="1">
      <c r="A408" s="3">
        <v>45891</v>
      </c>
      <c r="B408" s="2" t="s">
        <v>26</v>
      </c>
      <c r="C408" s="2">
        <v>4</v>
      </c>
      <c r="D408" s="2">
        <v>4</v>
      </c>
      <c r="E408" s="2">
        <v>4</v>
      </c>
      <c r="F408" s="2">
        <v>4</v>
      </c>
      <c r="G408" s="2">
        <v>3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</row>
    <row r="409" spans="1:22" s="1" customFormat="1">
      <c r="A409" s="3">
        <v>45894</v>
      </c>
      <c r="B409" s="2" t="s">
        <v>22</v>
      </c>
      <c r="C409" s="2">
        <v>3</v>
      </c>
      <c r="D409" s="2">
        <v>3</v>
      </c>
      <c r="E409" s="2">
        <v>3</v>
      </c>
      <c r="F409" s="2">
        <v>3</v>
      </c>
      <c r="G409" s="2">
        <v>2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</row>
    <row r="410" spans="1:22" s="1" customFormat="1">
      <c r="A410" s="3">
        <v>45895</v>
      </c>
      <c r="B410" s="2" t="s">
        <v>23</v>
      </c>
      <c r="C410" s="2">
        <v>2</v>
      </c>
      <c r="D410" s="2">
        <v>2</v>
      </c>
      <c r="E410" s="2">
        <v>2</v>
      </c>
      <c r="F410" s="2">
        <v>2</v>
      </c>
      <c r="G410" s="2">
        <v>1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288824.0969903151</v>
      </c>
      <c r="U410" s="1">
        <v>44968.52951452185</v>
      </c>
      <c r="V410" s="1">
        <v>181767.3141360372</v>
      </c>
    </row>
    <row r="411" spans="1:22" s="1" customFormat="1">
      <c r="A411" s="3">
        <v>45897</v>
      </c>
      <c r="B411" s="2" t="s">
        <v>25</v>
      </c>
      <c r="C411" s="2">
        <v>1</v>
      </c>
      <c r="D411" s="2">
        <v>1</v>
      </c>
      <c r="E411" s="2">
        <v>1</v>
      </c>
      <c r="F411" s="2">
        <v>1</v>
      </c>
      <c r="G411" s="2">
        <v>6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-47063.49647156792</v>
      </c>
      <c r="R411" s="1">
        <v>-47063.49647156792</v>
      </c>
      <c r="S411" s="1">
        <v>-476373.4581745218</v>
      </c>
      <c r="T411" s="1">
        <v>0</v>
      </c>
      <c r="U411" s="1">
        <v>0</v>
      </c>
      <c r="V411" s="1">
        <v>0</v>
      </c>
    </row>
    <row r="412" spans="1:22" s="1" customFormat="1">
      <c r="A412" s="3">
        <v>45898</v>
      </c>
      <c r="B412" s="2" t="s">
        <v>26</v>
      </c>
      <c r="C412" s="2">
        <v>23</v>
      </c>
      <c r="D412" s="2">
        <v>23</v>
      </c>
      <c r="E412" s="2">
        <v>23</v>
      </c>
      <c r="F412" s="2">
        <v>3</v>
      </c>
      <c r="G412" s="2">
        <v>5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</row>
    <row r="413" spans="1:22" s="1" customFormat="1">
      <c r="A413" s="3">
        <v>45901</v>
      </c>
      <c r="B413" s="2" t="s">
        <v>22</v>
      </c>
      <c r="C413" s="2">
        <v>22</v>
      </c>
      <c r="D413" s="2">
        <v>22</v>
      </c>
      <c r="E413" s="2">
        <v>22</v>
      </c>
      <c r="F413" s="2">
        <v>2</v>
      </c>
      <c r="G413" s="2">
        <v>4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</row>
    <row r="414" spans="1:22" s="1" customFormat="1">
      <c r="A414" s="3">
        <v>45902</v>
      </c>
      <c r="B414" s="2" t="s">
        <v>23</v>
      </c>
      <c r="C414" s="2">
        <v>21</v>
      </c>
      <c r="D414" s="2">
        <v>21</v>
      </c>
      <c r="E414" s="2">
        <v>21</v>
      </c>
      <c r="F414" s="2">
        <v>1</v>
      </c>
      <c r="G414" s="2">
        <v>3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93624.90040779355</v>
      </c>
      <c r="R414" s="1">
        <v>93624.90040779355</v>
      </c>
      <c r="S414" s="1">
        <v>93624.90040779355</v>
      </c>
      <c r="T414" s="1">
        <v>0</v>
      </c>
      <c r="U414" s="1">
        <v>0</v>
      </c>
      <c r="V414" s="1">
        <v>0</v>
      </c>
    </row>
    <row r="415" spans="1:22" s="1" customFormat="1">
      <c r="A415" s="3">
        <v>45903</v>
      </c>
      <c r="B415" s="2" t="s">
        <v>24</v>
      </c>
      <c r="C415" s="2">
        <v>20</v>
      </c>
      <c r="D415" s="2">
        <v>20</v>
      </c>
      <c r="E415" s="2">
        <v>20</v>
      </c>
      <c r="F415" s="2">
        <v>5</v>
      </c>
      <c r="G415" s="2">
        <v>2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</row>
    <row r="416" spans="1:22" s="1" customFormat="1">
      <c r="A416" s="3">
        <v>45904</v>
      </c>
      <c r="B416" s="2" t="s">
        <v>25</v>
      </c>
      <c r="C416" s="2">
        <v>19</v>
      </c>
      <c r="D416" s="2">
        <v>19</v>
      </c>
      <c r="E416" s="2">
        <v>19</v>
      </c>
      <c r="F416" s="2">
        <v>4</v>
      </c>
      <c r="G416" s="2">
        <v>1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-33740.72055123904</v>
      </c>
      <c r="U416" s="1">
        <v>-192134.2077342042</v>
      </c>
      <c r="V416" s="1">
        <v>-589964.7018070228</v>
      </c>
    </row>
    <row r="417" spans="1:22" s="1" customFormat="1">
      <c r="A417" s="3">
        <v>45905</v>
      </c>
      <c r="B417" s="2" t="s">
        <v>26</v>
      </c>
      <c r="C417" s="2">
        <v>18</v>
      </c>
      <c r="D417" s="2">
        <v>18</v>
      </c>
      <c r="E417" s="2">
        <v>18</v>
      </c>
      <c r="F417" s="2">
        <v>3</v>
      </c>
      <c r="G417" s="2">
        <v>5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</row>
    <row r="418" spans="1:22" s="1" customFormat="1">
      <c r="A418" s="3">
        <v>45908</v>
      </c>
      <c r="B418" s="2" t="s">
        <v>22</v>
      </c>
      <c r="C418" s="2">
        <v>17</v>
      </c>
      <c r="D418" s="2">
        <v>17</v>
      </c>
      <c r="E418" s="2">
        <v>17</v>
      </c>
      <c r="F418" s="2">
        <v>2</v>
      </c>
      <c r="G418" s="2">
        <v>4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</row>
    <row r="419" spans="1:22" s="1" customFormat="1">
      <c r="A419" s="3">
        <v>45909</v>
      </c>
      <c r="B419" s="2" t="s">
        <v>23</v>
      </c>
      <c r="C419" s="2">
        <v>16</v>
      </c>
      <c r="D419" s="2">
        <v>16</v>
      </c>
      <c r="E419" s="2">
        <v>16</v>
      </c>
      <c r="F419" s="2">
        <v>1</v>
      </c>
      <c r="G419" s="2">
        <v>3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156211.0258093201</v>
      </c>
      <c r="R419" s="1">
        <v>388570.5278771282</v>
      </c>
      <c r="S419" s="1">
        <v>392783.7449058223</v>
      </c>
      <c r="T419" s="1">
        <v>0</v>
      </c>
      <c r="U419" s="1">
        <v>0</v>
      </c>
      <c r="V419" s="1">
        <v>0</v>
      </c>
    </row>
    <row r="420" spans="1:22" s="1" customFormat="1">
      <c r="A420" s="3">
        <v>45910</v>
      </c>
      <c r="B420" s="2" t="s">
        <v>24</v>
      </c>
      <c r="C420" s="2">
        <v>15</v>
      </c>
      <c r="D420" s="2">
        <v>15</v>
      </c>
      <c r="E420" s="2">
        <v>15</v>
      </c>
      <c r="F420" s="2">
        <v>5</v>
      </c>
      <c r="G420" s="2">
        <v>2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</row>
    <row r="421" spans="1:22" s="1" customFormat="1">
      <c r="A421" s="3">
        <v>45911</v>
      </c>
      <c r="B421" s="2" t="s">
        <v>25</v>
      </c>
      <c r="C421" s="2">
        <v>14</v>
      </c>
      <c r="D421" s="2">
        <v>14</v>
      </c>
      <c r="E421" s="2">
        <v>14</v>
      </c>
      <c r="F421" s="2">
        <v>4</v>
      </c>
      <c r="G421" s="2">
        <v>1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500343.0415051662</v>
      </c>
      <c r="U421" s="1">
        <v>480386.0158902326</v>
      </c>
      <c r="V421" s="1">
        <v>382090.2552570996</v>
      </c>
    </row>
    <row r="422" spans="1:22" s="1" customFormat="1">
      <c r="A422" s="3">
        <v>45912</v>
      </c>
      <c r="B422" s="2" t="s">
        <v>26</v>
      </c>
      <c r="C422" s="2">
        <v>13</v>
      </c>
      <c r="D422" s="2">
        <v>13</v>
      </c>
      <c r="E422" s="2">
        <v>13</v>
      </c>
      <c r="F422" s="2">
        <v>3</v>
      </c>
      <c r="G422" s="2">
        <v>5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</row>
    <row r="423" spans="1:22" s="1" customFormat="1">
      <c r="A423" s="3">
        <v>45915</v>
      </c>
      <c r="B423" s="2" t="s">
        <v>22</v>
      </c>
      <c r="C423" s="2">
        <v>12</v>
      </c>
      <c r="D423" s="2">
        <v>12</v>
      </c>
      <c r="E423" s="2">
        <v>12</v>
      </c>
      <c r="F423" s="2">
        <v>2</v>
      </c>
      <c r="G423" s="2">
        <v>4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</row>
    <row r="424" spans="1:22" s="1" customFormat="1">
      <c r="A424" s="3">
        <v>45916</v>
      </c>
      <c r="B424" s="2" t="s">
        <v>23</v>
      </c>
      <c r="C424" s="2">
        <v>11</v>
      </c>
      <c r="D424" s="2">
        <v>11</v>
      </c>
      <c r="E424" s="2">
        <v>11</v>
      </c>
      <c r="F424" s="2">
        <v>1</v>
      </c>
      <c r="G424" s="2">
        <v>3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587729.0344044757</v>
      </c>
      <c r="R424" s="1">
        <v>400786.063390121</v>
      </c>
      <c r="S424" s="1">
        <v>426509.2951340778</v>
      </c>
      <c r="T424" s="1">
        <v>0</v>
      </c>
      <c r="U424" s="1">
        <v>0</v>
      </c>
      <c r="V424" s="1">
        <v>0</v>
      </c>
    </row>
    <row r="425" spans="1:22" s="1" customFormat="1">
      <c r="A425" s="3">
        <v>45917</v>
      </c>
      <c r="B425" s="2" t="s">
        <v>24</v>
      </c>
      <c r="C425" s="2">
        <v>10</v>
      </c>
      <c r="D425" s="2">
        <v>10</v>
      </c>
      <c r="E425" s="2">
        <v>10</v>
      </c>
      <c r="F425" s="2">
        <v>5</v>
      </c>
      <c r="G425" s="2">
        <v>2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</row>
    <row r="426" spans="1:22" s="1" customFormat="1">
      <c r="A426" s="3">
        <v>45918</v>
      </c>
      <c r="B426" s="2" t="s">
        <v>25</v>
      </c>
      <c r="C426" s="2">
        <v>9</v>
      </c>
      <c r="D426" s="2">
        <v>9</v>
      </c>
      <c r="E426" s="2">
        <v>9</v>
      </c>
      <c r="F426" s="2">
        <v>4</v>
      </c>
      <c r="G426" s="2">
        <v>1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228856.5878759557</v>
      </c>
      <c r="U426" s="1">
        <v>70594.65081288251</v>
      </c>
      <c r="V426" s="1">
        <v>65686.72356513426</v>
      </c>
    </row>
    <row r="427" spans="1:22" s="1" customFormat="1">
      <c r="A427" s="3">
        <v>45919</v>
      </c>
      <c r="B427" s="2" t="s">
        <v>26</v>
      </c>
      <c r="C427" s="2">
        <v>8</v>
      </c>
      <c r="D427" s="2">
        <v>8</v>
      </c>
      <c r="E427" s="2">
        <v>8</v>
      </c>
      <c r="F427" s="2">
        <v>3</v>
      </c>
      <c r="G427" s="2">
        <v>5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</row>
    <row r="428" spans="1:22" s="1" customFormat="1">
      <c r="A428" s="3">
        <v>45922</v>
      </c>
      <c r="B428" s="2" t="s">
        <v>22</v>
      </c>
      <c r="C428" s="2">
        <v>7</v>
      </c>
      <c r="D428" s="2">
        <v>7</v>
      </c>
      <c r="E428" s="2">
        <v>7</v>
      </c>
      <c r="F428" s="2">
        <v>2</v>
      </c>
      <c r="G428" s="2">
        <v>4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</row>
    <row r="429" spans="1:22" s="1" customFormat="1">
      <c r="A429" s="3">
        <v>45923</v>
      </c>
      <c r="B429" s="2" t="s">
        <v>23</v>
      </c>
      <c r="C429" s="2">
        <v>6</v>
      </c>
      <c r="D429" s="2">
        <v>6</v>
      </c>
      <c r="E429" s="2">
        <v>6</v>
      </c>
      <c r="F429" s="2">
        <v>1</v>
      </c>
      <c r="G429" s="2">
        <v>3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106463.7570401799</v>
      </c>
      <c r="R429" s="1">
        <v>-184149.8193019018</v>
      </c>
      <c r="S429" s="1">
        <v>-97629.96109486523</v>
      </c>
      <c r="T429" s="1">
        <v>0</v>
      </c>
      <c r="U429" s="1">
        <v>0</v>
      </c>
      <c r="V429" s="1">
        <v>0</v>
      </c>
    </row>
    <row r="430" spans="1:22" s="1" customFormat="1">
      <c r="A430" s="3">
        <v>45924</v>
      </c>
      <c r="B430" s="2" t="s">
        <v>24</v>
      </c>
      <c r="C430" s="2">
        <v>5</v>
      </c>
      <c r="D430" s="2">
        <v>5</v>
      </c>
      <c r="E430" s="2">
        <v>5</v>
      </c>
      <c r="F430" s="2">
        <v>5</v>
      </c>
      <c r="G430" s="2">
        <v>2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</row>
    <row r="431" spans="1:22" s="1" customFormat="1">
      <c r="A431" s="3">
        <v>45925</v>
      </c>
      <c r="B431" s="2" t="s">
        <v>25</v>
      </c>
      <c r="C431" s="2">
        <v>4</v>
      </c>
      <c r="D431" s="2">
        <v>4</v>
      </c>
      <c r="E431" s="2">
        <v>4</v>
      </c>
      <c r="F431" s="2">
        <v>4</v>
      </c>
      <c r="G431" s="2">
        <v>1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-1925.708700287387</v>
      </c>
      <c r="U431" s="1">
        <v>-122405.6351902561</v>
      </c>
      <c r="V431" s="1">
        <v>-22195.2063801788</v>
      </c>
    </row>
    <row r="432" spans="1:22" s="1" customFormat="1">
      <c r="A432" s="3">
        <v>45926</v>
      </c>
      <c r="B432" s="2" t="s">
        <v>26</v>
      </c>
      <c r="C432" s="2">
        <v>3</v>
      </c>
      <c r="D432" s="2">
        <v>3</v>
      </c>
      <c r="E432" s="2">
        <v>3</v>
      </c>
      <c r="F432" s="2">
        <v>3</v>
      </c>
      <c r="G432" s="2">
        <v>4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</row>
    <row r="433" spans="1:22" s="1" customFormat="1">
      <c r="A433" s="3">
        <v>45929</v>
      </c>
      <c r="B433" s="2" t="s">
        <v>22</v>
      </c>
      <c r="C433" s="2">
        <v>2</v>
      </c>
      <c r="D433" s="2">
        <v>2</v>
      </c>
      <c r="E433" s="2">
        <v>2</v>
      </c>
      <c r="F433" s="2">
        <v>2</v>
      </c>
      <c r="G433" s="2">
        <v>3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</row>
    <row r="434" spans="1:22" s="1" customFormat="1">
      <c r="A434" s="3">
        <v>45930</v>
      </c>
      <c r="B434" s="2" t="s">
        <v>23</v>
      </c>
      <c r="C434" s="2">
        <v>1</v>
      </c>
      <c r="D434" s="2">
        <v>1</v>
      </c>
      <c r="E434" s="2">
        <v>1</v>
      </c>
      <c r="F434" s="2">
        <v>1</v>
      </c>
      <c r="G434" s="2">
        <v>2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-372353.3472104265</v>
      </c>
      <c r="R434" s="1">
        <v>-331758.0864878157</v>
      </c>
      <c r="S434" s="1">
        <v>32486.62480296161</v>
      </c>
      <c r="T434" s="1">
        <v>0</v>
      </c>
      <c r="U434" s="1">
        <v>0</v>
      </c>
      <c r="V434" s="1">
        <v>0</v>
      </c>
    </row>
    <row r="435" spans="1:22" s="1" customFormat="1">
      <c r="A435" s="3">
        <v>45931</v>
      </c>
      <c r="B435" s="2" t="s">
        <v>24</v>
      </c>
      <c r="C435" s="2">
        <v>17</v>
      </c>
      <c r="D435" s="2">
        <v>17</v>
      </c>
      <c r="E435" s="2">
        <v>17</v>
      </c>
      <c r="F435" s="2">
        <v>4</v>
      </c>
      <c r="G435" s="2">
        <v>1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426049.2186229531</v>
      </c>
      <c r="U435" s="1">
        <v>426049.2186229531</v>
      </c>
      <c r="V435" s="1">
        <v>241782.6618310183</v>
      </c>
    </row>
    <row r="436" spans="1:22" s="1" customFormat="1">
      <c r="A436" s="3">
        <v>45933</v>
      </c>
      <c r="B436" s="2" t="s">
        <v>26</v>
      </c>
      <c r="C436" s="2">
        <v>16</v>
      </c>
      <c r="D436" s="2">
        <v>16</v>
      </c>
      <c r="E436" s="2">
        <v>16</v>
      </c>
      <c r="F436" s="2">
        <v>3</v>
      </c>
      <c r="G436" s="2">
        <v>5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</row>
    <row r="437" spans="1:22" s="1" customFormat="1">
      <c r="A437" s="3">
        <v>45936</v>
      </c>
      <c r="B437" s="2" t="s">
        <v>22</v>
      </c>
      <c r="C437" s="2">
        <v>15</v>
      </c>
      <c r="D437" s="2">
        <v>15</v>
      </c>
      <c r="E437" s="2">
        <v>15</v>
      </c>
      <c r="F437" s="2">
        <v>2</v>
      </c>
      <c r="G437" s="2">
        <v>4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</row>
    <row r="438" spans="1:22" s="1" customFormat="1">
      <c r="A438" s="3">
        <v>45937</v>
      </c>
      <c r="B438" s="2" t="s">
        <v>23</v>
      </c>
      <c r="C438" s="2">
        <v>14</v>
      </c>
      <c r="D438" s="2">
        <v>14</v>
      </c>
      <c r="E438" s="2">
        <v>14</v>
      </c>
      <c r="F438" s="2">
        <v>1</v>
      </c>
      <c r="G438" s="2">
        <v>3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-257295.2605864604</v>
      </c>
      <c r="R438" s="1">
        <v>-257295.2605864604</v>
      </c>
      <c r="S438" s="1">
        <v>-439381.2787538744</v>
      </c>
      <c r="T438" s="1">
        <v>0</v>
      </c>
      <c r="U438" s="1">
        <v>0</v>
      </c>
      <c r="V438" s="1">
        <v>0</v>
      </c>
    </row>
    <row r="439" spans="1:22" s="1" customFormat="1">
      <c r="A439" s="3">
        <v>45938</v>
      </c>
      <c r="B439" s="2" t="s">
        <v>24</v>
      </c>
      <c r="C439" s="2">
        <v>13</v>
      </c>
      <c r="D439" s="2">
        <v>13</v>
      </c>
      <c r="E439" s="2">
        <v>13</v>
      </c>
      <c r="F439" s="2">
        <v>5</v>
      </c>
      <c r="G439" s="2">
        <v>2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</row>
    <row r="440" spans="1:22" s="1" customFormat="1">
      <c r="A440" s="3">
        <v>45939</v>
      </c>
      <c r="B440" s="2" t="s">
        <v>25</v>
      </c>
      <c r="C440" s="2">
        <v>12</v>
      </c>
      <c r="D440" s="2">
        <v>12</v>
      </c>
      <c r="E440" s="2">
        <v>12</v>
      </c>
      <c r="F440" s="2">
        <v>4</v>
      </c>
      <c r="G440" s="2">
        <v>1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388119.4240809211</v>
      </c>
      <c r="U440" s="1">
        <v>212385.3472765681</v>
      </c>
      <c r="V440" s="1">
        <v>230022.9375103413</v>
      </c>
    </row>
    <row r="441" spans="1:22" s="1" customFormat="1">
      <c r="A441" s="3">
        <v>45940</v>
      </c>
      <c r="B441" s="2" t="s">
        <v>26</v>
      </c>
      <c r="C441" s="2">
        <v>11</v>
      </c>
      <c r="D441" s="2">
        <v>11</v>
      </c>
      <c r="E441" s="2">
        <v>11</v>
      </c>
      <c r="F441" s="2">
        <v>3</v>
      </c>
      <c r="G441" s="2">
        <v>5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</row>
    <row r="442" spans="1:22" s="1" customFormat="1">
      <c r="A442" s="3">
        <v>45943</v>
      </c>
      <c r="B442" s="2" t="s">
        <v>22</v>
      </c>
      <c r="C442" s="2">
        <v>10</v>
      </c>
      <c r="D442" s="2">
        <v>10</v>
      </c>
      <c r="E442" s="2">
        <v>10</v>
      </c>
      <c r="F442" s="2">
        <v>2</v>
      </c>
      <c r="G442" s="2">
        <v>4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</row>
    <row r="443" spans="1:22" s="1" customFormat="1">
      <c r="A443" s="3">
        <v>45944</v>
      </c>
      <c r="B443" s="2" t="s">
        <v>23</v>
      </c>
      <c r="C443" s="2">
        <v>9</v>
      </c>
      <c r="D443" s="2">
        <v>9</v>
      </c>
      <c r="E443" s="2">
        <v>9</v>
      </c>
      <c r="F443" s="2">
        <v>1</v>
      </c>
      <c r="G443" s="2">
        <v>3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-213649.8925632613</v>
      </c>
      <c r="R443" s="1">
        <v>-441404.6325041493</v>
      </c>
      <c r="S443" s="1">
        <v>-224303.5147436074</v>
      </c>
      <c r="T443" s="1">
        <v>0</v>
      </c>
      <c r="U443" s="1">
        <v>0</v>
      </c>
      <c r="V443" s="1">
        <v>0</v>
      </c>
    </row>
    <row r="444" spans="1:22" s="1" customFormat="1">
      <c r="A444" s="3">
        <v>45945</v>
      </c>
      <c r="B444" s="2" t="s">
        <v>24</v>
      </c>
      <c r="C444" s="2">
        <v>8</v>
      </c>
      <c r="D444" s="2">
        <v>8</v>
      </c>
      <c r="E444" s="2">
        <v>8</v>
      </c>
      <c r="F444" s="2">
        <v>4</v>
      </c>
      <c r="G444" s="2">
        <v>2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</row>
    <row r="445" spans="1:22" s="1" customFormat="1">
      <c r="A445" s="3">
        <v>45946</v>
      </c>
      <c r="B445" s="2" t="s">
        <v>25</v>
      </c>
      <c r="C445" s="2">
        <v>7</v>
      </c>
      <c r="D445" s="2">
        <v>7</v>
      </c>
      <c r="E445" s="2">
        <v>7</v>
      </c>
      <c r="F445" s="2">
        <v>3</v>
      </c>
      <c r="G445" s="2">
        <v>1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-179191.6800899518</v>
      </c>
      <c r="U445" s="1">
        <v>67135.43647611553</v>
      </c>
      <c r="V445" s="1">
        <v>-63441.57502874646</v>
      </c>
    </row>
    <row r="446" spans="1:22" s="1" customFormat="1">
      <c r="A446" s="3">
        <v>45947</v>
      </c>
      <c r="B446" s="2" t="s">
        <v>26</v>
      </c>
      <c r="C446" s="2">
        <v>6</v>
      </c>
      <c r="D446" s="2">
        <v>6</v>
      </c>
      <c r="E446" s="2">
        <v>6</v>
      </c>
      <c r="F446" s="2">
        <v>2</v>
      </c>
      <c r="G446" s="2">
        <v>3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</row>
    <row r="447" spans="1:22" s="1" customFormat="1">
      <c r="A447" s="3">
        <v>45950</v>
      </c>
      <c r="B447" s="2" t="s">
        <v>22</v>
      </c>
      <c r="C447" s="2">
        <v>5</v>
      </c>
      <c r="D447" s="2">
        <v>5</v>
      </c>
      <c r="E447" s="2">
        <v>5</v>
      </c>
      <c r="F447" s="2">
        <v>1</v>
      </c>
      <c r="G447" s="2">
        <v>2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-508730.7900782507</v>
      </c>
      <c r="R447" s="1">
        <v>-508730.7900782507</v>
      </c>
      <c r="S447" s="1">
        <v>-916966.247437238</v>
      </c>
      <c r="T447" s="1">
        <v>0</v>
      </c>
      <c r="U447" s="1">
        <v>0</v>
      </c>
      <c r="V447" s="1">
        <v>0</v>
      </c>
    </row>
    <row r="448" spans="1:22" s="1" customFormat="1">
      <c r="A448" s="3">
        <v>45953</v>
      </c>
      <c r="B448" s="2" t="s">
        <v>25</v>
      </c>
      <c r="C448" s="2">
        <v>4</v>
      </c>
      <c r="D448" s="2">
        <v>4</v>
      </c>
      <c r="E448" s="2">
        <v>4</v>
      </c>
      <c r="F448" s="2">
        <v>4</v>
      </c>
      <c r="G448" s="2">
        <v>1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-23644.93454182465</v>
      </c>
      <c r="U448" s="1">
        <v>-23644.93454182465</v>
      </c>
      <c r="V448" s="1">
        <v>-23644.93454182465</v>
      </c>
    </row>
    <row r="449" spans="1:22" s="1" customFormat="1">
      <c r="A449" s="3">
        <v>45954</v>
      </c>
      <c r="B449" s="2" t="s">
        <v>26</v>
      </c>
      <c r="C449" s="2">
        <v>3</v>
      </c>
      <c r="D449" s="2">
        <v>3</v>
      </c>
      <c r="E449" s="2">
        <v>3</v>
      </c>
      <c r="F449" s="2">
        <v>3</v>
      </c>
      <c r="G449" s="2">
        <v>5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</row>
    <row r="450" spans="1:22" s="1" customFormat="1">
      <c r="A450" s="3">
        <v>45957</v>
      </c>
      <c r="B450" s="2" t="s">
        <v>22</v>
      </c>
      <c r="C450" s="2">
        <v>2</v>
      </c>
      <c r="D450" s="2">
        <v>2</v>
      </c>
      <c r="E450" s="2">
        <v>2</v>
      </c>
      <c r="F450" s="2">
        <v>2</v>
      </c>
      <c r="G450" s="2">
        <v>4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</row>
    <row r="451" spans="1:22" s="1" customFormat="1">
      <c r="A451" s="3">
        <v>45958</v>
      </c>
      <c r="B451" s="2" t="s">
        <v>23</v>
      </c>
      <c r="C451" s="2">
        <v>1</v>
      </c>
      <c r="D451" s="2">
        <v>1</v>
      </c>
      <c r="E451" s="2">
        <v>1</v>
      </c>
      <c r="F451" s="2">
        <v>1</v>
      </c>
      <c r="G451" s="2">
        <v>3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-274566.6791401938</v>
      </c>
      <c r="R451" s="1">
        <v>-274566.6791401938</v>
      </c>
      <c r="S451" s="1">
        <v>-81028.30240773097</v>
      </c>
      <c r="T451" s="1">
        <v>0</v>
      </c>
      <c r="U451" s="1">
        <v>0</v>
      </c>
      <c r="V451" s="1">
        <v>0</v>
      </c>
    </row>
    <row r="452" spans="1:22" s="1" customFormat="1">
      <c r="A452" s="3">
        <v>45959</v>
      </c>
      <c r="B452" s="2" t="s">
        <v>24</v>
      </c>
      <c r="C452" s="2">
        <v>19</v>
      </c>
      <c r="D452" s="2">
        <v>19</v>
      </c>
      <c r="E452" s="2">
        <v>19</v>
      </c>
      <c r="F452" s="2">
        <v>5</v>
      </c>
      <c r="G452" s="2">
        <v>2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</row>
    <row r="453" spans="1:22" s="1" customFormat="1">
      <c r="A453" s="3">
        <v>45960</v>
      </c>
      <c r="B453" s="2" t="s">
        <v>25</v>
      </c>
      <c r="C453" s="2">
        <v>18</v>
      </c>
      <c r="D453" s="2">
        <v>18</v>
      </c>
      <c r="E453" s="2">
        <v>18</v>
      </c>
      <c r="F453" s="2">
        <v>4</v>
      </c>
      <c r="G453" s="2">
        <v>1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546327.3355788243</v>
      </c>
      <c r="U453" s="1">
        <v>767572.279204924</v>
      </c>
      <c r="V453" s="1">
        <v>610425.9249871166</v>
      </c>
    </row>
    <row r="454" spans="1:22" s="1" customFormat="1">
      <c r="A454" s="3">
        <v>45961</v>
      </c>
      <c r="B454" s="2" t="s">
        <v>26</v>
      </c>
      <c r="C454" s="2">
        <v>17</v>
      </c>
      <c r="D454" s="2">
        <v>17</v>
      </c>
      <c r="E454" s="2">
        <v>17</v>
      </c>
      <c r="F454" s="2">
        <v>3</v>
      </c>
      <c r="G454" s="2">
        <v>4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</row>
    <row r="455" spans="1:22" s="1" customFormat="1">
      <c r="A455" s="3">
        <v>45964</v>
      </c>
      <c r="B455" s="2" t="s">
        <v>22</v>
      </c>
      <c r="C455" s="2">
        <v>16</v>
      </c>
      <c r="D455" s="2">
        <v>16</v>
      </c>
      <c r="E455" s="2">
        <v>16</v>
      </c>
      <c r="F455" s="2">
        <v>2</v>
      </c>
      <c r="G455" s="2">
        <v>3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</row>
    <row r="456" spans="1:22" s="1" customFormat="1">
      <c r="A456" s="3">
        <v>45965</v>
      </c>
      <c r="B456" s="2" t="s">
        <v>23</v>
      </c>
      <c r="C456" s="2">
        <v>15</v>
      </c>
      <c r="D456" s="2">
        <v>15</v>
      </c>
      <c r="E456" s="2">
        <v>15</v>
      </c>
      <c r="F456" s="2">
        <v>1</v>
      </c>
      <c r="G456" s="2">
        <v>2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323123.0276191901</v>
      </c>
      <c r="R456" s="1">
        <v>341963.1793921668</v>
      </c>
      <c r="S456" s="1">
        <v>434856.9901965678</v>
      </c>
      <c r="T456" s="1">
        <v>0</v>
      </c>
      <c r="U456" s="1">
        <v>0</v>
      </c>
      <c r="V456" s="1">
        <v>0</v>
      </c>
    </row>
    <row r="457" spans="1:22" s="1" customFormat="1">
      <c r="A457" s="3">
        <v>45967</v>
      </c>
      <c r="B457" s="2" t="s">
        <v>25</v>
      </c>
      <c r="C457" s="2">
        <v>14</v>
      </c>
      <c r="D457" s="2">
        <v>14</v>
      </c>
      <c r="E457" s="2">
        <v>14</v>
      </c>
      <c r="F457" s="2">
        <v>4</v>
      </c>
      <c r="G457" s="2">
        <v>1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526848.6327515934</v>
      </c>
      <c r="U457" s="1">
        <v>526848.6327515934</v>
      </c>
      <c r="V457" s="1">
        <v>499933.7381831951</v>
      </c>
    </row>
    <row r="458" spans="1:22" s="1" customFormat="1">
      <c r="A458" s="3">
        <v>45968</v>
      </c>
      <c r="B458" s="2" t="s">
        <v>26</v>
      </c>
      <c r="C458" s="2">
        <v>13</v>
      </c>
      <c r="D458" s="2">
        <v>13</v>
      </c>
      <c r="E458" s="2">
        <v>13</v>
      </c>
      <c r="F458" s="2">
        <v>3</v>
      </c>
      <c r="G458" s="2">
        <v>5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</row>
    <row r="459" spans="1:22" s="1" customFormat="1">
      <c r="A459" s="3">
        <v>45971</v>
      </c>
      <c r="B459" s="2" t="s">
        <v>22</v>
      </c>
      <c r="C459" s="2">
        <v>12</v>
      </c>
      <c r="D459" s="2">
        <v>12</v>
      </c>
      <c r="E459" s="2">
        <v>12</v>
      </c>
      <c r="F459" s="2">
        <v>2</v>
      </c>
      <c r="G459" s="2">
        <v>4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</row>
    <row r="460" spans="1:22" s="1" customFormat="1">
      <c r="A460" s="3">
        <v>45972</v>
      </c>
      <c r="B460" s="2" t="s">
        <v>23</v>
      </c>
      <c r="C460" s="2">
        <v>11</v>
      </c>
      <c r="D460" s="2">
        <v>11</v>
      </c>
      <c r="E460" s="2">
        <v>11</v>
      </c>
      <c r="F460" s="2">
        <v>1</v>
      </c>
      <c r="G460" s="2">
        <v>3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-496484.6592055114</v>
      </c>
      <c r="R460" s="1">
        <v>-496484.6592055114</v>
      </c>
      <c r="S460" s="1">
        <v>35060.47728716901</v>
      </c>
      <c r="T460" s="1">
        <v>0</v>
      </c>
      <c r="U460" s="1">
        <v>0</v>
      </c>
      <c r="V460" s="1">
        <v>0</v>
      </c>
    </row>
    <row r="461" spans="1:22" s="1" customFormat="1">
      <c r="A461" s="3">
        <v>45973</v>
      </c>
      <c r="B461" s="2" t="s">
        <v>24</v>
      </c>
      <c r="C461" s="2">
        <v>10</v>
      </c>
      <c r="D461" s="2">
        <v>10</v>
      </c>
      <c r="E461" s="2">
        <v>10</v>
      </c>
      <c r="F461" s="2">
        <v>5</v>
      </c>
      <c r="G461" s="2">
        <v>2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</row>
    <row r="462" spans="1:22" s="1" customFormat="1">
      <c r="A462" s="3">
        <v>45974</v>
      </c>
      <c r="B462" s="2" t="s">
        <v>25</v>
      </c>
      <c r="C462" s="2">
        <v>9</v>
      </c>
      <c r="D462" s="2">
        <v>9</v>
      </c>
      <c r="E462" s="2">
        <v>9</v>
      </c>
      <c r="F462" s="2">
        <v>4</v>
      </c>
      <c r="G462" s="2">
        <v>1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-189667.6502855053</v>
      </c>
      <c r="U462" s="1">
        <v>-87423.96772489975</v>
      </c>
      <c r="V462" s="1">
        <v>-207500.0207964832</v>
      </c>
    </row>
    <row r="463" spans="1:22" s="1" customFormat="1">
      <c r="A463" s="3">
        <v>45975</v>
      </c>
      <c r="B463" s="2" t="s">
        <v>26</v>
      </c>
      <c r="C463" s="2">
        <v>8</v>
      </c>
      <c r="D463" s="2">
        <v>8</v>
      </c>
      <c r="E463" s="2">
        <v>8</v>
      </c>
      <c r="F463" s="2">
        <v>3</v>
      </c>
      <c r="G463" s="2">
        <v>5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</row>
    <row r="464" spans="1:22" s="1" customFormat="1">
      <c r="A464" s="3">
        <v>45978</v>
      </c>
      <c r="B464" s="2" t="s">
        <v>22</v>
      </c>
      <c r="C464" s="2">
        <v>7</v>
      </c>
      <c r="D464" s="2">
        <v>7</v>
      </c>
      <c r="E464" s="2">
        <v>7</v>
      </c>
      <c r="F464" s="2">
        <v>2</v>
      </c>
      <c r="G464" s="2">
        <v>4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</row>
    <row r="465" spans="1:22" s="1" customFormat="1">
      <c r="A465" s="3">
        <v>45979</v>
      </c>
      <c r="B465" s="2" t="s">
        <v>23</v>
      </c>
      <c r="C465" s="2">
        <v>6</v>
      </c>
      <c r="D465" s="2">
        <v>6</v>
      </c>
      <c r="E465" s="2">
        <v>6</v>
      </c>
      <c r="F465" s="2">
        <v>1</v>
      </c>
      <c r="G465" s="2">
        <v>3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727383.8523185365</v>
      </c>
      <c r="R465" s="1">
        <v>794915.4057212349</v>
      </c>
      <c r="S465" s="1">
        <v>266815.8831106015</v>
      </c>
      <c r="T465" s="1">
        <v>0</v>
      </c>
      <c r="U465" s="1">
        <v>0</v>
      </c>
      <c r="V465" s="1">
        <v>0</v>
      </c>
    </row>
    <row r="466" spans="1:22" s="1" customFormat="1">
      <c r="A466" s="3">
        <v>45980</v>
      </c>
      <c r="B466" s="2" t="s">
        <v>24</v>
      </c>
      <c r="C466" s="2">
        <v>5</v>
      </c>
      <c r="D466" s="2">
        <v>5</v>
      </c>
      <c r="E466" s="2">
        <v>5</v>
      </c>
      <c r="F466" s="2">
        <v>5</v>
      </c>
      <c r="G466" s="2">
        <v>2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</row>
    <row r="467" spans="1:22" s="1" customFormat="1">
      <c r="A467" s="3">
        <v>45981</v>
      </c>
      <c r="B467" s="2" t="s">
        <v>25</v>
      </c>
      <c r="C467" s="2">
        <v>4</v>
      </c>
      <c r="D467" s="2">
        <v>4</v>
      </c>
      <c r="E467" s="2">
        <v>4</v>
      </c>
      <c r="F467" s="2">
        <v>4</v>
      </c>
      <c r="G467" s="2">
        <v>1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423195.344041836</v>
      </c>
      <c r="U467" s="1">
        <v>293666.8116683937</v>
      </c>
      <c r="V467" s="1">
        <v>83308.74600755898</v>
      </c>
    </row>
    <row r="468" spans="1:22" s="1" customFormat="1">
      <c r="A468" s="3">
        <v>45982</v>
      </c>
      <c r="B468" s="2" t="s">
        <v>26</v>
      </c>
      <c r="C468" s="2">
        <v>3</v>
      </c>
      <c r="D468" s="2">
        <v>3</v>
      </c>
      <c r="E468" s="2">
        <v>3</v>
      </c>
      <c r="F468" s="2">
        <v>3</v>
      </c>
      <c r="G468" s="2">
        <v>5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</row>
    <row r="469" spans="1:22" s="1" customFormat="1">
      <c r="A469" s="3">
        <v>45985</v>
      </c>
      <c r="B469" s="2" t="s">
        <v>22</v>
      </c>
      <c r="C469" s="2">
        <v>2</v>
      </c>
      <c r="D469" s="2">
        <v>2</v>
      </c>
      <c r="E469" s="2">
        <v>2</v>
      </c>
      <c r="F469" s="2">
        <v>2</v>
      </c>
      <c r="G469" s="2">
        <v>4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</row>
    <row r="470" spans="1:22" s="1" customFormat="1">
      <c r="A470" s="3">
        <v>45986</v>
      </c>
      <c r="B470" s="2" t="s">
        <v>23</v>
      </c>
      <c r="C470" s="2">
        <v>1</v>
      </c>
      <c r="D470" s="2">
        <v>1</v>
      </c>
      <c r="E470" s="2">
        <v>1</v>
      </c>
      <c r="F470" s="2">
        <v>1</v>
      </c>
      <c r="G470" s="2">
        <v>3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369516.1046217526</v>
      </c>
      <c r="R470" s="1">
        <v>397321.4286508929</v>
      </c>
      <c r="S470" s="1">
        <v>390668.7210783818</v>
      </c>
      <c r="T470" s="1">
        <v>0</v>
      </c>
      <c r="U470" s="1">
        <v>0</v>
      </c>
      <c r="V470" s="1">
        <v>0</v>
      </c>
    </row>
    <row r="471" spans="1:22" s="1" customFormat="1">
      <c r="A471" s="3">
        <v>45987</v>
      </c>
      <c r="B471" s="2" t="s">
        <v>24</v>
      </c>
      <c r="C471" s="2">
        <v>24</v>
      </c>
      <c r="D471" s="2">
        <v>24</v>
      </c>
      <c r="E471" s="2">
        <v>24</v>
      </c>
      <c r="F471" s="2">
        <v>5</v>
      </c>
      <c r="G471" s="2">
        <v>2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</row>
    <row r="472" spans="1:22" s="1" customFormat="1">
      <c r="A472" s="3">
        <v>45988</v>
      </c>
      <c r="B472" s="2" t="s">
        <v>25</v>
      </c>
      <c r="C472" s="2">
        <v>23</v>
      </c>
      <c r="D472" s="2">
        <v>23</v>
      </c>
      <c r="E472" s="2">
        <v>23</v>
      </c>
      <c r="F472" s="2">
        <v>4</v>
      </c>
      <c r="G472" s="2">
        <v>1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12796.43586184727</v>
      </c>
      <c r="U472" s="1">
        <v>-373703.3090268922</v>
      </c>
      <c r="V472" s="1">
        <v>-29809.08863207688</v>
      </c>
    </row>
    <row r="473" spans="1:22" s="1" customFormat="1">
      <c r="A473" s="3">
        <v>45989</v>
      </c>
      <c r="B473" s="2" t="s">
        <v>26</v>
      </c>
      <c r="C473" s="2">
        <v>22</v>
      </c>
      <c r="D473" s="2">
        <v>22</v>
      </c>
      <c r="E473" s="2">
        <v>22</v>
      </c>
      <c r="F473" s="2">
        <v>3</v>
      </c>
      <c r="G473" s="2">
        <v>5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</row>
    <row r="474" spans="1:22" s="1" customFormat="1">
      <c r="A474" s="3">
        <v>45992</v>
      </c>
      <c r="B474" s="2" t="s">
        <v>22</v>
      </c>
      <c r="C474" s="2">
        <v>21</v>
      </c>
      <c r="D474" s="2">
        <v>21</v>
      </c>
      <c r="E474" s="2">
        <v>21</v>
      </c>
      <c r="F474" s="2">
        <v>2</v>
      </c>
      <c r="G474" s="2">
        <v>4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</row>
    <row r="475" spans="1:22" s="1" customFormat="1">
      <c r="A475" s="3">
        <v>45993</v>
      </c>
      <c r="B475" s="2" t="s">
        <v>23</v>
      </c>
      <c r="C475" s="2">
        <v>20</v>
      </c>
      <c r="D475" s="2">
        <v>20</v>
      </c>
      <c r="E475" s="2">
        <v>20</v>
      </c>
      <c r="F475" s="2">
        <v>1</v>
      </c>
      <c r="G475" s="2">
        <v>3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447418.5012003293</v>
      </c>
      <c r="R475" s="1">
        <v>335404.6787676948</v>
      </c>
      <c r="S475" s="1">
        <v>205394.7368831842</v>
      </c>
      <c r="T475" s="1">
        <v>0</v>
      </c>
      <c r="U475" s="1">
        <v>0</v>
      </c>
      <c r="V475" s="1">
        <v>0</v>
      </c>
    </row>
    <row r="476" spans="1:22" s="1" customFormat="1">
      <c r="A476" s="3">
        <v>45994</v>
      </c>
      <c r="B476" s="2" t="s">
        <v>24</v>
      </c>
      <c r="C476" s="2">
        <v>19</v>
      </c>
      <c r="D476" s="2">
        <v>19</v>
      </c>
      <c r="E476" s="2">
        <v>19</v>
      </c>
      <c r="F476" s="2">
        <v>5</v>
      </c>
      <c r="G476" s="2">
        <v>2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</row>
    <row r="477" spans="1:22" s="1" customFormat="1">
      <c r="A477" s="3">
        <v>45995</v>
      </c>
      <c r="B477" s="2" t="s">
        <v>25</v>
      </c>
      <c r="C477" s="2">
        <v>18</v>
      </c>
      <c r="D477" s="2">
        <v>18</v>
      </c>
      <c r="E477" s="2">
        <v>18</v>
      </c>
      <c r="F477" s="2">
        <v>4</v>
      </c>
      <c r="G477" s="2">
        <v>1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278471.6931730988</v>
      </c>
      <c r="U477" s="1">
        <v>272498.5928404065</v>
      </c>
      <c r="V477" s="1">
        <v>118116.8609708018</v>
      </c>
    </row>
    <row r="478" spans="1:22" s="1" customFormat="1">
      <c r="A478" s="3">
        <v>45996</v>
      </c>
      <c r="B478" s="2" t="s">
        <v>26</v>
      </c>
      <c r="C478" s="2">
        <v>17</v>
      </c>
      <c r="D478" s="2">
        <v>17</v>
      </c>
      <c r="E478" s="2">
        <v>17</v>
      </c>
      <c r="F478" s="2">
        <v>3</v>
      </c>
      <c r="G478" s="2">
        <v>5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</row>
    <row r="479" spans="1:22" s="1" customFormat="1">
      <c r="A479" s="3">
        <v>45999</v>
      </c>
      <c r="B479" s="2" t="s">
        <v>22</v>
      </c>
      <c r="C479" s="2">
        <v>16</v>
      </c>
      <c r="D479" s="2">
        <v>16</v>
      </c>
      <c r="E479" s="2">
        <v>16</v>
      </c>
      <c r="F479" s="2">
        <v>2</v>
      </c>
      <c r="G479" s="2">
        <v>4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</row>
    <row r="480" spans="1:22" s="1" customFormat="1">
      <c r="A480" s="3">
        <v>46000</v>
      </c>
      <c r="B480" s="2" t="s">
        <v>23</v>
      </c>
      <c r="C480" s="2">
        <v>15</v>
      </c>
      <c r="D480" s="2">
        <v>15</v>
      </c>
      <c r="E480" s="2">
        <v>15</v>
      </c>
      <c r="F480" s="2">
        <v>1</v>
      </c>
      <c r="G480" s="2">
        <v>3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-366710.0245837965</v>
      </c>
      <c r="R480" s="1">
        <v>-257419.6354598301</v>
      </c>
      <c r="S480" s="1">
        <v>-536865.0552545943</v>
      </c>
      <c r="T480" s="1">
        <v>0</v>
      </c>
      <c r="U480" s="1">
        <v>0</v>
      </c>
      <c r="V480" s="1">
        <v>0</v>
      </c>
    </row>
    <row r="481" spans="1:22" s="1" customFormat="1">
      <c r="A481" s="3">
        <v>46001</v>
      </c>
      <c r="B481" s="2" t="s">
        <v>24</v>
      </c>
      <c r="C481" s="2">
        <v>14</v>
      </c>
      <c r="D481" s="2">
        <v>14</v>
      </c>
      <c r="E481" s="2">
        <v>14</v>
      </c>
      <c r="F481" s="2">
        <v>5</v>
      </c>
      <c r="G481" s="2">
        <v>2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</row>
    <row r="482" spans="1:22" s="1" customFormat="1">
      <c r="A482" s="3">
        <v>46002</v>
      </c>
      <c r="B482" s="2" t="s">
        <v>25</v>
      </c>
      <c r="C482" s="2">
        <v>13</v>
      </c>
      <c r="D482" s="2">
        <v>13</v>
      </c>
      <c r="E482" s="2">
        <v>13</v>
      </c>
      <c r="F482" s="2">
        <v>4</v>
      </c>
      <c r="G482" s="2">
        <v>1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-298895.4317195406</v>
      </c>
      <c r="U482" s="1">
        <v>-65002.73087936113</v>
      </c>
      <c r="V482" s="1">
        <v>116391.0661428389</v>
      </c>
    </row>
    <row r="483" spans="1:22" s="1" customFormat="1">
      <c r="A483" s="3">
        <v>46003</v>
      </c>
      <c r="B483" s="2" t="s">
        <v>26</v>
      </c>
      <c r="C483" s="2">
        <v>12</v>
      </c>
      <c r="D483" s="2">
        <v>12</v>
      </c>
      <c r="E483" s="2">
        <v>12</v>
      </c>
      <c r="F483" s="2">
        <v>3</v>
      </c>
      <c r="G483" s="2">
        <v>5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</row>
    <row r="484" spans="1:22" s="1" customFormat="1">
      <c r="A484" s="3">
        <v>46006</v>
      </c>
      <c r="B484" s="2" t="s">
        <v>22</v>
      </c>
      <c r="C484" s="2">
        <v>11</v>
      </c>
      <c r="D484" s="2">
        <v>11</v>
      </c>
      <c r="E484" s="2">
        <v>11</v>
      </c>
      <c r="F484" s="2">
        <v>2</v>
      </c>
      <c r="G484" s="2">
        <v>4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</row>
    <row r="485" spans="1:22" s="1" customFormat="1">
      <c r="A485" s="3">
        <v>46007</v>
      </c>
      <c r="B485" s="2" t="s">
        <v>23</v>
      </c>
      <c r="C485" s="2">
        <v>10</v>
      </c>
      <c r="D485" s="2">
        <v>10</v>
      </c>
      <c r="E485" s="2">
        <v>10</v>
      </c>
      <c r="F485" s="2">
        <v>1</v>
      </c>
      <c r="G485" s="2">
        <v>3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301717.1988797692</v>
      </c>
      <c r="R485" s="1">
        <v>251000.6254410694</v>
      </c>
      <c r="S485" s="1">
        <v>-87989.57004739784</v>
      </c>
      <c r="T485" s="1">
        <v>0</v>
      </c>
      <c r="U485" s="1">
        <v>0</v>
      </c>
      <c r="V485" s="1">
        <v>0</v>
      </c>
    </row>
    <row r="486" spans="1:22" s="1" customFormat="1">
      <c r="A486" s="3">
        <v>46008</v>
      </c>
      <c r="B486" s="2" t="s">
        <v>24</v>
      </c>
      <c r="C486" s="2">
        <v>9</v>
      </c>
      <c r="D486" s="2">
        <v>9</v>
      </c>
      <c r="E486" s="2">
        <v>9</v>
      </c>
      <c r="F486" s="2">
        <v>5</v>
      </c>
      <c r="G486" s="2">
        <v>2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</row>
    <row r="487" spans="1:22" s="1" customFormat="1">
      <c r="A487" s="3">
        <v>46009</v>
      </c>
      <c r="B487" s="2" t="s">
        <v>25</v>
      </c>
      <c r="C487" s="2">
        <v>8</v>
      </c>
      <c r="D487" s="2">
        <v>8</v>
      </c>
      <c r="E487" s="2">
        <v>8</v>
      </c>
      <c r="F487" s="2">
        <v>4</v>
      </c>
      <c r="G487" s="2">
        <v>1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148577.9155747573</v>
      </c>
      <c r="U487" s="1">
        <v>206322.8203006469</v>
      </c>
      <c r="V487" s="1">
        <v>117982.5207277842</v>
      </c>
    </row>
    <row r="488" spans="1:22" s="1" customFormat="1">
      <c r="A488" s="3">
        <v>46010</v>
      </c>
      <c r="B488" s="2" t="s">
        <v>26</v>
      </c>
      <c r="C488" s="2">
        <v>7</v>
      </c>
      <c r="D488" s="2">
        <v>7</v>
      </c>
      <c r="E488" s="2">
        <v>7</v>
      </c>
      <c r="F488" s="2">
        <v>3</v>
      </c>
      <c r="G488" s="2">
        <v>4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</row>
    <row r="489" spans="1:22" s="1" customFormat="1">
      <c r="A489" s="3">
        <v>46013</v>
      </c>
      <c r="B489" s="2" t="s">
        <v>22</v>
      </c>
      <c r="C489" s="2">
        <v>6</v>
      </c>
      <c r="D489" s="2">
        <v>6</v>
      </c>
      <c r="E489" s="2">
        <v>6</v>
      </c>
      <c r="F489" s="2">
        <v>2</v>
      </c>
      <c r="G489" s="2">
        <v>3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</row>
    <row r="490" spans="1:22" s="1" customFormat="1">
      <c r="A490" s="3">
        <v>46014</v>
      </c>
      <c r="B490" s="2" t="s">
        <v>23</v>
      </c>
      <c r="C490" s="2">
        <v>5</v>
      </c>
      <c r="D490" s="2">
        <v>5</v>
      </c>
      <c r="E490" s="2">
        <v>5</v>
      </c>
      <c r="F490" s="2">
        <v>1</v>
      </c>
      <c r="G490" s="2">
        <v>2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68676.55989087377</v>
      </c>
      <c r="R490" s="1">
        <v>-35466.98873495169</v>
      </c>
      <c r="S490" s="1">
        <v>134674.1911883281</v>
      </c>
      <c r="T490" s="1">
        <v>0</v>
      </c>
      <c r="U490" s="1">
        <v>0</v>
      </c>
      <c r="V490" s="1">
        <v>0</v>
      </c>
    </row>
    <row r="491" spans="1:22" s="1" customFormat="1">
      <c r="A491" s="3">
        <v>46015</v>
      </c>
      <c r="B491" s="2" t="s">
        <v>24</v>
      </c>
      <c r="C491" s="2">
        <v>4</v>
      </c>
      <c r="D491" s="2">
        <v>4</v>
      </c>
      <c r="E491" s="2">
        <v>4</v>
      </c>
      <c r="F491" s="2">
        <v>4</v>
      </c>
      <c r="G491" s="2">
        <v>1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411540.9593549679</v>
      </c>
      <c r="U491" s="1">
        <v>411540.9593549679</v>
      </c>
      <c r="V491" s="1">
        <v>460436.271569191</v>
      </c>
    </row>
    <row r="492" spans="1:22" s="1" customFormat="1">
      <c r="A492" s="3">
        <v>46017</v>
      </c>
      <c r="B492" s="2" t="s">
        <v>26</v>
      </c>
      <c r="C492" s="2">
        <v>3</v>
      </c>
      <c r="D492" s="2">
        <v>3</v>
      </c>
      <c r="E492" s="2">
        <v>3</v>
      </c>
      <c r="F492" s="2">
        <v>3</v>
      </c>
      <c r="G492" s="2">
        <v>5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</row>
    <row r="493" spans="1:22" s="1" customFormat="1">
      <c r="A493" s="3">
        <v>46020</v>
      </c>
      <c r="B493" s="2" t="s">
        <v>22</v>
      </c>
      <c r="C493" s="2">
        <v>2</v>
      </c>
      <c r="D493" s="2">
        <v>2</v>
      </c>
      <c r="E493" s="2">
        <v>2</v>
      </c>
      <c r="F493" s="2">
        <v>2</v>
      </c>
      <c r="G493" s="2">
        <v>4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</row>
    <row r="494" spans="1:22" s="1" customFormat="1">
      <c r="A494" s="3">
        <v>46021</v>
      </c>
      <c r="B494" s="2" t="s">
        <v>23</v>
      </c>
      <c r="C494" s="2">
        <v>1</v>
      </c>
      <c r="D494" s="2">
        <v>1</v>
      </c>
      <c r="E494" s="2">
        <v>1</v>
      </c>
      <c r="F494" s="2">
        <v>1</v>
      </c>
      <c r="G494" s="2">
        <v>3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-233910.5415987132</v>
      </c>
      <c r="R494" s="1">
        <v>-233910.5415987132</v>
      </c>
      <c r="S494" s="1">
        <v>-166578.1084286397</v>
      </c>
      <c r="T494" s="1">
        <v>0</v>
      </c>
      <c r="U494" s="1">
        <v>0</v>
      </c>
      <c r="V494" s="1">
        <v>0</v>
      </c>
    </row>
    <row r="495" spans="1:22" s="1" customFormat="1">
      <c r="A495" s="3">
        <v>46022</v>
      </c>
      <c r="B495" s="2" t="s">
        <v>24</v>
      </c>
      <c r="C495" s="2">
        <v>18</v>
      </c>
      <c r="D495" s="2">
        <v>18</v>
      </c>
      <c r="E495" s="2">
        <v>18</v>
      </c>
      <c r="F495" s="2">
        <v>5</v>
      </c>
      <c r="G495" s="2">
        <v>2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</row>
    <row r="496" spans="1:22" s="1" customFormat="1">
      <c r="A496" s="3">
        <v>46023</v>
      </c>
      <c r="B496" s="2" t="s">
        <v>25</v>
      </c>
      <c r="C496" s="2">
        <v>17</v>
      </c>
      <c r="D496" s="2">
        <v>17</v>
      </c>
      <c r="E496" s="2">
        <v>17</v>
      </c>
      <c r="F496" s="2">
        <v>4</v>
      </c>
      <c r="G496" s="2">
        <v>1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45102.04691884074</v>
      </c>
      <c r="U496" s="1">
        <v>257538.0574516936</v>
      </c>
      <c r="V496" s="1">
        <v>42715.84457964636</v>
      </c>
    </row>
    <row r="497" spans="1:22" s="1" customFormat="1">
      <c r="A497" s="3">
        <v>46024</v>
      </c>
      <c r="B497" s="2" t="s">
        <v>26</v>
      </c>
      <c r="C497" s="2">
        <v>16</v>
      </c>
      <c r="D497" s="2">
        <v>16</v>
      </c>
      <c r="E497" s="2">
        <v>16</v>
      </c>
      <c r="F497" s="2">
        <v>3</v>
      </c>
      <c r="G497" s="2">
        <v>5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</row>
    <row r="498" spans="1:22" s="1" customFormat="1">
      <c r="A498" s="3">
        <v>46027</v>
      </c>
      <c r="B498" s="2" t="s">
        <v>22</v>
      </c>
      <c r="C498" s="2">
        <v>15</v>
      </c>
      <c r="D498" s="2">
        <v>15</v>
      </c>
      <c r="E498" s="2">
        <v>15</v>
      </c>
      <c r="F498" s="2">
        <v>2</v>
      </c>
      <c r="G498" s="2">
        <v>4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</row>
    <row r="499" spans="1:22" s="1" customFormat="1">
      <c r="A499" s="3">
        <v>46028</v>
      </c>
      <c r="B499" s="2" t="s">
        <v>23</v>
      </c>
      <c r="C499" s="2">
        <v>14</v>
      </c>
      <c r="D499" s="2">
        <v>14</v>
      </c>
      <c r="E499" s="2">
        <v>14</v>
      </c>
      <c r="F499" s="2">
        <v>1</v>
      </c>
      <c r="G499" s="2">
        <v>3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240344.7726787532</v>
      </c>
      <c r="R499" s="1">
        <v>177079.4873501477</v>
      </c>
      <c r="S499" s="1">
        <v>321691.3059425501</v>
      </c>
      <c r="T499" s="1">
        <v>0</v>
      </c>
      <c r="U499" s="1">
        <v>0</v>
      </c>
      <c r="V499" s="1">
        <v>0</v>
      </c>
    </row>
    <row r="500" spans="1:22" s="1" customFormat="1">
      <c r="A500" s="3">
        <v>46029</v>
      </c>
      <c r="B500" s="2" t="s">
        <v>24</v>
      </c>
      <c r="C500" s="2">
        <v>13</v>
      </c>
      <c r="D500" s="2">
        <v>13</v>
      </c>
      <c r="E500" s="2">
        <v>13</v>
      </c>
      <c r="F500" s="2">
        <v>5</v>
      </c>
      <c r="G500" s="2">
        <v>2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</row>
    <row r="501" spans="1:22" s="1" customFormat="1">
      <c r="A501" s="3">
        <v>46030</v>
      </c>
      <c r="B501" s="2" t="s">
        <v>25</v>
      </c>
      <c r="C501" s="2">
        <v>12</v>
      </c>
      <c r="D501" s="2">
        <v>12</v>
      </c>
      <c r="E501" s="2">
        <v>12</v>
      </c>
      <c r="F501" s="2">
        <v>4</v>
      </c>
      <c r="G501" s="2">
        <v>1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-173721.0388378623</v>
      </c>
      <c r="U501" s="1">
        <v>-194622.3845893141</v>
      </c>
      <c r="V501" s="1">
        <v>-20361.51806504558</v>
      </c>
    </row>
    <row r="502" spans="1:22" s="1" customFormat="1">
      <c r="A502" s="3">
        <v>46031</v>
      </c>
      <c r="B502" s="2" t="s">
        <v>26</v>
      </c>
      <c r="C502" s="2">
        <v>11</v>
      </c>
      <c r="D502" s="2">
        <v>11</v>
      </c>
      <c r="E502" s="2">
        <v>11</v>
      </c>
      <c r="F502" s="2">
        <v>3</v>
      </c>
      <c r="G502" s="2">
        <v>4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</row>
    <row r="503" spans="1:22" s="1" customFormat="1">
      <c r="A503" s="3">
        <v>46034</v>
      </c>
      <c r="B503" s="2" t="s">
        <v>22</v>
      </c>
      <c r="C503" s="2">
        <v>10</v>
      </c>
      <c r="D503" s="2">
        <v>10</v>
      </c>
      <c r="E503" s="2">
        <v>10</v>
      </c>
      <c r="F503" s="2">
        <v>2</v>
      </c>
      <c r="G503" s="2">
        <v>3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</row>
    <row r="504" spans="1:22" s="1" customFormat="1">
      <c r="A504" s="3">
        <v>46035</v>
      </c>
      <c r="B504" s="2" t="s">
        <v>23</v>
      </c>
      <c r="C504" s="2">
        <v>9</v>
      </c>
      <c r="D504" s="2">
        <v>9</v>
      </c>
      <c r="E504" s="2">
        <v>9</v>
      </c>
      <c r="F504" s="2">
        <v>1</v>
      </c>
      <c r="G504" s="2">
        <v>2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-927973.9532799881</v>
      </c>
      <c r="R504" s="1">
        <v>-767158.0977148383</v>
      </c>
      <c r="S504" s="1">
        <v>-548616.8686966382</v>
      </c>
      <c r="T504" s="1">
        <v>0</v>
      </c>
      <c r="U504" s="1">
        <v>0</v>
      </c>
      <c r="V504" s="1">
        <v>0</v>
      </c>
    </row>
    <row r="505" spans="1:22" s="1" customFormat="1">
      <c r="A505" s="3">
        <v>46036</v>
      </c>
      <c r="B505" s="2" t="s">
        <v>24</v>
      </c>
      <c r="C505" s="2">
        <v>8</v>
      </c>
      <c r="D505" s="2">
        <v>8</v>
      </c>
      <c r="E505" s="2">
        <v>8</v>
      </c>
      <c r="F505" s="2">
        <v>4</v>
      </c>
      <c r="G505" s="2">
        <v>1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-332000.7254447509</v>
      </c>
      <c r="U505" s="1">
        <v>-332000.7254447509</v>
      </c>
      <c r="V505" s="1">
        <v>209221.1859160791</v>
      </c>
    </row>
    <row r="506" spans="1:22" s="1" customFormat="1">
      <c r="A506" s="3">
        <v>46038</v>
      </c>
      <c r="B506" s="2" t="s">
        <v>26</v>
      </c>
      <c r="C506" s="2">
        <v>7</v>
      </c>
      <c r="D506" s="2">
        <v>7</v>
      </c>
      <c r="E506" s="2">
        <v>7</v>
      </c>
      <c r="F506" s="2">
        <v>3</v>
      </c>
      <c r="G506" s="2">
        <v>5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</row>
    <row r="507" spans="1:22" s="1" customFormat="1">
      <c r="A507" s="3">
        <v>46041</v>
      </c>
      <c r="B507" s="2" t="s">
        <v>22</v>
      </c>
      <c r="C507" s="2">
        <v>6</v>
      </c>
      <c r="D507" s="2">
        <v>6</v>
      </c>
      <c r="E507" s="2">
        <v>6</v>
      </c>
      <c r="F507" s="2">
        <v>2</v>
      </c>
      <c r="G507" s="2">
        <v>4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</row>
    <row r="508" spans="1:22" s="1" customFormat="1">
      <c r="A508" s="3">
        <v>46042</v>
      </c>
      <c r="B508" s="2" t="s">
        <v>23</v>
      </c>
      <c r="C508" s="2">
        <v>5</v>
      </c>
      <c r="D508" s="2">
        <v>5</v>
      </c>
      <c r="E508" s="2">
        <v>5</v>
      </c>
      <c r="F508" s="2">
        <v>1</v>
      </c>
      <c r="G508" s="2">
        <v>3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76281.01403898868</v>
      </c>
      <c r="R508" s="1">
        <v>76281.01403898868</v>
      </c>
      <c r="S508" s="1">
        <v>-48521.33161927117</v>
      </c>
      <c r="T508" s="1">
        <v>0</v>
      </c>
      <c r="U508" s="1">
        <v>0</v>
      </c>
      <c r="V508" s="1">
        <v>0</v>
      </c>
    </row>
    <row r="509" spans="1:22" s="1" customFormat="1">
      <c r="A509" s="3">
        <v>46043</v>
      </c>
      <c r="B509" s="2" t="s">
        <v>24</v>
      </c>
      <c r="C509" s="2">
        <v>4</v>
      </c>
      <c r="D509" s="2">
        <v>4</v>
      </c>
      <c r="E509" s="2">
        <v>4</v>
      </c>
      <c r="F509" s="2">
        <v>4</v>
      </c>
      <c r="G509" s="2">
        <v>2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</row>
    <row r="510" spans="1:22" s="1" customFormat="1">
      <c r="A510" s="3">
        <v>46044</v>
      </c>
      <c r="B510" s="2" t="s">
        <v>25</v>
      </c>
      <c r="C510" s="2">
        <v>3</v>
      </c>
      <c r="D510" s="2">
        <v>3</v>
      </c>
      <c r="E510" s="2">
        <v>3</v>
      </c>
      <c r="F510" s="2">
        <v>3</v>
      </c>
      <c r="G510" s="2">
        <v>1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-1283735.531246246</v>
      </c>
      <c r="U510" s="1">
        <v>-1008638.59813022</v>
      </c>
      <c r="V510" s="1">
        <v>-1145294.284042893</v>
      </c>
    </row>
    <row r="511" spans="1:22" s="1" customFormat="1"/>
    <row r="512" spans="1:22" s="1" customFormat="1"/>
    <row r="513" s="1" customFormat="1"/>
    <row r="514" s="1" customFormat="1"/>
    <row r="515" s="1" customFormat="1"/>
    <row r="516" s="1" customFormat="1"/>
    <row r="517" s="1" customFormat="1"/>
    <row r="518" s="1" customFormat="1"/>
    <row r="519" s="1" customFormat="1"/>
    <row r="520" s="1" customFormat="1"/>
    <row r="521" s="1" customFormat="1"/>
    <row r="522" s="1" customFormat="1"/>
    <row r="523" s="1" customFormat="1"/>
    <row r="524" s="1" customFormat="1"/>
    <row r="525" s="1" customFormat="1"/>
    <row r="526" s="1" customFormat="1"/>
    <row r="527" s="1" customFormat="1"/>
    <row r="528" s="1" customFormat="1"/>
    <row r="529" s="1" customFormat="1"/>
    <row r="530" s="1" customFormat="1"/>
    <row r="531" s="1" customFormat="1"/>
    <row r="532" s="1" customFormat="1"/>
    <row r="533" s="1" customFormat="1"/>
    <row r="534" s="1" customFormat="1"/>
    <row r="535" s="1" customFormat="1"/>
    <row r="536" s="1" customFormat="1"/>
    <row r="537" s="1" customFormat="1"/>
    <row r="538" s="1" customFormat="1"/>
    <row r="539" s="1" customFormat="1"/>
    <row r="540" s="1" customFormat="1"/>
    <row r="541" s="1" customFormat="1"/>
    <row r="542" s="1" customFormat="1"/>
    <row r="543" s="1" customFormat="1"/>
    <row r="544" s="1" customFormat="1"/>
    <row r="545" s="1" customFormat="1"/>
    <row r="546" s="1" customFormat="1"/>
    <row r="547" s="1" customFormat="1"/>
    <row r="548" s="1" customFormat="1"/>
    <row r="549" s="1" customFormat="1"/>
    <row r="550" s="1" customFormat="1"/>
    <row r="551" s="1" customFormat="1"/>
    <row r="552" s="1" customFormat="1"/>
    <row r="553" s="1" customFormat="1"/>
    <row r="554" s="1" customFormat="1"/>
    <row r="555" s="1" customFormat="1"/>
    <row r="556" s="1" customFormat="1"/>
    <row r="557" s="1" customFormat="1"/>
    <row r="558" s="1" customFormat="1"/>
    <row r="559" s="1" customFormat="1"/>
    <row r="560" s="1" customFormat="1"/>
    <row r="561" s="1" customFormat="1"/>
    <row r="562" s="1" customFormat="1"/>
    <row r="563" s="1" customFormat="1"/>
    <row r="564" s="1" customFormat="1"/>
    <row r="565" s="1" customFormat="1"/>
    <row r="566" s="1" customFormat="1"/>
    <row r="567" s="1" customFormat="1"/>
    <row r="568" s="1" customFormat="1"/>
    <row r="569" s="1" customFormat="1"/>
    <row r="570" s="1" customFormat="1"/>
    <row r="571" s="1" customFormat="1"/>
    <row r="572" s="1" customFormat="1"/>
    <row r="573" s="1" customFormat="1"/>
    <row r="574" s="1" customFormat="1"/>
    <row r="575" s="1" customFormat="1"/>
    <row r="576" s="1" customFormat="1"/>
    <row r="577" s="1" customFormat="1"/>
    <row r="578" s="1" customFormat="1"/>
    <row r="579" s="1" customFormat="1"/>
    <row r="580" s="1" customFormat="1"/>
    <row r="581" s="1" customFormat="1"/>
    <row r="582" s="1" customFormat="1"/>
    <row r="583" s="1" customFormat="1"/>
    <row r="584" s="1" customFormat="1"/>
    <row r="585" s="1" customFormat="1"/>
    <row r="586" s="1" customFormat="1"/>
    <row r="587" s="1" customFormat="1"/>
    <row r="588" s="1" customFormat="1"/>
    <row r="589" s="1" customFormat="1"/>
    <row r="590" s="1" customFormat="1"/>
    <row r="591" s="1" customFormat="1"/>
    <row r="592" s="1" customFormat="1"/>
    <row r="593" s="1" customFormat="1"/>
    <row r="594" s="1" customFormat="1"/>
    <row r="595" s="1" customFormat="1"/>
    <row r="596" s="1" customFormat="1"/>
    <row r="597" s="1" customFormat="1"/>
    <row r="598" s="1" customFormat="1"/>
    <row r="599" s="1" customFormat="1"/>
    <row r="600" s="1" customFormat="1"/>
    <row r="601" s="1" customFormat="1"/>
    <row r="602" s="1" customFormat="1"/>
    <row r="603" s="1" customFormat="1"/>
    <row r="604" s="1" customFormat="1"/>
    <row r="605" s="1" customFormat="1"/>
    <row r="606" s="1" customFormat="1"/>
    <row r="607" s="1" customFormat="1"/>
    <row r="608" s="1" customFormat="1"/>
    <row r="609" s="1" customFormat="1"/>
    <row r="610" s="1" customFormat="1"/>
    <row r="611" s="1" customFormat="1"/>
    <row r="612" s="1" customFormat="1"/>
    <row r="613" s="1" customFormat="1"/>
    <row r="614" s="1" customFormat="1"/>
    <row r="615" s="1" customFormat="1"/>
    <row r="616" s="1" customFormat="1"/>
    <row r="617" s="1" customFormat="1"/>
    <row r="618" s="1" customFormat="1"/>
    <row r="619" s="1" customFormat="1"/>
    <row r="620" s="1" customFormat="1"/>
    <row r="621" s="1" customFormat="1"/>
    <row r="622" s="1" customFormat="1"/>
    <row r="623" s="1" customFormat="1"/>
    <row r="624" s="1" customFormat="1"/>
    <row r="625" s="1" customFormat="1"/>
    <row r="626" s="1" customFormat="1"/>
    <row r="627" s="1" customFormat="1"/>
    <row r="628" s="1" customFormat="1"/>
    <row r="629" s="1" customFormat="1"/>
    <row r="630" s="1" customFormat="1"/>
    <row r="631" s="1" customFormat="1"/>
    <row r="632" s="1" customFormat="1"/>
    <row r="633" s="1" customFormat="1"/>
    <row r="634" s="1" customFormat="1"/>
    <row r="635" s="1" customFormat="1"/>
    <row r="636" s="1" customFormat="1"/>
    <row r="637" s="1" customFormat="1"/>
    <row r="638" s="1" customFormat="1"/>
    <row r="639" s="1" customFormat="1"/>
    <row r="640" s="1" customFormat="1"/>
    <row r="641" s="1" customFormat="1"/>
    <row r="642" s="1" customFormat="1"/>
    <row r="643" s="1" customFormat="1"/>
    <row r="644" s="1" customFormat="1"/>
    <row r="645" s="1" customFormat="1"/>
    <row r="646" s="1" customFormat="1"/>
    <row r="647" s="1" customFormat="1"/>
    <row r="648" s="1" customFormat="1"/>
    <row r="649" s="1" customFormat="1"/>
    <row r="650" s="1" customFormat="1"/>
    <row r="651" s="1" customFormat="1"/>
    <row r="652" s="1" customFormat="1"/>
    <row r="653" s="1" customFormat="1"/>
    <row r="654" s="1" customFormat="1"/>
    <row r="655" s="1" customFormat="1"/>
    <row r="656" s="1" customFormat="1"/>
    <row r="657" s="1" customFormat="1"/>
    <row r="658" s="1" customFormat="1"/>
    <row r="659" s="1" customFormat="1"/>
    <row r="660" s="1" customFormat="1"/>
    <row r="661" s="1" customFormat="1"/>
    <row r="662" s="1" customFormat="1"/>
    <row r="663" s="1" customFormat="1"/>
    <row r="664" s="1" customFormat="1"/>
    <row r="665" s="1" customFormat="1"/>
    <row r="666" s="1" customFormat="1"/>
    <row r="667" s="1" customFormat="1"/>
    <row r="668" s="1" customFormat="1"/>
    <row r="669" s="1" customFormat="1"/>
    <row r="670" s="1" customFormat="1"/>
    <row r="671" s="1" customFormat="1"/>
    <row r="672" s="1" customFormat="1"/>
    <row r="673" s="1" customFormat="1"/>
    <row r="674" s="1" customFormat="1"/>
    <row r="675" s="1" customFormat="1"/>
    <row r="676" s="1" customFormat="1"/>
    <row r="677" s="1" customFormat="1"/>
    <row r="678" s="1" customFormat="1"/>
    <row r="679" s="1" customFormat="1"/>
    <row r="680" s="1" customFormat="1"/>
    <row r="681" s="1" customFormat="1"/>
    <row r="682" s="1" customFormat="1"/>
    <row r="683" s="1" customFormat="1"/>
    <row r="684" s="1" customFormat="1"/>
    <row r="685" s="1" customFormat="1"/>
    <row r="686" s="1" customFormat="1"/>
    <row r="687" s="1" customFormat="1"/>
    <row r="688" s="1" customFormat="1"/>
    <row r="689" s="1" customFormat="1"/>
    <row r="690" s="1" customFormat="1"/>
    <row r="691" s="1" customFormat="1"/>
    <row r="692" s="1" customFormat="1"/>
    <row r="693" s="1" customFormat="1"/>
    <row r="694" s="1" customFormat="1"/>
    <row r="695" s="1" customFormat="1"/>
    <row r="696" s="1" customFormat="1"/>
    <row r="697" s="1" customFormat="1"/>
    <row r="698" s="1" customFormat="1"/>
    <row r="699" s="1" customFormat="1"/>
    <row r="700" s="1" customFormat="1"/>
    <row r="701" s="1" customFormat="1"/>
    <row r="702" s="1" customFormat="1"/>
    <row r="703" s="1" customFormat="1"/>
    <row r="704" s="1" customFormat="1"/>
    <row r="705" s="1" customFormat="1"/>
    <row r="706" s="1" customFormat="1"/>
    <row r="707" s="1" customFormat="1"/>
    <row r="708" s="1" customFormat="1"/>
    <row r="709" s="1" customFormat="1"/>
    <row r="710" s="1" customFormat="1"/>
    <row r="711" s="1" customFormat="1"/>
    <row r="712" s="1" customFormat="1"/>
    <row r="713" s="1" customFormat="1"/>
    <row r="714" s="1" customFormat="1"/>
    <row r="715" s="1" customFormat="1"/>
    <row r="716" s="1" customFormat="1"/>
    <row r="717" s="1" customFormat="1"/>
    <row r="718" s="1" customFormat="1"/>
    <row r="719" s="1" customFormat="1"/>
    <row r="720" s="1" customFormat="1"/>
    <row r="721" s="1" customFormat="1"/>
    <row r="722" s="1" customFormat="1"/>
    <row r="723" s="1" customFormat="1"/>
    <row r="724" s="1" customFormat="1"/>
    <row r="725" s="1" customFormat="1"/>
    <row r="726" s="1" customFormat="1"/>
    <row r="727" s="1" customFormat="1"/>
    <row r="728" s="1" customFormat="1"/>
    <row r="729" s="1" customFormat="1"/>
    <row r="730" s="1" customFormat="1"/>
    <row r="731" s="1" customFormat="1"/>
    <row r="732" s="1" customFormat="1"/>
    <row r="733" s="1" customFormat="1"/>
    <row r="734" s="1" customFormat="1"/>
    <row r="735" s="1" customFormat="1"/>
    <row r="736" s="1" customFormat="1"/>
    <row r="737" s="1" customFormat="1"/>
    <row r="738" s="1" customFormat="1"/>
    <row r="739" s="1" customFormat="1"/>
    <row r="740" s="1" customFormat="1"/>
    <row r="741" s="1" customFormat="1"/>
    <row r="742" s="1" customFormat="1"/>
    <row r="743" s="1" customFormat="1"/>
    <row r="744" s="1" customFormat="1"/>
    <row r="745" s="1" customFormat="1"/>
    <row r="746" s="1" customFormat="1"/>
    <row r="747" s="1" customFormat="1"/>
    <row r="748" s="1" customFormat="1"/>
    <row r="749" s="1" customFormat="1"/>
    <row r="750" s="1" customFormat="1"/>
    <row r="751" s="1" customFormat="1"/>
    <row r="752" s="1" customFormat="1"/>
    <row r="753" s="1" customFormat="1"/>
    <row r="754" s="1" customFormat="1"/>
    <row r="755" s="1" customFormat="1"/>
    <row r="756" s="1" customFormat="1"/>
    <row r="757" s="1" customFormat="1"/>
    <row r="758" s="1" customFormat="1"/>
    <row r="759" s="1" customFormat="1"/>
    <row r="760" s="1" customFormat="1"/>
    <row r="761" s="1" customFormat="1"/>
    <row r="762" s="1" customFormat="1"/>
    <row r="763" s="1" customFormat="1"/>
    <row r="764" s="1" customFormat="1"/>
    <row r="765" s="1" customFormat="1"/>
    <row r="766" s="1" customFormat="1"/>
    <row r="767" s="1" customFormat="1"/>
    <row r="768" s="1" customFormat="1"/>
    <row r="769" s="1" customFormat="1"/>
    <row r="770" s="1" customFormat="1"/>
    <row r="771" s="1" customFormat="1"/>
    <row r="772" s="1" customFormat="1"/>
    <row r="773" s="1" customFormat="1"/>
    <row r="774" s="1" customFormat="1"/>
    <row r="775" s="1" customFormat="1"/>
    <row r="776" s="1" customFormat="1"/>
    <row r="777" s="1" customFormat="1"/>
    <row r="778" s="1" customFormat="1"/>
    <row r="779" s="1" customFormat="1"/>
    <row r="780" s="1" customFormat="1"/>
    <row r="781" s="1" customFormat="1"/>
    <row r="782" s="1" customFormat="1"/>
    <row r="783" s="1" customFormat="1"/>
    <row r="784" s="1" customFormat="1"/>
    <row r="785" s="1" customFormat="1"/>
    <row r="786" s="1" customFormat="1"/>
    <row r="787" s="1" customFormat="1"/>
    <row r="788" s="1" customFormat="1"/>
    <row r="789" s="1" customFormat="1"/>
    <row r="790" s="1" customFormat="1"/>
    <row r="791" s="1" customFormat="1"/>
    <row r="792" s="1" customFormat="1"/>
    <row r="793" s="1" customFormat="1"/>
    <row r="794" s="1" customFormat="1"/>
    <row r="795" s="1" customFormat="1"/>
    <row r="796" s="1" customFormat="1"/>
    <row r="797" s="1" customFormat="1"/>
    <row r="798" s="1" customFormat="1"/>
    <row r="799" s="1" customFormat="1"/>
    <row r="800" s="1" customFormat="1"/>
    <row r="801" s="1" customFormat="1"/>
    <row r="802" s="1" customFormat="1"/>
    <row r="803" s="1" customFormat="1"/>
    <row r="804" s="1" customFormat="1"/>
    <row r="805" s="1" customFormat="1"/>
    <row r="806" s="1" customFormat="1"/>
    <row r="807" s="1" customFormat="1"/>
    <row r="808" s="1" customFormat="1"/>
    <row r="809" s="1" customFormat="1"/>
    <row r="810" s="1" customFormat="1"/>
    <row r="811" s="1" customFormat="1"/>
    <row r="812" s="1" customFormat="1"/>
    <row r="813" s="1" customFormat="1"/>
    <row r="814" s="1" customFormat="1"/>
    <row r="815" s="1" customFormat="1"/>
    <row r="816" s="1" customFormat="1"/>
    <row r="817" s="1" customFormat="1"/>
    <row r="818" s="1" customFormat="1"/>
    <row r="819" s="1" customFormat="1"/>
    <row r="820" s="1" customFormat="1"/>
    <row r="821" s="1" customFormat="1"/>
    <row r="822" s="1" customFormat="1"/>
    <row r="823" s="1" customFormat="1"/>
    <row r="824" s="1" customFormat="1"/>
    <row r="825" s="1" customFormat="1"/>
    <row r="826" s="1" customFormat="1"/>
    <row r="827" s="1" customFormat="1"/>
    <row r="828" s="1" customFormat="1"/>
    <row r="829" s="1" customFormat="1"/>
    <row r="830" s="1" customFormat="1"/>
    <row r="831" s="1" customFormat="1"/>
    <row r="832" s="1" customFormat="1"/>
    <row r="833" s="1" customFormat="1"/>
    <row r="834" s="1" customFormat="1"/>
    <row r="835" s="1" customFormat="1"/>
    <row r="836" s="1" customFormat="1"/>
    <row r="837" s="1" customFormat="1"/>
    <row r="838" s="1" customFormat="1"/>
    <row r="839" s="1" customFormat="1"/>
    <row r="840" s="1" customFormat="1"/>
    <row r="841" s="1" customFormat="1"/>
    <row r="842" s="1" customFormat="1"/>
    <row r="843" s="1" customFormat="1"/>
    <row r="844" s="1" customFormat="1"/>
    <row r="845" s="1" customFormat="1"/>
    <row r="846" s="1" customFormat="1"/>
    <row r="847" s="1" customFormat="1"/>
    <row r="848" s="1" customFormat="1"/>
    <row r="849" s="1" customFormat="1"/>
    <row r="850" s="1" customFormat="1"/>
    <row r="851" s="1" customFormat="1"/>
    <row r="852" s="1" customFormat="1"/>
    <row r="853" s="1" customFormat="1"/>
    <row r="854" s="1" customFormat="1"/>
    <row r="855" s="1" customFormat="1"/>
    <row r="856" s="1" customFormat="1"/>
    <row r="857" s="1" customFormat="1"/>
    <row r="858" s="1" customFormat="1"/>
    <row r="859" s="1" customFormat="1"/>
    <row r="860" s="1" customFormat="1"/>
    <row r="861" s="1" customFormat="1"/>
    <row r="862" s="1" customFormat="1"/>
    <row r="863" s="1" customFormat="1"/>
    <row r="864" s="1" customFormat="1"/>
    <row r="865" s="1" customFormat="1"/>
    <row r="866" s="1" customFormat="1"/>
    <row r="867" s="1" customFormat="1"/>
    <row r="868" s="1" customFormat="1"/>
    <row r="869" s="1" customFormat="1"/>
    <row r="870" s="1" customFormat="1"/>
    <row r="871" s="1" customFormat="1"/>
    <row r="872" s="1" customFormat="1"/>
    <row r="873" s="1" customFormat="1"/>
    <row r="874" s="1" customFormat="1"/>
    <row r="875" s="1" customFormat="1"/>
    <row r="876" s="1" customFormat="1"/>
    <row r="877" s="1" customFormat="1"/>
    <row r="878" s="1" customFormat="1"/>
    <row r="879" s="1" customFormat="1"/>
    <row r="880" s="1" customFormat="1"/>
    <row r="881" s="1" customFormat="1"/>
    <row r="882" s="1" customFormat="1"/>
    <row r="883" s="1" customFormat="1"/>
    <row r="884" s="1" customFormat="1"/>
    <row r="885" s="1" customFormat="1"/>
    <row r="886" s="1" customFormat="1"/>
    <row r="887" s="1" customFormat="1"/>
    <row r="888" s="1" customFormat="1"/>
    <row r="889" s="1" customFormat="1"/>
    <row r="890" s="1" customFormat="1"/>
    <row r="891" s="1" customFormat="1"/>
    <row r="892" s="1" customFormat="1"/>
    <row r="893" s="1" customFormat="1"/>
    <row r="894" s="1" customFormat="1"/>
    <row r="895" s="1" customFormat="1"/>
    <row r="896" s="1" customFormat="1"/>
    <row r="897" s="1" customFormat="1"/>
    <row r="898" s="1" customFormat="1"/>
    <row r="899" s="1" customFormat="1"/>
    <row r="900" s="1" customFormat="1"/>
    <row r="901" s="1" customFormat="1"/>
    <row r="902" s="1" customFormat="1"/>
    <row r="903" s="1" customFormat="1"/>
    <row r="904" s="1" customFormat="1"/>
    <row r="905" s="1" customFormat="1"/>
    <row r="906" s="1" customFormat="1"/>
    <row r="907" s="1" customFormat="1"/>
    <row r="908" s="1" customFormat="1"/>
    <row r="909" s="1" customFormat="1"/>
    <row r="910" s="1" customFormat="1"/>
    <row r="911" s="1" customFormat="1"/>
    <row r="912" s="1" customFormat="1"/>
    <row r="913" s="1" customFormat="1"/>
    <row r="914" s="1" customFormat="1"/>
    <row r="915" s="1" customFormat="1"/>
    <row r="916" s="1" customFormat="1"/>
    <row r="917" s="1" customFormat="1"/>
    <row r="918" s="1" customFormat="1"/>
    <row r="919" s="1" customFormat="1"/>
    <row r="920" s="1" customFormat="1"/>
    <row r="921" s="1" customFormat="1"/>
    <row r="922" s="1" customFormat="1"/>
    <row r="923" s="1" customFormat="1"/>
    <row r="924" s="1" customFormat="1"/>
    <row r="925" s="1" customFormat="1"/>
    <row r="926" s="1" customFormat="1"/>
    <row r="927" s="1" customFormat="1"/>
    <row r="928" s="1" customFormat="1"/>
    <row r="929" s="1" customFormat="1"/>
    <row r="930" s="1" customFormat="1"/>
    <row r="931" s="1" customFormat="1"/>
    <row r="932" s="1" customFormat="1"/>
    <row r="933" s="1" customFormat="1"/>
    <row r="934" s="1" customFormat="1"/>
    <row r="935" s="1" customFormat="1"/>
    <row r="936" s="1" customFormat="1"/>
    <row r="937" s="1" customFormat="1"/>
    <row r="938" s="1" customFormat="1"/>
    <row r="939" s="1" customFormat="1"/>
    <row r="940" s="1" customFormat="1"/>
    <row r="941" s="1" customFormat="1"/>
    <row r="942" s="1" customFormat="1"/>
    <row r="943" s="1" customFormat="1"/>
    <row r="944" s="1" customFormat="1"/>
    <row r="945" s="1" customFormat="1"/>
    <row r="946" s="1" customFormat="1"/>
    <row r="947" s="1" customFormat="1"/>
    <row r="948" s="1" customFormat="1"/>
    <row r="949" s="1" customFormat="1"/>
    <row r="950" s="1" customFormat="1"/>
    <row r="951" s="1" customFormat="1"/>
    <row r="952" s="1" customFormat="1"/>
    <row r="953" s="1" customFormat="1"/>
    <row r="954" s="1" customFormat="1"/>
    <row r="955" s="1" customFormat="1"/>
    <row r="956" s="1" customFormat="1"/>
    <row r="957" s="1" customFormat="1"/>
    <row r="958" s="1" customFormat="1"/>
    <row r="959" s="1" customFormat="1"/>
    <row r="960" s="1" customFormat="1"/>
    <row r="961" s="1" customFormat="1"/>
    <row r="962" s="1" customFormat="1"/>
    <row r="963" s="1" customFormat="1"/>
    <row r="964" s="1" customFormat="1"/>
    <row r="965" s="1" customFormat="1"/>
    <row r="966" s="1" customFormat="1"/>
    <row r="967" s="1" customFormat="1"/>
    <row r="968" s="1" customFormat="1"/>
    <row r="969" s="1" customFormat="1"/>
    <row r="970" s="1" customFormat="1"/>
    <row r="971" s="1" customFormat="1"/>
    <row r="972" s="1" customFormat="1"/>
    <row r="973" s="1" customFormat="1"/>
    <row r="974" s="1" customFormat="1"/>
    <row r="975" s="1" customFormat="1"/>
    <row r="976" s="1" customFormat="1"/>
    <row r="977" s="1" customFormat="1"/>
    <row r="978" s="1" customFormat="1"/>
    <row r="979" s="1" customFormat="1"/>
    <row r="980" s="1" customFormat="1"/>
    <row r="981" s="1" customFormat="1"/>
    <row r="982" s="1" customFormat="1"/>
    <row r="983" s="1" customFormat="1"/>
    <row r="984" s="1" customFormat="1"/>
    <row r="985" s="1" customFormat="1"/>
    <row r="986" s="1" customFormat="1"/>
    <row r="987" s="1" customFormat="1"/>
    <row r="988" s="1" customFormat="1"/>
    <row r="989" s="1" customFormat="1"/>
    <row r="990" s="1" customFormat="1"/>
    <row r="991" s="1" customFormat="1"/>
    <row r="992" s="1" customFormat="1"/>
    <row r="993" s="1" customFormat="1"/>
    <row r="994" s="1" customFormat="1"/>
    <row r="995" s="1" customFormat="1"/>
    <row r="996" s="1" customFormat="1"/>
    <row r="997" s="1" customFormat="1"/>
    <row r="998" s="1" customFormat="1"/>
    <row r="999" s="1" customFormat="1"/>
    <row r="1000" s="1" customFormat="1"/>
    <row r="1001" s="1" customFormat="1"/>
    <row r="1002" s="1" customFormat="1"/>
    <row r="1003" s="1" customFormat="1"/>
    <row r="1004" s="1" customFormat="1"/>
    <row r="1005" s="1" customFormat="1"/>
    <row r="1006" s="1" customFormat="1"/>
    <row r="1007" s="1" customFormat="1"/>
    <row r="1008" s="1" customFormat="1"/>
    <row r="1009" s="1" customFormat="1"/>
    <row r="1010" s="1" customFormat="1"/>
    <row r="1011" s="1" customFormat="1"/>
    <row r="1012" s="1" customFormat="1"/>
    <row r="1013" s="1" customFormat="1"/>
    <row r="1014" s="1" customFormat="1"/>
    <row r="1015" s="1" customFormat="1"/>
    <row r="1016" s="1" customFormat="1"/>
    <row r="1017" s="1" customFormat="1"/>
    <row r="1018" s="1" customFormat="1"/>
    <row r="1019" s="1" customFormat="1"/>
    <row r="1020" s="1" customFormat="1"/>
    <row r="1021" s="1" customFormat="1"/>
    <row r="1022" s="1" customFormat="1"/>
    <row r="1023" s="1" customFormat="1"/>
    <row r="1024" s="1" customFormat="1"/>
    <row r="1025" s="1" customFormat="1"/>
    <row r="1026" s="1" customFormat="1"/>
    <row r="1027" s="1" customFormat="1"/>
    <row r="1028" s="1" customFormat="1"/>
    <row r="1029" s="1" customFormat="1"/>
    <row r="1030" s="1" customFormat="1"/>
    <row r="1031" s="1" customFormat="1"/>
    <row r="1032" s="1" customFormat="1"/>
    <row r="1033" s="1" customFormat="1"/>
    <row r="1034" s="1" customFormat="1"/>
    <row r="1035" s="1" customFormat="1"/>
    <row r="1036" s="1" customFormat="1"/>
    <row r="1037" s="1" customFormat="1"/>
    <row r="1038" s="1" customFormat="1"/>
    <row r="1039" s="1" customFormat="1"/>
    <row r="1040" s="1" customFormat="1"/>
    <row r="1041" s="1" customFormat="1"/>
    <row r="1042" s="1" customFormat="1"/>
    <row r="1043" s="1" customFormat="1"/>
    <row r="1044" s="1" customFormat="1"/>
    <row r="1045" s="1" customFormat="1"/>
    <row r="1046" s="1" customFormat="1"/>
    <row r="1047" s="1" customFormat="1"/>
    <row r="1048" s="1" customFormat="1"/>
    <row r="1049" s="1" customFormat="1"/>
    <row r="1050" s="1" customFormat="1"/>
    <row r="1051" s="1" customFormat="1"/>
    <row r="1052" s="1" customFormat="1"/>
    <row r="1053" s="1" customFormat="1"/>
    <row r="1054" s="1" customFormat="1"/>
    <row r="1055" s="1" customFormat="1"/>
    <row r="1056" s="1" customFormat="1"/>
    <row r="1057" s="1" customFormat="1"/>
    <row r="1058" s="1" customFormat="1"/>
    <row r="1059" s="1" customFormat="1"/>
    <row r="1060" s="1" customFormat="1"/>
    <row r="1061" s="1" customFormat="1"/>
    <row r="1062" s="1" customFormat="1"/>
    <row r="1063" s="1" customFormat="1"/>
    <row r="1064" s="1" customFormat="1"/>
    <row r="1065" s="1" customFormat="1"/>
    <row r="1066" s="1" customFormat="1"/>
    <row r="1067" s="1" customFormat="1"/>
    <row r="1068" s="1" customFormat="1"/>
    <row r="1069" s="1" customFormat="1"/>
    <row r="1070" s="1" customFormat="1"/>
    <row r="1071" s="1" customFormat="1"/>
    <row r="1072" s="1" customFormat="1"/>
    <row r="1073" s="1" customFormat="1"/>
    <row r="1074" s="1" customFormat="1"/>
    <row r="1075" s="1" customFormat="1"/>
    <row r="1076" s="1" customFormat="1"/>
    <row r="1077" s="1" customFormat="1"/>
    <row r="1078" s="1" customFormat="1"/>
    <row r="1079" s="1" customFormat="1"/>
    <row r="1080" s="1" customFormat="1"/>
    <row r="1081" s="1" customFormat="1"/>
    <row r="1082" s="1" customFormat="1"/>
    <row r="1083" s="1" customFormat="1"/>
    <row r="1084" s="1" customFormat="1"/>
    <row r="1085" s="1" customFormat="1"/>
    <row r="1086" s="1" customFormat="1"/>
    <row r="1087" s="1" customFormat="1"/>
    <row r="1088" s="1" customFormat="1"/>
    <row r="1089" s="1" customFormat="1"/>
    <row r="1090" s="1" customFormat="1"/>
    <row r="1091" s="1" customFormat="1"/>
    <row r="1092" s="1" customFormat="1"/>
    <row r="1093" s="1" customFormat="1"/>
    <row r="1094" s="1" customFormat="1"/>
    <row r="1095" s="1" customFormat="1"/>
    <row r="1096" s="1" customFormat="1"/>
    <row r="1097" s="1" customFormat="1"/>
    <row r="1098" s="1" customFormat="1"/>
    <row r="1099" s="1" customFormat="1"/>
    <row r="1100" s="1" customFormat="1"/>
    <row r="1101" s="1" customFormat="1"/>
    <row r="1102" s="1" customFormat="1"/>
    <row r="1103" s="1" customFormat="1"/>
    <row r="1104" s="1" customFormat="1"/>
    <row r="1105" s="1" customFormat="1"/>
    <row r="1106" s="1" customFormat="1"/>
    <row r="1107" s="1" customFormat="1"/>
    <row r="1108" s="1" customFormat="1"/>
    <row r="1109" s="1" customFormat="1"/>
    <row r="1110" s="1" customFormat="1"/>
    <row r="1111" s="1" customFormat="1"/>
    <row r="1112" s="1" customFormat="1"/>
    <row r="1113" s="1" customFormat="1"/>
    <row r="1114" s="1" customFormat="1"/>
    <row r="1115" s="1" customFormat="1"/>
    <row r="1116" s="1" customFormat="1"/>
    <row r="1117" s="1" customFormat="1"/>
    <row r="1118" s="1" customFormat="1"/>
    <row r="1119" s="1" customFormat="1"/>
    <row r="1120" s="1" customFormat="1"/>
    <row r="1121" s="1" customFormat="1"/>
    <row r="1122" s="1" customFormat="1"/>
    <row r="1123" s="1" customFormat="1"/>
    <row r="1124" s="1" customFormat="1"/>
    <row r="1125" s="1" customFormat="1"/>
    <row r="1126" s="1" customFormat="1"/>
    <row r="1127" s="1" customFormat="1"/>
    <row r="1128" s="1" customFormat="1"/>
    <row r="1129" s="1" customFormat="1"/>
    <row r="1130" s="1" customFormat="1"/>
    <row r="1131" s="1" customFormat="1"/>
    <row r="1132" s="1" customFormat="1"/>
    <row r="1133" s="1" customFormat="1"/>
    <row r="1134" s="1" customFormat="1"/>
    <row r="1135" s="1" customFormat="1"/>
    <row r="1136" s="1" customFormat="1"/>
    <row r="1137" s="1" customFormat="1"/>
    <row r="1138" s="1" customFormat="1"/>
    <row r="1139" s="1" customFormat="1"/>
    <row r="1140" s="1" customFormat="1"/>
    <row r="1141" s="1" customFormat="1"/>
    <row r="1142" s="1" customFormat="1"/>
    <row r="1143" s="1" customFormat="1"/>
    <row r="1144" s="1" customFormat="1"/>
    <row r="1145" s="1" customFormat="1"/>
    <row r="1146" s="1" customFormat="1"/>
    <row r="1147" s="1" customFormat="1"/>
    <row r="1148" s="1" customFormat="1"/>
    <row r="1149" s="1" customFormat="1"/>
    <row r="1150" s="1" customFormat="1"/>
    <row r="1151" s="1" customFormat="1"/>
    <row r="1152" s="1" customFormat="1"/>
    <row r="1153" s="1" customFormat="1"/>
    <row r="1154" s="1" customFormat="1"/>
    <row r="1155" s="1" customFormat="1"/>
    <row r="1156" s="1" customFormat="1"/>
    <row r="1157" s="1" customFormat="1"/>
    <row r="1158" s="1" customFormat="1"/>
    <row r="1159" s="1" customFormat="1"/>
    <row r="1160" s="1" customFormat="1"/>
    <row r="1161" s="1" customFormat="1"/>
    <row r="1162" s="1" customFormat="1"/>
    <row r="1163" s="1" customFormat="1"/>
    <row r="1164" s="1" customFormat="1"/>
    <row r="1165" s="1" customFormat="1"/>
    <row r="1166" s="1" customFormat="1"/>
    <row r="1167" s="1" customFormat="1"/>
    <row r="1168" s="1" customFormat="1"/>
    <row r="1169" s="1" customFormat="1"/>
    <row r="1170" s="1" customFormat="1"/>
    <row r="1171" s="1" customFormat="1"/>
    <row r="1172" s="1" customFormat="1"/>
    <row r="1173" s="1" customFormat="1"/>
    <row r="1174" s="1" customFormat="1"/>
    <row r="1175" s="1" customFormat="1"/>
    <row r="1176" s="1" customFormat="1"/>
    <row r="1177" s="1" customFormat="1"/>
    <row r="1178" s="1" customFormat="1"/>
    <row r="1179" s="1" customFormat="1"/>
    <row r="1180" s="1" customFormat="1"/>
    <row r="1181" s="1" customFormat="1"/>
    <row r="1182" s="1" customFormat="1"/>
    <row r="1183" s="1" customFormat="1"/>
    <row r="1184" s="1" customFormat="1"/>
    <row r="1185" s="1" customFormat="1"/>
    <row r="1186" s="1" customFormat="1"/>
    <row r="1187" s="1" customFormat="1"/>
    <row r="1188" s="1" customFormat="1"/>
    <row r="1189" s="1" customFormat="1"/>
    <row r="1190" s="1" customFormat="1"/>
    <row r="1191" s="1" customFormat="1"/>
    <row r="1192" s="1" customFormat="1"/>
    <row r="1193" s="1" customFormat="1"/>
    <row r="1194" s="1" customFormat="1"/>
    <row r="1195" s="1" customFormat="1"/>
    <row r="1196" s="1" customFormat="1"/>
    <row r="1197" s="1" customFormat="1"/>
    <row r="1198" s="1" customFormat="1"/>
    <row r="1199" s="1" customFormat="1"/>
    <row r="1200" s="1" customFormat="1"/>
    <row r="1201" s="1" customFormat="1"/>
    <row r="1202" s="1" customFormat="1"/>
    <row r="1203" s="1" customFormat="1"/>
    <row r="1204" s="1" customFormat="1"/>
    <row r="1205" s="1" customFormat="1"/>
    <row r="1206" s="1" customFormat="1"/>
    <row r="1207" s="1" customFormat="1"/>
    <row r="1208" s="1" customFormat="1"/>
    <row r="1209" s="1" customFormat="1"/>
    <row r="1210" s="1" customFormat="1"/>
    <row r="1211" s="1" customFormat="1"/>
    <row r="1212" s="1" customFormat="1"/>
    <row r="1213" s="1" customFormat="1"/>
    <row r="1214" s="1" customFormat="1"/>
    <row r="1215" s="1" customFormat="1"/>
    <row r="1216" s="1" customFormat="1"/>
    <row r="1217" s="1" customFormat="1"/>
    <row r="1218" s="1" customFormat="1"/>
    <row r="1219" s="1" customFormat="1"/>
    <row r="1220" s="1" customFormat="1"/>
    <row r="1221" s="1" customFormat="1"/>
    <row r="1222" s="1" customFormat="1"/>
    <row r="1223" s="1" customFormat="1"/>
    <row r="1224" s="1" customFormat="1"/>
    <row r="1225" s="1" customFormat="1"/>
    <row r="1226" s="1" customFormat="1"/>
    <row r="1227" s="1" customFormat="1"/>
    <row r="1228" s="1" customFormat="1"/>
    <row r="1229" s="1" customFormat="1"/>
    <row r="1230" s="1" customFormat="1"/>
    <row r="1231" s="1" customFormat="1"/>
    <row r="1232" s="1" customFormat="1"/>
    <row r="1233" s="1" customFormat="1"/>
    <row r="1234" s="1" customFormat="1"/>
    <row r="1235" s="1" customFormat="1"/>
    <row r="1236" s="1" customFormat="1"/>
    <row r="1237" s="1" customFormat="1"/>
    <row r="1238" s="1" customFormat="1"/>
    <row r="1239" s="1" customFormat="1"/>
    <row r="1240" s="1" customFormat="1"/>
    <row r="1241" s="1" customFormat="1"/>
    <row r="1242" s="1" customFormat="1"/>
    <row r="1243" s="1" customFormat="1"/>
    <row r="1244" s="1" customFormat="1"/>
    <row r="1245" s="1" customFormat="1"/>
    <row r="1246" s="1" customFormat="1"/>
    <row r="1247" s="1" customFormat="1"/>
    <row r="1248" s="1" customFormat="1"/>
    <row r="1249" s="1" customFormat="1"/>
    <row r="1250" s="1" customFormat="1"/>
    <row r="1251" s="1" customFormat="1"/>
    <row r="1252" s="1" customFormat="1"/>
    <row r="1253" s="1" customFormat="1"/>
    <row r="1254" s="1" customFormat="1"/>
    <row r="1255" s="1" customFormat="1"/>
    <row r="1256" s="1" customFormat="1"/>
    <row r="1257" s="1" customFormat="1"/>
    <row r="1258" s="1" customFormat="1"/>
    <row r="1259" s="1" customFormat="1"/>
    <row r="1260" s="1" customFormat="1"/>
    <row r="1261" s="1" customFormat="1"/>
    <row r="1262" s="1" customFormat="1"/>
    <row r="1263" s="1" customFormat="1"/>
    <row r="1264" s="1" customFormat="1"/>
    <row r="1265" s="1" customFormat="1"/>
    <row r="1266" s="1" customFormat="1"/>
    <row r="1267" s="1" customFormat="1"/>
    <row r="1268" s="1" customFormat="1"/>
    <row r="1269" s="1" customFormat="1"/>
    <row r="1270" s="1" customFormat="1"/>
    <row r="1271" s="1" customFormat="1"/>
    <row r="1272" s="1" customFormat="1"/>
    <row r="1273" s="1" customFormat="1"/>
    <row r="1274" s="1" customFormat="1"/>
    <row r="1275" s="1" customFormat="1"/>
    <row r="1276" s="1" customFormat="1"/>
    <row r="1277" s="1" customFormat="1"/>
    <row r="1278" s="1" customFormat="1"/>
    <row r="1279" s="1" customFormat="1"/>
    <row r="1280" s="1" customFormat="1"/>
    <row r="1281" s="1" customFormat="1"/>
    <row r="1282" s="1" customFormat="1"/>
    <row r="1283" s="1" customFormat="1"/>
    <row r="1284" s="1" customFormat="1"/>
    <row r="1285" s="1" customFormat="1"/>
    <row r="1286" s="1" customFormat="1"/>
    <row r="1287" s="1" customFormat="1"/>
    <row r="1288" s="1" customFormat="1"/>
    <row r="1289" s="1" customFormat="1"/>
    <row r="1290" s="1" customFormat="1"/>
    <row r="1291" s="1" customFormat="1"/>
    <row r="1292" s="1" customFormat="1"/>
    <row r="1293" s="1" customFormat="1"/>
    <row r="1294" s="1" customFormat="1"/>
    <row r="1295" s="1" customFormat="1"/>
    <row r="1296" s="1" customFormat="1"/>
    <row r="1297" s="1" customFormat="1"/>
    <row r="1298" s="1" customFormat="1"/>
    <row r="1299" s="1" customFormat="1"/>
    <row r="1300" s="1" customFormat="1"/>
    <row r="1301" s="1" customFormat="1"/>
    <row r="1302" s="1" customFormat="1"/>
    <row r="1303" s="1" customFormat="1"/>
    <row r="1304" s="1" customFormat="1"/>
    <row r="1305" s="1" customFormat="1"/>
    <row r="1306" s="1" customFormat="1"/>
    <row r="1307" s="1" customFormat="1"/>
    <row r="1308" s="1" customFormat="1"/>
    <row r="1309" s="1" customFormat="1"/>
    <row r="1310" s="1" customFormat="1"/>
    <row r="1311" s="1" customFormat="1"/>
    <row r="1312" s="1" customFormat="1"/>
    <row r="1313" s="1" customFormat="1"/>
    <row r="1314" s="1" customFormat="1"/>
    <row r="1315" s="1" customFormat="1"/>
    <row r="1316" s="1" customFormat="1"/>
    <row r="1317" s="1" customFormat="1"/>
    <row r="1318" s="1" customFormat="1"/>
    <row r="1319" s="1" customFormat="1"/>
    <row r="1320" s="1" customFormat="1"/>
    <row r="1321" s="1" customFormat="1"/>
    <row r="1322" s="1" customFormat="1"/>
    <row r="1323" s="1" customFormat="1"/>
    <row r="1324" s="1" customFormat="1"/>
    <row r="1325" s="1" customFormat="1"/>
    <row r="1326" s="1" customFormat="1"/>
    <row r="1327" s="1" customFormat="1"/>
    <row r="1328" s="1" customFormat="1"/>
    <row r="1329" s="1" customFormat="1"/>
    <row r="1330" s="1" customFormat="1"/>
    <row r="1331" s="1" customFormat="1"/>
    <row r="1332" s="1" customFormat="1"/>
    <row r="1333" s="1" customFormat="1"/>
    <row r="1334" s="1" customFormat="1"/>
    <row r="1335" s="1" customFormat="1"/>
    <row r="1336" s="1" customFormat="1"/>
    <row r="1337" s="1" customFormat="1"/>
    <row r="1338" s="1" customFormat="1"/>
    <row r="1339" s="1" customFormat="1"/>
    <row r="1340" s="1" customFormat="1"/>
    <row r="1341" s="1" customFormat="1"/>
    <row r="1342" s="1" customFormat="1"/>
    <row r="1343" s="1" customFormat="1"/>
    <row r="1344" s="1" customFormat="1"/>
    <row r="1345" s="1" customFormat="1"/>
    <row r="1346" s="1" customFormat="1"/>
    <row r="1347" s="1" customFormat="1"/>
    <row r="1348" s="1" customFormat="1"/>
    <row r="1349" s="1" customFormat="1"/>
    <row r="1350" s="1" customFormat="1"/>
    <row r="1351" s="1" customFormat="1"/>
    <row r="1352" s="1" customFormat="1"/>
    <row r="1353" s="1" customFormat="1"/>
    <row r="1354" s="1" customFormat="1"/>
    <row r="1355" s="1" customFormat="1"/>
    <row r="1356" s="1" customFormat="1"/>
    <row r="1357" s="1" customFormat="1"/>
    <row r="1358" s="1" customFormat="1"/>
    <row r="1359" s="1" customFormat="1"/>
    <row r="1360" s="1" customFormat="1"/>
    <row r="1361" s="1" customFormat="1"/>
    <row r="1362" s="1" customFormat="1"/>
    <row r="1363" s="1" customFormat="1"/>
    <row r="1364" s="1" customFormat="1"/>
    <row r="1365" s="1" customFormat="1"/>
    <row r="1366" s="1" customFormat="1"/>
    <row r="1367" s="1" customFormat="1"/>
    <row r="1368" s="1" customFormat="1"/>
    <row r="1369" s="1" customFormat="1"/>
    <row r="1370" s="1" customFormat="1"/>
    <row r="1371" s="1" customFormat="1"/>
    <row r="1372" s="1" customFormat="1"/>
    <row r="1373" s="1" customFormat="1"/>
    <row r="1374" s="1" customFormat="1"/>
    <row r="1375" s="1" customFormat="1"/>
    <row r="1376" s="1" customFormat="1"/>
    <row r="1377" s="1" customFormat="1"/>
    <row r="1378" s="1" customFormat="1"/>
    <row r="1379" s="1" customFormat="1"/>
    <row r="1380" s="1" customFormat="1"/>
    <row r="1381" s="1" customFormat="1"/>
    <row r="1382" s="1" customFormat="1"/>
    <row r="1383" s="1" customFormat="1"/>
    <row r="1384" s="1" customFormat="1"/>
    <row r="1385" s="1" customFormat="1"/>
    <row r="1386" s="1" customFormat="1"/>
    <row r="1387" s="1" customFormat="1"/>
    <row r="1388" s="1" customFormat="1"/>
    <row r="1389" s="1" customFormat="1"/>
    <row r="1390" s="1" customFormat="1"/>
    <row r="1391" s="1" customFormat="1"/>
    <row r="1392" s="1" customFormat="1"/>
    <row r="1393" s="1" customFormat="1"/>
    <row r="1394" s="1" customFormat="1"/>
    <row r="1395" s="1" customFormat="1"/>
    <row r="1396" s="1" customFormat="1"/>
    <row r="1397" s="1" customFormat="1"/>
    <row r="1398" s="1" customFormat="1"/>
    <row r="1399" s="1" customFormat="1"/>
    <row r="1400" s="1" customFormat="1"/>
    <row r="1401" s="1" customFormat="1"/>
    <row r="1402" s="1" customFormat="1"/>
    <row r="1403" s="1" customFormat="1"/>
    <row r="1404" s="1" customFormat="1"/>
    <row r="1405" s="1" customFormat="1"/>
    <row r="1406" s="1" customFormat="1"/>
    <row r="1407" s="1" customFormat="1"/>
    <row r="1408" s="1" customFormat="1"/>
    <row r="1409" s="1" customFormat="1"/>
    <row r="1410" s="1" customFormat="1"/>
    <row r="1411" s="1" customFormat="1"/>
    <row r="1412" s="1" customFormat="1"/>
    <row r="1413" s="1" customFormat="1"/>
    <row r="1414" s="1" customFormat="1"/>
    <row r="1415" s="1" customFormat="1"/>
    <row r="1416" s="1" customFormat="1"/>
    <row r="1417" s="1" customFormat="1"/>
    <row r="1418" s="1" customFormat="1"/>
    <row r="1419" s="1" customFormat="1"/>
    <row r="1420" s="1" customFormat="1"/>
    <row r="1421" s="1" customFormat="1"/>
    <row r="1422" s="1" customFormat="1"/>
    <row r="1423" s="1" customFormat="1"/>
    <row r="1424" s="1" customFormat="1"/>
    <row r="1425" s="1" customFormat="1"/>
    <row r="1426" s="1" customFormat="1"/>
    <row r="1427" s="1" customFormat="1"/>
    <row r="1428" s="1" customFormat="1"/>
    <row r="1429" s="1" customFormat="1"/>
    <row r="1430" s="1" customFormat="1"/>
    <row r="1431" s="1" customFormat="1"/>
    <row r="1432" s="1" customFormat="1"/>
    <row r="1433" s="1" customFormat="1"/>
    <row r="1434" s="1" customFormat="1"/>
    <row r="1435" s="1" customFormat="1"/>
    <row r="1436" s="1" customFormat="1"/>
    <row r="1437" s="1" customFormat="1"/>
    <row r="1438" s="1" customFormat="1"/>
    <row r="1439" s="1" customFormat="1"/>
    <row r="1440" s="1" customFormat="1"/>
    <row r="1441" s="1" customFormat="1"/>
    <row r="1442" s="1" customFormat="1"/>
    <row r="1443" s="1" customFormat="1"/>
    <row r="1444" s="1" customFormat="1"/>
    <row r="1445" s="1" customFormat="1"/>
    <row r="1446" s="1" customFormat="1"/>
    <row r="1447" s="1" customFormat="1"/>
    <row r="1448" s="1" customFormat="1"/>
    <row r="1449" s="1" customFormat="1"/>
    <row r="1450" s="1" customFormat="1"/>
    <row r="1451" s="1" customFormat="1"/>
    <row r="1452" s="1" customFormat="1"/>
    <row r="1453" s="1" customFormat="1"/>
    <row r="1454" s="1" customFormat="1"/>
    <row r="1455" s="1" customFormat="1"/>
    <row r="1456" s="1" customFormat="1"/>
    <row r="1457" s="1" customFormat="1"/>
    <row r="1458" s="1" customFormat="1"/>
    <row r="1459" s="1" customFormat="1"/>
    <row r="1460" s="1" customFormat="1"/>
    <row r="1461" s="1" customFormat="1"/>
    <row r="1462" s="1" customFormat="1"/>
    <row r="1463" s="1" customFormat="1"/>
    <row r="1464" s="1" customFormat="1"/>
    <row r="1465" s="1" customFormat="1"/>
    <row r="1466" s="1" customFormat="1"/>
    <row r="1467" s="1" customFormat="1"/>
    <row r="1468" s="1" customFormat="1"/>
    <row r="1469" s="1" customFormat="1"/>
    <row r="1470" s="1" customFormat="1"/>
    <row r="1471" s="1" customFormat="1"/>
    <row r="1472" s="1" customFormat="1"/>
    <row r="1473" s="1" customFormat="1"/>
    <row r="1474" s="1" customFormat="1"/>
    <row r="1475" s="1" customFormat="1"/>
    <row r="1476" s="1" customFormat="1"/>
    <row r="1477" s="1" customFormat="1"/>
    <row r="1478" s="1" customFormat="1"/>
    <row r="1479" s="1" customFormat="1"/>
    <row r="1480" s="1" customFormat="1"/>
    <row r="1481" s="1" customFormat="1"/>
    <row r="1482" s="1" customFormat="1"/>
    <row r="1483" s="1" customFormat="1"/>
    <row r="1484" s="1" customFormat="1"/>
    <row r="1485" s="1" customFormat="1"/>
    <row r="1486" s="1" customFormat="1"/>
    <row r="1487" s="1" customFormat="1"/>
    <row r="1488" s="1" customFormat="1"/>
    <row r="1489" s="1" customFormat="1"/>
    <row r="1490" s="1" customFormat="1"/>
    <row r="1491" s="1" customFormat="1"/>
    <row r="1492" s="1" customFormat="1"/>
    <row r="1493" s="1" customFormat="1"/>
    <row r="1494" s="1" customFormat="1"/>
    <row r="1495" s="1" customFormat="1"/>
    <row r="1496" s="1" customFormat="1"/>
    <row r="1497" s="1" customFormat="1"/>
    <row r="1498" s="1" customFormat="1"/>
    <row r="1499" s="1" customFormat="1"/>
    <row r="1500" s="1" customFormat="1"/>
    <row r="1501" s="1" customFormat="1"/>
    <row r="1502" s="1" customFormat="1"/>
    <row r="1503" s="1" customFormat="1"/>
    <row r="1504" s="1" customFormat="1"/>
    <row r="1505" s="1" customFormat="1"/>
    <row r="1506" s="1" customFormat="1"/>
    <row r="1507" s="1" customFormat="1"/>
    <row r="1508" s="1" customFormat="1"/>
    <row r="1509" s="1" customFormat="1"/>
    <row r="1510" s="1" customFormat="1"/>
    <row r="1511" s="1" customFormat="1"/>
    <row r="1512" s="1" customFormat="1"/>
    <row r="1513" s="1" customFormat="1"/>
    <row r="1514" s="1" customFormat="1"/>
    <row r="1515" s="1" customFormat="1"/>
    <row r="1516" s="1" customFormat="1"/>
    <row r="1517" s="1" customFormat="1"/>
    <row r="1518" s="1" customFormat="1"/>
    <row r="1519" s="1" customFormat="1"/>
    <row r="1520" s="1" customFormat="1"/>
    <row r="1521" s="1" customFormat="1"/>
    <row r="1522" s="1" customFormat="1"/>
    <row r="1523" s="1" customFormat="1"/>
    <row r="1524" s="1" customFormat="1"/>
    <row r="1525" s="1" customFormat="1"/>
    <row r="1526" s="1" customFormat="1"/>
    <row r="1527" s="1" customFormat="1"/>
    <row r="1528" s="1" customFormat="1"/>
    <row r="1529" s="1" customFormat="1"/>
    <row r="1530" s="1" customFormat="1"/>
    <row r="1531" s="1" customFormat="1"/>
    <row r="1532" s="1" customFormat="1"/>
    <row r="1533" s="1" customFormat="1"/>
    <row r="1534" s="1" customFormat="1"/>
    <row r="1535" s="1" customFormat="1"/>
    <row r="1536" s="1" customFormat="1"/>
    <row r="1537" s="1" customFormat="1"/>
    <row r="1538" s="1" customFormat="1"/>
    <row r="1539" s="1" customFormat="1"/>
    <row r="1540" s="1" customFormat="1"/>
    <row r="1541" s="1" customFormat="1"/>
    <row r="1542" s="1" customFormat="1"/>
    <row r="1543" s="1" customFormat="1"/>
    <row r="1544" s="1" customFormat="1"/>
    <row r="1545" s="1" customFormat="1"/>
    <row r="1546" s="1" customFormat="1"/>
    <row r="1547" s="1" customFormat="1"/>
    <row r="1548" s="1" customFormat="1"/>
    <row r="1549" s="1" customFormat="1"/>
    <row r="1550" s="1" customFormat="1"/>
    <row r="1551" s="1" customFormat="1"/>
    <row r="1552" s="1" customFormat="1"/>
    <row r="1553" s="1" customFormat="1"/>
    <row r="1554" s="1" customFormat="1"/>
    <row r="1555" s="1" customFormat="1"/>
    <row r="1556" s="1" customFormat="1"/>
    <row r="1557" s="1" customFormat="1"/>
    <row r="1558" s="1" customFormat="1"/>
    <row r="1559" s="1" customFormat="1"/>
    <row r="1560" s="1" customFormat="1"/>
    <row r="1561" s="1" customFormat="1"/>
    <row r="1562" s="1" customFormat="1"/>
    <row r="1563" s="1" customFormat="1"/>
    <row r="1564" s="1" customFormat="1"/>
    <row r="1565" s="1" customFormat="1"/>
    <row r="1566" s="1" customFormat="1"/>
    <row r="1567" s="1" customFormat="1"/>
    <row r="1568" s="1" customFormat="1"/>
    <row r="1569" s="1" customFormat="1"/>
    <row r="1570" s="1" customFormat="1"/>
    <row r="1571" s="1" customFormat="1"/>
    <row r="1572" s="1" customFormat="1"/>
    <row r="1573" s="1" customFormat="1"/>
    <row r="1574" s="1" customFormat="1"/>
    <row r="1575" s="1" customFormat="1"/>
    <row r="1576" s="1" customFormat="1"/>
    <row r="1577" s="1" customFormat="1"/>
    <row r="1578" s="1" customFormat="1"/>
    <row r="1579" s="1" customFormat="1"/>
    <row r="1580" s="1" customFormat="1"/>
    <row r="1581" s="1" customFormat="1"/>
    <row r="1582" s="1" customFormat="1"/>
    <row r="1583" s="1" customFormat="1"/>
    <row r="1584" s="1" customFormat="1"/>
    <row r="1585" s="1" customFormat="1"/>
    <row r="1586" s="1" customFormat="1"/>
    <row r="1587" s="1" customFormat="1"/>
    <row r="1588" s="1" customFormat="1"/>
    <row r="1589" s="1" customFormat="1"/>
    <row r="1590" s="1" customFormat="1"/>
    <row r="1591" s="1" customFormat="1"/>
    <row r="1592" s="1" customFormat="1"/>
    <row r="1593" s="1" customFormat="1"/>
    <row r="1594" s="1" customFormat="1"/>
    <row r="1595" s="1" customFormat="1"/>
    <row r="1596" s="1" customFormat="1"/>
    <row r="1597" s="1" customFormat="1"/>
    <row r="1598" s="1" customFormat="1"/>
    <row r="1599" s="1" customFormat="1"/>
    <row r="1600" s="1" customFormat="1"/>
    <row r="1601" s="1" customFormat="1"/>
    <row r="1602" s="1" customFormat="1"/>
    <row r="1603" s="1" customFormat="1"/>
    <row r="1604" s="1" customFormat="1"/>
    <row r="1605" s="1" customFormat="1"/>
    <row r="1606" s="1" customFormat="1"/>
    <row r="1607" s="1" customFormat="1"/>
    <row r="1608" s="1" customFormat="1"/>
    <row r="1609" s="1" customFormat="1"/>
    <row r="1610" s="1" customFormat="1"/>
    <row r="1611" s="1" customFormat="1"/>
    <row r="1612" s="1" customFormat="1"/>
    <row r="1613" s="1" customFormat="1"/>
    <row r="1614" s="1" customFormat="1"/>
    <row r="1615" s="1" customFormat="1"/>
    <row r="1616" s="1" customFormat="1"/>
    <row r="1617" s="1" customFormat="1"/>
    <row r="1618" s="1" customFormat="1"/>
    <row r="1619" s="1" customFormat="1"/>
    <row r="1620" s="1" customFormat="1"/>
    <row r="1621" s="1" customFormat="1"/>
    <row r="1622" s="1" customFormat="1"/>
    <row r="1623" s="1" customFormat="1"/>
    <row r="1624" s="1" customFormat="1"/>
    <row r="1625" s="1" customFormat="1"/>
    <row r="1626" s="1" customFormat="1"/>
    <row r="1627" s="1" customFormat="1"/>
    <row r="1628" s="1" customFormat="1"/>
    <row r="1629" s="1" customFormat="1"/>
    <row r="1630" s="1" customFormat="1"/>
    <row r="1631" s="1" customFormat="1"/>
    <row r="1632" s="1" customFormat="1"/>
    <row r="1633" s="1" customFormat="1"/>
    <row r="1634" s="1" customFormat="1"/>
    <row r="1635" s="1" customFormat="1"/>
    <row r="1636" s="1" customFormat="1"/>
    <row r="1637" s="1" customFormat="1"/>
    <row r="1638" s="1" customFormat="1"/>
    <row r="1639" s="1" customFormat="1"/>
    <row r="1640" s="1" customFormat="1"/>
    <row r="1641" s="1" customFormat="1"/>
    <row r="1642" s="1" customFormat="1"/>
    <row r="1643" s="1" customFormat="1"/>
    <row r="1644" s="1" customFormat="1"/>
    <row r="1645" s="1" customFormat="1"/>
    <row r="1646" s="1" customFormat="1"/>
    <row r="1647" s="1" customFormat="1"/>
    <row r="1648" s="1" customFormat="1"/>
    <row r="1649" s="1" customFormat="1"/>
    <row r="1650" s="1" customFormat="1"/>
    <row r="1651" s="1" customFormat="1"/>
    <row r="1652" s="1" customFormat="1"/>
    <row r="1653" s="1" customFormat="1"/>
    <row r="1654" s="1" customFormat="1"/>
    <row r="1655" s="1" customFormat="1"/>
    <row r="1656" s="1" customFormat="1"/>
    <row r="1657" s="1" customFormat="1"/>
    <row r="1658" s="1" customFormat="1"/>
    <row r="1659" s="1" customFormat="1"/>
    <row r="1660" s="1" customFormat="1"/>
    <row r="1661" s="1" customFormat="1"/>
    <row r="1662" s="1" customFormat="1"/>
    <row r="1663" s="1" customFormat="1"/>
    <row r="1664" s="1" customFormat="1"/>
    <row r="1665" s="1" customFormat="1"/>
    <row r="1666" s="1" customFormat="1"/>
    <row r="1667" s="1" customFormat="1"/>
    <row r="1668" s="1" customFormat="1"/>
    <row r="1669" s="1" customFormat="1"/>
    <row r="1670" s="1" customFormat="1"/>
    <row r="1671" s="1" customFormat="1"/>
    <row r="1672" s="1" customFormat="1"/>
    <row r="1673" s="1" customFormat="1"/>
    <row r="1674" s="1" customFormat="1"/>
    <row r="1675" s="1" customFormat="1"/>
    <row r="1676" s="1" customFormat="1"/>
    <row r="1677" s="1" customFormat="1"/>
    <row r="1678" s="1" customFormat="1"/>
    <row r="1679" s="1" customFormat="1"/>
    <row r="1680" s="1" customFormat="1"/>
    <row r="1681" s="1" customFormat="1"/>
    <row r="1682" s="1" customFormat="1"/>
    <row r="1683" s="1" customFormat="1"/>
    <row r="1684" s="1" customFormat="1"/>
    <row r="1685" s="1" customFormat="1"/>
    <row r="1686" s="1" customFormat="1"/>
    <row r="1687" s="1" customFormat="1"/>
    <row r="1688" s="1" customFormat="1"/>
    <row r="1689" s="1" customFormat="1"/>
    <row r="1690" s="1" customFormat="1"/>
    <row r="1691" s="1" customFormat="1"/>
    <row r="1692" s="1" customFormat="1"/>
    <row r="1693" s="1" customFormat="1"/>
    <row r="1694" s="1" customFormat="1"/>
    <row r="1695" s="1" customFormat="1"/>
    <row r="1696" s="1" customFormat="1"/>
    <row r="1697" s="1" customFormat="1"/>
    <row r="1698" s="1" customFormat="1"/>
    <row r="1699" s="1" customFormat="1"/>
    <row r="1700" s="1" customFormat="1"/>
    <row r="1701" s="1" customFormat="1"/>
    <row r="1702" s="1" customFormat="1"/>
    <row r="1703" s="1" customFormat="1"/>
    <row r="1704" s="1" customFormat="1"/>
    <row r="1705" s="1" customFormat="1"/>
    <row r="1706" s="1" customFormat="1"/>
    <row r="1707" s="1" customFormat="1"/>
    <row r="1708" s="1" customFormat="1"/>
    <row r="1709" s="1" customFormat="1"/>
    <row r="1710" s="1" customFormat="1"/>
    <row r="1711" s="1" customFormat="1"/>
    <row r="1712" s="1" customFormat="1"/>
    <row r="1713" s="1" customFormat="1"/>
    <row r="1714" s="1" customFormat="1"/>
    <row r="1715" s="1" customFormat="1"/>
    <row r="1716" s="1" customFormat="1"/>
    <row r="1717" s="1" customFormat="1"/>
    <row r="1718" s="1" customFormat="1"/>
    <row r="1719" s="1" customFormat="1"/>
    <row r="1720" s="1" customFormat="1"/>
    <row r="1721" s="1" customFormat="1"/>
    <row r="1722" s="1" customFormat="1"/>
    <row r="1723" s="1" customFormat="1"/>
    <row r="1724" s="1" customFormat="1"/>
    <row r="1725" s="1" customFormat="1"/>
    <row r="1726" s="1" customFormat="1"/>
    <row r="1727" s="1" customFormat="1"/>
    <row r="1728" s="1" customFormat="1"/>
    <row r="1729" s="1" customFormat="1"/>
    <row r="1730" s="1" customFormat="1"/>
    <row r="1731" s="1" customFormat="1"/>
    <row r="1732" s="1" customFormat="1"/>
    <row r="1733" s="1" customFormat="1"/>
    <row r="1734" s="1" customFormat="1"/>
    <row r="1735" s="1" customFormat="1"/>
    <row r="1736" s="1" customFormat="1"/>
    <row r="1737" s="1" customFormat="1"/>
    <row r="1738" s="1" customFormat="1"/>
    <row r="1739" s="1" customFormat="1"/>
    <row r="1740" s="1" customFormat="1"/>
    <row r="1741" s="1" customFormat="1"/>
    <row r="1742" s="1" customFormat="1"/>
    <row r="1743" s="1" customFormat="1"/>
    <row r="1744" s="1" customFormat="1"/>
    <row r="1745" s="1" customFormat="1"/>
    <row r="1746" s="1" customFormat="1"/>
    <row r="1747" s="1" customFormat="1"/>
    <row r="1748" s="1" customFormat="1"/>
    <row r="1749" s="1" customFormat="1"/>
    <row r="1750" s="1" customFormat="1"/>
    <row r="1751" s="1" customFormat="1"/>
    <row r="1752" s="1" customFormat="1"/>
    <row r="1753" s="1" customFormat="1"/>
    <row r="1754" s="1" customFormat="1"/>
    <row r="1755" s="1" customFormat="1"/>
    <row r="1756" s="1" customFormat="1"/>
    <row r="1757" s="1" customFormat="1"/>
    <row r="1758" s="1" customFormat="1"/>
    <row r="1759" s="1" customFormat="1"/>
    <row r="1760" s="1" customFormat="1"/>
    <row r="1761" s="1" customFormat="1"/>
    <row r="1762" s="1" customFormat="1"/>
    <row r="1763" s="1" customFormat="1"/>
    <row r="1764" s="1" customFormat="1"/>
    <row r="1765" s="1" customFormat="1"/>
    <row r="1766" s="1" customFormat="1"/>
    <row r="1767" s="1" customFormat="1"/>
    <row r="1768" s="1" customFormat="1"/>
    <row r="1769" s="1" customFormat="1"/>
    <row r="1770" s="1" customFormat="1"/>
    <row r="1771" s="1" customFormat="1"/>
    <row r="1772" s="1" customFormat="1"/>
    <row r="1773" s="1" customFormat="1"/>
    <row r="1774" s="1" customFormat="1"/>
    <row r="1775" s="1" customFormat="1"/>
    <row r="1776" s="1" customFormat="1"/>
    <row r="1777" s="1" customFormat="1"/>
    <row r="1778" s="1" customFormat="1"/>
    <row r="1779" s="1" customFormat="1"/>
    <row r="1780" s="1" customFormat="1"/>
    <row r="1781" s="1" customFormat="1"/>
    <row r="1782" s="1" customFormat="1"/>
    <row r="1783" s="1" customFormat="1"/>
    <row r="1784" s="1" customFormat="1"/>
    <row r="1785" s="1" customFormat="1"/>
    <row r="1786" s="1" customFormat="1"/>
    <row r="1787" s="1" customFormat="1"/>
    <row r="1788" s="1" customFormat="1"/>
    <row r="1789" s="1" customFormat="1"/>
    <row r="1790" s="1" customFormat="1"/>
    <row r="1791" s="1" customFormat="1"/>
    <row r="1792" s="1" customFormat="1"/>
    <row r="1793" s="1" customFormat="1"/>
    <row r="1794" s="1" customFormat="1"/>
    <row r="1795" s="1" customFormat="1"/>
    <row r="1796" s="1" customFormat="1"/>
    <row r="1797" s="1" customFormat="1"/>
    <row r="1798" s="1" customFormat="1"/>
    <row r="1799" s="1" customFormat="1"/>
    <row r="1800" s="1" customFormat="1"/>
    <row r="1801" s="1" customFormat="1"/>
    <row r="1802" s="1" customFormat="1"/>
    <row r="1803" s="1" customFormat="1"/>
    <row r="1804" s="1" customFormat="1"/>
    <row r="1805" s="1" customFormat="1"/>
    <row r="1806" s="1" customFormat="1"/>
    <row r="1807" s="1" customFormat="1"/>
    <row r="1808" s="1" customFormat="1"/>
    <row r="1809" s="1" customFormat="1"/>
    <row r="1810" s="1" customFormat="1"/>
    <row r="1811" s="1" customFormat="1"/>
    <row r="1812" s="1" customFormat="1"/>
    <row r="1813" s="1" customFormat="1"/>
    <row r="1814" s="1" customFormat="1"/>
    <row r="1815" s="1" customFormat="1"/>
    <row r="1816" s="1" customFormat="1"/>
    <row r="1817" s="1" customFormat="1"/>
    <row r="1818" s="1" customFormat="1"/>
    <row r="1819" s="1" customFormat="1"/>
    <row r="1820" s="1" customFormat="1"/>
    <row r="1821" s="1" customFormat="1"/>
    <row r="1822" s="1" customFormat="1"/>
    <row r="1823" s="1" customFormat="1"/>
    <row r="1824" s="1" customFormat="1"/>
    <row r="1825" s="1" customFormat="1"/>
    <row r="1826" s="1" customFormat="1"/>
    <row r="1827" s="1" customFormat="1"/>
    <row r="1828" s="1" customFormat="1"/>
    <row r="1829" s="1" customFormat="1"/>
    <row r="1830" s="1" customFormat="1"/>
    <row r="1831" s="1" customFormat="1"/>
    <row r="1832" s="1" customFormat="1"/>
    <row r="1833" s="1" customFormat="1"/>
    <row r="1834" s="1" customFormat="1"/>
    <row r="1835" s="1" customFormat="1"/>
    <row r="1836" s="1" customFormat="1"/>
    <row r="1837" s="1" customFormat="1"/>
    <row r="1838" s="1" customFormat="1"/>
    <row r="1839" s="1" customFormat="1"/>
    <row r="1840" s="1" customFormat="1"/>
    <row r="1841" s="1" customFormat="1"/>
    <row r="1842" s="1" customFormat="1"/>
    <row r="1843" s="1" customFormat="1"/>
    <row r="1844" s="1" customFormat="1"/>
    <row r="1845" s="1" customFormat="1"/>
    <row r="1846" s="1" customFormat="1"/>
    <row r="1847" s="1" customFormat="1"/>
    <row r="1848" s="1" customFormat="1"/>
    <row r="1849" s="1" customFormat="1"/>
    <row r="1850" s="1" customFormat="1"/>
    <row r="1851" s="1" customFormat="1"/>
    <row r="1852" s="1" customFormat="1"/>
    <row r="1853" s="1" customFormat="1"/>
    <row r="1854" s="1" customFormat="1"/>
    <row r="1855" s="1" customFormat="1"/>
    <row r="1856" s="1" customFormat="1"/>
    <row r="1857" s="1" customFormat="1"/>
    <row r="1858" s="1" customFormat="1"/>
    <row r="1859" s="1" customFormat="1"/>
    <row r="1860" s="1" customFormat="1"/>
    <row r="1861" s="1" customFormat="1"/>
    <row r="1862" s="1" customFormat="1"/>
    <row r="1863" s="1" customFormat="1"/>
    <row r="1864" s="1" customFormat="1"/>
    <row r="1865" s="1" customFormat="1"/>
    <row r="1866" s="1" customFormat="1"/>
    <row r="1867" s="1" customFormat="1"/>
    <row r="1868" s="1" customFormat="1"/>
    <row r="1869" s="1" customFormat="1"/>
    <row r="1870" s="1" customFormat="1"/>
    <row r="1871" s="1" customFormat="1"/>
    <row r="1872" s="1" customFormat="1"/>
    <row r="1873" s="1" customFormat="1"/>
    <row r="1874" s="1" customFormat="1"/>
    <row r="1875" s="1" customFormat="1"/>
    <row r="1876" s="1" customFormat="1"/>
    <row r="1877" s="1" customFormat="1"/>
    <row r="1878" s="1" customFormat="1"/>
    <row r="1879" s="1" customFormat="1"/>
    <row r="1880" s="1" customFormat="1"/>
    <row r="1881" s="1" customFormat="1"/>
    <row r="1882" s="1" customFormat="1"/>
    <row r="1883" s="1" customFormat="1"/>
    <row r="1884" s="1" customFormat="1"/>
    <row r="1885" s="1" customFormat="1"/>
    <row r="1886" s="1" customFormat="1"/>
    <row r="1887" s="1" customFormat="1"/>
    <row r="1888" s="1" customFormat="1"/>
    <row r="1889" s="1" customFormat="1"/>
    <row r="1890" s="1" customFormat="1"/>
    <row r="1891" s="1" customFormat="1"/>
    <row r="1892" s="1" customFormat="1"/>
    <row r="1893" s="1" customFormat="1"/>
    <row r="1894" s="1" customFormat="1"/>
    <row r="1895" s="1" customFormat="1"/>
    <row r="1896" s="1" customFormat="1"/>
    <row r="1897" s="1" customFormat="1"/>
    <row r="1898" s="1" customFormat="1"/>
    <row r="1899" s="1" customFormat="1"/>
    <row r="1900" s="1" customFormat="1"/>
    <row r="1901" s="1" customFormat="1"/>
    <row r="1902" s="1" customFormat="1"/>
    <row r="1903" s="1" customFormat="1"/>
    <row r="1904" s="1" customFormat="1"/>
    <row r="1905" s="1" customFormat="1"/>
    <row r="1906" s="1" customFormat="1"/>
    <row r="1907" s="1" customFormat="1"/>
    <row r="1908" s="1" customFormat="1"/>
    <row r="1909" s="1" customFormat="1"/>
    <row r="1910" s="1" customFormat="1"/>
    <row r="1911" s="1" customFormat="1"/>
    <row r="1912" s="1" customFormat="1"/>
    <row r="1913" s="1" customFormat="1"/>
    <row r="1914" s="1" customFormat="1"/>
    <row r="1915" s="1" customFormat="1"/>
    <row r="1916" s="1" customFormat="1"/>
    <row r="1917" s="1" customFormat="1"/>
    <row r="1918" s="1" customFormat="1"/>
    <row r="1919" s="1" customFormat="1"/>
    <row r="1920" s="1" customFormat="1"/>
    <row r="1921" s="1" customFormat="1"/>
    <row r="1922" s="1" customFormat="1"/>
    <row r="1923" s="1" customFormat="1"/>
    <row r="1924" s="1" customFormat="1"/>
    <row r="1925" s="1" customFormat="1"/>
    <row r="1926" s="1" customFormat="1"/>
    <row r="1927" s="1" customFormat="1"/>
    <row r="1928" s="1" customFormat="1"/>
    <row r="1929" s="1" customFormat="1"/>
    <row r="1930" s="1" customFormat="1"/>
    <row r="1931" s="1" customFormat="1"/>
    <row r="1932" s="1" customFormat="1"/>
    <row r="1933" s="1" customFormat="1"/>
    <row r="1934" s="1" customFormat="1"/>
    <row r="1935" s="1" customFormat="1"/>
    <row r="1936" s="1" customFormat="1"/>
    <row r="1937" s="1" customFormat="1"/>
    <row r="1938" s="1" customFormat="1"/>
    <row r="1939" s="1" customFormat="1"/>
    <row r="1940" s="1" customFormat="1"/>
    <row r="1941" s="1" customFormat="1"/>
    <row r="1942" s="1" customFormat="1"/>
    <row r="1943" s="1" customFormat="1"/>
    <row r="1944" s="1" customFormat="1"/>
    <row r="1945" s="1" customFormat="1"/>
    <row r="1946" s="1" customFormat="1"/>
    <row r="1947" s="1" customFormat="1"/>
    <row r="1948" s="1" customFormat="1"/>
    <row r="1949" s="1" customFormat="1"/>
    <row r="1950" s="1" customFormat="1"/>
    <row r="1951" s="1" customFormat="1"/>
    <row r="1952" s="1" customFormat="1"/>
    <row r="1953" s="1" customFormat="1"/>
    <row r="1954" s="1" customFormat="1"/>
    <row r="1955" s="1" customFormat="1"/>
    <row r="1956" s="1" customFormat="1"/>
    <row r="1957" s="1" customFormat="1"/>
    <row r="1958" s="1" customFormat="1"/>
    <row r="1959" s="1" customFormat="1"/>
    <row r="1960" s="1" customFormat="1"/>
    <row r="1961" s="1" customFormat="1"/>
    <row r="1962" s="1" customFormat="1"/>
    <row r="1963" s="1" customFormat="1"/>
    <row r="1964" s="1" customFormat="1"/>
    <row r="1965" s="1" customFormat="1"/>
    <row r="1966" s="1" customFormat="1"/>
    <row r="1967" s="1" customFormat="1"/>
    <row r="1968" s="1" customFormat="1"/>
    <row r="1969" s="1" customFormat="1"/>
    <row r="1970" s="1" customFormat="1"/>
    <row r="1971" s="1" customFormat="1"/>
    <row r="1972" s="1" customFormat="1"/>
    <row r="1973" s="1" customFormat="1"/>
    <row r="1974" s="1" customFormat="1"/>
    <row r="1975" s="1" customFormat="1"/>
    <row r="1976" s="1" customFormat="1"/>
    <row r="1977" s="1" customFormat="1"/>
    <row r="1978" s="1" customFormat="1"/>
    <row r="1979" s="1" customFormat="1"/>
    <row r="1980" s="1" customFormat="1"/>
    <row r="1981" s="1" customFormat="1"/>
    <row r="1982" s="1" customFormat="1"/>
    <row r="1983" s="1" customFormat="1"/>
    <row r="1984" s="1" customFormat="1"/>
    <row r="1985" s="1" customFormat="1"/>
    <row r="1986" s="1" customFormat="1"/>
    <row r="1987" s="1" customFormat="1"/>
    <row r="1988" s="1" customFormat="1"/>
    <row r="1989" s="1" customFormat="1"/>
    <row r="1990" s="1" customFormat="1"/>
    <row r="1991" s="1" customFormat="1"/>
    <row r="1992" s="1" customFormat="1"/>
    <row r="1993" s="1" customFormat="1"/>
    <row r="1994" s="1" customFormat="1"/>
    <row r="1995" s="1" customFormat="1"/>
    <row r="1996" s="1" customFormat="1"/>
    <row r="1997" s="1" customFormat="1"/>
    <row r="1998" s="1" customFormat="1"/>
    <row r="1999" s="1" customFormat="1"/>
    <row r="2000" s="1" customFormat="1"/>
  </sheetData>
  <conditionalFormatting sqref="C2:ZZ1000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000"/>
  <sheetViews>
    <sheetView workbookViewId="0"/>
  </sheetViews>
  <sheetFormatPr defaultRowHeight="15"/>
  <sheetData>
    <row r="1" spans="1:21" s="1" customFormat="1">
      <c r="A1" s="2" t="s">
        <v>15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44</v>
      </c>
      <c r="S1" s="2" t="s">
        <v>45</v>
      </c>
      <c r="T1" s="2" t="s">
        <v>46</v>
      </c>
      <c r="U1" s="2" t="s">
        <v>47</v>
      </c>
    </row>
    <row r="2" spans="1:21" s="1" customFormat="1">
      <c r="A2" s="4">
        <v>45292</v>
      </c>
      <c r="B2" s="1" t="s">
        <v>48</v>
      </c>
      <c r="C2" s="1">
        <v>0</v>
      </c>
      <c r="D2" s="1">
        <v>0</v>
      </c>
      <c r="E2" s="1">
        <v>0</v>
      </c>
      <c r="F2" s="1" t="s">
        <v>48</v>
      </c>
      <c r="G2" s="1">
        <v>0</v>
      </c>
      <c r="H2" s="1">
        <v>0</v>
      </c>
      <c r="I2" s="1">
        <v>0</v>
      </c>
      <c r="J2" s="1" t="s">
        <v>48</v>
      </c>
      <c r="K2" s="1">
        <v>0</v>
      </c>
      <c r="L2" s="1">
        <v>0</v>
      </c>
      <c r="M2" s="1">
        <v>0</v>
      </c>
      <c r="N2" s="1" t="s">
        <v>48</v>
      </c>
      <c r="O2" s="1" t="s">
        <v>48</v>
      </c>
      <c r="P2" s="1" t="s">
        <v>48</v>
      </c>
      <c r="Q2" s="1">
        <v>0</v>
      </c>
      <c r="R2" s="1" t="s">
        <v>48</v>
      </c>
      <c r="S2" s="1" t="s">
        <v>48</v>
      </c>
      <c r="T2" s="1">
        <v>0</v>
      </c>
      <c r="U2" s="1">
        <v>0</v>
      </c>
    </row>
    <row r="3" spans="1:21" s="1" customFormat="1">
      <c r="A3" s="4">
        <v>45293</v>
      </c>
      <c r="B3" s="1" t="s">
        <v>48</v>
      </c>
      <c r="C3" s="1">
        <v>0</v>
      </c>
      <c r="D3" s="1">
        <v>0</v>
      </c>
      <c r="E3" s="1">
        <v>0</v>
      </c>
      <c r="F3" s="1" t="s">
        <v>48</v>
      </c>
      <c r="G3" s="1">
        <v>0</v>
      </c>
      <c r="H3" s="1">
        <v>0</v>
      </c>
      <c r="I3" s="1">
        <v>0</v>
      </c>
      <c r="J3" s="1" t="s">
        <v>48</v>
      </c>
      <c r="K3" s="1">
        <v>0</v>
      </c>
      <c r="L3" s="1">
        <v>0</v>
      </c>
      <c r="M3" s="1">
        <v>0</v>
      </c>
      <c r="N3" s="1" t="s">
        <v>48</v>
      </c>
      <c r="O3" s="1">
        <v>0</v>
      </c>
      <c r="P3" s="1">
        <v>0</v>
      </c>
      <c r="Q3" s="1" t="s">
        <v>48</v>
      </c>
      <c r="R3" s="1" t="s">
        <v>48</v>
      </c>
      <c r="S3" s="1">
        <v>0</v>
      </c>
      <c r="T3" s="1" t="s">
        <v>48</v>
      </c>
      <c r="U3" s="1">
        <v>0</v>
      </c>
    </row>
    <row r="4" spans="1:21" s="1" customFormat="1">
      <c r="A4" s="4">
        <v>45294</v>
      </c>
      <c r="B4" s="1" t="s">
        <v>48</v>
      </c>
      <c r="C4" s="1">
        <v>0</v>
      </c>
      <c r="D4" s="1">
        <v>0</v>
      </c>
      <c r="E4" s="1">
        <v>0</v>
      </c>
      <c r="F4" s="1" t="s">
        <v>48</v>
      </c>
      <c r="G4" s="1">
        <v>0</v>
      </c>
      <c r="H4" s="1">
        <v>0</v>
      </c>
      <c r="I4" s="1">
        <v>0</v>
      </c>
      <c r="J4" s="1" t="s">
        <v>48</v>
      </c>
      <c r="K4" s="1">
        <v>0</v>
      </c>
      <c r="L4" s="1">
        <v>0</v>
      </c>
      <c r="M4" s="1">
        <v>0</v>
      </c>
      <c r="N4" s="1" t="s">
        <v>48</v>
      </c>
      <c r="O4" s="1">
        <v>0</v>
      </c>
      <c r="P4" s="1">
        <v>0</v>
      </c>
      <c r="Q4" s="1">
        <v>0</v>
      </c>
      <c r="R4" s="1" t="s">
        <v>48</v>
      </c>
      <c r="S4" s="1">
        <v>0</v>
      </c>
      <c r="T4" s="1">
        <v>0</v>
      </c>
      <c r="U4" s="1" t="s">
        <v>48</v>
      </c>
    </row>
    <row r="5" spans="1:21" s="1" customFormat="1">
      <c r="A5" s="4">
        <v>45295</v>
      </c>
      <c r="B5" s="1" t="s">
        <v>48</v>
      </c>
      <c r="C5" s="1">
        <v>0</v>
      </c>
      <c r="D5" s="1">
        <v>0</v>
      </c>
      <c r="E5" s="1">
        <v>0</v>
      </c>
      <c r="F5" s="1" t="s">
        <v>48</v>
      </c>
      <c r="G5" s="1">
        <v>0</v>
      </c>
      <c r="H5" s="1">
        <v>0</v>
      </c>
      <c r="I5" s="1">
        <v>0</v>
      </c>
      <c r="J5" s="1" t="s">
        <v>48</v>
      </c>
      <c r="K5" s="1">
        <v>0</v>
      </c>
      <c r="L5" s="1">
        <v>0</v>
      </c>
      <c r="M5" s="1">
        <v>0</v>
      </c>
      <c r="N5" s="1" t="s">
        <v>48</v>
      </c>
      <c r="O5" s="1">
        <v>0</v>
      </c>
      <c r="P5" s="1">
        <v>0</v>
      </c>
      <c r="Q5" s="1">
        <v>0</v>
      </c>
      <c r="R5" s="1" t="s">
        <v>48</v>
      </c>
      <c r="S5" s="1">
        <v>0</v>
      </c>
      <c r="T5" s="1">
        <v>0</v>
      </c>
      <c r="U5" s="1">
        <v>0</v>
      </c>
    </row>
    <row r="6" spans="1:21" s="1" customFormat="1">
      <c r="A6" s="4">
        <v>45296</v>
      </c>
      <c r="B6" s="1" t="s">
        <v>48</v>
      </c>
      <c r="C6" s="1">
        <v>0</v>
      </c>
      <c r="D6" s="1">
        <v>0</v>
      </c>
      <c r="E6" s="1">
        <v>0</v>
      </c>
      <c r="F6" s="1" t="s">
        <v>48</v>
      </c>
      <c r="G6" s="1">
        <v>0</v>
      </c>
      <c r="H6" s="1">
        <v>0</v>
      </c>
      <c r="I6" s="1">
        <v>0</v>
      </c>
      <c r="J6" s="1" t="s">
        <v>48</v>
      </c>
      <c r="K6" s="1">
        <v>0</v>
      </c>
      <c r="L6" s="1">
        <v>0</v>
      </c>
      <c r="M6" s="1">
        <v>0</v>
      </c>
      <c r="N6" s="1" t="s">
        <v>48</v>
      </c>
      <c r="O6" s="1" t="s">
        <v>48</v>
      </c>
      <c r="P6" s="1">
        <v>0</v>
      </c>
      <c r="Q6" s="1">
        <v>0</v>
      </c>
      <c r="R6" s="1" t="s">
        <v>48</v>
      </c>
      <c r="S6" s="1">
        <v>0</v>
      </c>
      <c r="T6" s="1">
        <v>0</v>
      </c>
      <c r="U6" s="1">
        <v>0</v>
      </c>
    </row>
    <row r="7" spans="1:21" s="1" customFormat="1">
      <c r="A7" s="4">
        <v>45299</v>
      </c>
      <c r="B7" s="1" t="s">
        <v>48</v>
      </c>
      <c r="C7" s="1">
        <v>0</v>
      </c>
      <c r="D7" s="1">
        <v>0</v>
      </c>
      <c r="E7" s="1">
        <v>0</v>
      </c>
      <c r="F7" s="1" t="s">
        <v>48</v>
      </c>
      <c r="G7" s="1">
        <v>0</v>
      </c>
      <c r="H7" s="1">
        <v>0</v>
      </c>
      <c r="I7" s="1">
        <v>0</v>
      </c>
      <c r="J7" s="1" t="s">
        <v>48</v>
      </c>
      <c r="K7" s="1">
        <v>0</v>
      </c>
      <c r="L7" s="1">
        <v>0</v>
      </c>
      <c r="M7" s="1">
        <v>0</v>
      </c>
      <c r="N7" s="1" t="s">
        <v>48</v>
      </c>
      <c r="O7" s="1">
        <v>0</v>
      </c>
      <c r="P7" s="1" t="s">
        <v>48</v>
      </c>
      <c r="Q7" s="1">
        <v>0</v>
      </c>
      <c r="R7" s="1" t="s">
        <v>48</v>
      </c>
      <c r="S7" s="1" t="s">
        <v>48</v>
      </c>
      <c r="T7" s="1">
        <v>0</v>
      </c>
      <c r="U7" s="1">
        <v>0</v>
      </c>
    </row>
    <row r="8" spans="1:21" s="1" customFormat="1">
      <c r="A8" s="4">
        <v>45300</v>
      </c>
      <c r="B8" s="1" t="s">
        <v>48</v>
      </c>
      <c r="C8" s="1">
        <v>0</v>
      </c>
      <c r="D8" s="1">
        <v>0</v>
      </c>
      <c r="E8" s="1">
        <v>0</v>
      </c>
      <c r="F8" s="1" t="s">
        <v>48</v>
      </c>
      <c r="G8" s="1">
        <v>0</v>
      </c>
      <c r="H8" s="1">
        <v>0</v>
      </c>
      <c r="I8" s="1">
        <v>0</v>
      </c>
      <c r="J8" s="1" t="s">
        <v>48</v>
      </c>
      <c r="K8" s="1">
        <v>0</v>
      </c>
      <c r="L8" s="1">
        <v>0</v>
      </c>
      <c r="M8" s="1">
        <v>0</v>
      </c>
      <c r="N8" s="1" t="s">
        <v>48</v>
      </c>
      <c r="O8" s="1">
        <v>0</v>
      </c>
      <c r="P8" s="1">
        <v>0</v>
      </c>
      <c r="Q8" s="1" t="s">
        <v>48</v>
      </c>
      <c r="R8" s="1" t="s">
        <v>48</v>
      </c>
      <c r="S8" s="1">
        <v>0</v>
      </c>
      <c r="T8" s="1" t="s">
        <v>48</v>
      </c>
      <c r="U8" s="1">
        <v>0</v>
      </c>
    </row>
    <row r="9" spans="1:21" s="1" customFormat="1">
      <c r="A9" s="4">
        <v>45301</v>
      </c>
      <c r="B9" s="1" t="s">
        <v>48</v>
      </c>
      <c r="C9" s="1">
        <v>0</v>
      </c>
      <c r="D9" s="1">
        <v>0</v>
      </c>
      <c r="E9" s="1">
        <v>0</v>
      </c>
      <c r="F9" s="1" t="s">
        <v>48</v>
      </c>
      <c r="G9" s="1">
        <v>0</v>
      </c>
      <c r="H9" s="1">
        <v>0</v>
      </c>
      <c r="I9" s="1">
        <v>0</v>
      </c>
      <c r="J9" s="1" t="s">
        <v>48</v>
      </c>
      <c r="K9" s="1">
        <v>0</v>
      </c>
      <c r="L9" s="1">
        <v>0</v>
      </c>
      <c r="M9" s="1">
        <v>0</v>
      </c>
      <c r="N9" s="1" t="s">
        <v>48</v>
      </c>
      <c r="O9" s="1">
        <v>0</v>
      </c>
      <c r="P9" s="1">
        <v>0</v>
      </c>
      <c r="Q9" s="1">
        <v>0</v>
      </c>
      <c r="R9" s="1" t="s">
        <v>48</v>
      </c>
      <c r="S9" s="1">
        <v>0</v>
      </c>
      <c r="T9" s="1">
        <v>0</v>
      </c>
      <c r="U9" s="1" t="s">
        <v>48</v>
      </c>
    </row>
    <row r="10" spans="1:21" s="1" customFormat="1">
      <c r="A10" s="4">
        <v>45302</v>
      </c>
      <c r="B10" s="1" t="s">
        <v>48</v>
      </c>
      <c r="C10" s="1">
        <v>0</v>
      </c>
      <c r="D10" s="1">
        <v>0</v>
      </c>
      <c r="E10" s="1">
        <v>0</v>
      </c>
      <c r="F10" s="1" t="s">
        <v>48</v>
      </c>
      <c r="G10" s="1">
        <v>0</v>
      </c>
      <c r="H10" s="1">
        <v>0</v>
      </c>
      <c r="I10" s="1">
        <v>0</v>
      </c>
      <c r="J10" s="1" t="s">
        <v>48</v>
      </c>
      <c r="K10" s="1">
        <v>0</v>
      </c>
      <c r="L10" s="1">
        <v>0</v>
      </c>
      <c r="M10" s="1">
        <v>0</v>
      </c>
      <c r="N10" s="1" t="s">
        <v>48</v>
      </c>
      <c r="O10" s="1">
        <v>0</v>
      </c>
      <c r="P10" s="1">
        <v>0</v>
      </c>
      <c r="Q10" s="1">
        <v>0</v>
      </c>
      <c r="R10" s="1" t="s">
        <v>48</v>
      </c>
      <c r="S10" s="1">
        <v>0</v>
      </c>
      <c r="T10" s="1">
        <v>0</v>
      </c>
      <c r="U10" s="1">
        <v>0</v>
      </c>
    </row>
    <row r="11" spans="1:21" s="1" customFormat="1">
      <c r="A11" s="4">
        <v>45303</v>
      </c>
      <c r="B11" s="1" t="s">
        <v>48</v>
      </c>
      <c r="C11" s="1">
        <v>0</v>
      </c>
      <c r="D11" s="1">
        <v>0</v>
      </c>
      <c r="E11" s="1">
        <v>0</v>
      </c>
      <c r="F11" s="1" t="s">
        <v>48</v>
      </c>
      <c r="G11" s="1">
        <v>0</v>
      </c>
      <c r="H11" s="1">
        <v>0</v>
      </c>
      <c r="I11" s="1">
        <v>0</v>
      </c>
      <c r="J11" s="1" t="s">
        <v>48</v>
      </c>
      <c r="K11" s="1">
        <v>0</v>
      </c>
      <c r="L11" s="1">
        <v>0</v>
      </c>
      <c r="M11" s="1">
        <v>0</v>
      </c>
      <c r="N11" s="1" t="s">
        <v>48</v>
      </c>
      <c r="O11" s="1" t="s">
        <v>48</v>
      </c>
      <c r="P11" s="1">
        <v>0</v>
      </c>
      <c r="Q11" s="1">
        <v>0</v>
      </c>
      <c r="R11" s="1" t="s">
        <v>48</v>
      </c>
      <c r="S11" s="1">
        <v>0</v>
      </c>
      <c r="T11" s="1">
        <v>0</v>
      </c>
      <c r="U11" s="1">
        <v>0</v>
      </c>
    </row>
    <row r="12" spans="1:21" s="1" customFormat="1">
      <c r="A12" s="4">
        <v>45306</v>
      </c>
      <c r="B12" s="1" t="s">
        <v>48</v>
      </c>
      <c r="C12" s="1">
        <v>0</v>
      </c>
      <c r="D12" s="1">
        <v>0</v>
      </c>
      <c r="E12" s="1">
        <v>0</v>
      </c>
      <c r="F12" s="1" t="s">
        <v>48</v>
      </c>
      <c r="G12" s="1">
        <v>0</v>
      </c>
      <c r="H12" s="1">
        <v>0</v>
      </c>
      <c r="I12" s="1">
        <v>0</v>
      </c>
      <c r="J12" s="1" t="s">
        <v>48</v>
      </c>
      <c r="K12" s="1">
        <v>0</v>
      </c>
      <c r="L12" s="1">
        <v>0</v>
      </c>
      <c r="M12" s="1">
        <v>0</v>
      </c>
      <c r="N12" s="1" t="s">
        <v>48</v>
      </c>
      <c r="O12" s="1">
        <v>0</v>
      </c>
      <c r="P12" s="1" t="s">
        <v>48</v>
      </c>
      <c r="Q12" s="1">
        <v>0</v>
      </c>
      <c r="R12" s="1" t="s">
        <v>48</v>
      </c>
      <c r="S12" s="1" t="s">
        <v>48</v>
      </c>
      <c r="T12" s="1">
        <v>0</v>
      </c>
      <c r="U12" s="1">
        <v>0</v>
      </c>
    </row>
    <row r="13" spans="1:21" s="1" customFormat="1">
      <c r="A13" s="4">
        <v>45307</v>
      </c>
      <c r="B13" s="1" t="s">
        <v>48</v>
      </c>
      <c r="C13" s="1">
        <v>0</v>
      </c>
      <c r="D13" s="1">
        <v>0</v>
      </c>
      <c r="E13" s="1">
        <v>0</v>
      </c>
      <c r="F13" s="1" t="s">
        <v>48</v>
      </c>
      <c r="G13" s="1">
        <v>0</v>
      </c>
      <c r="H13" s="1">
        <v>0</v>
      </c>
      <c r="I13" s="1">
        <v>0</v>
      </c>
      <c r="J13" s="1" t="s">
        <v>48</v>
      </c>
      <c r="K13" s="1">
        <v>0</v>
      </c>
      <c r="L13" s="1">
        <v>0</v>
      </c>
      <c r="M13" s="1">
        <v>0</v>
      </c>
      <c r="N13" s="1" t="s">
        <v>48</v>
      </c>
      <c r="O13" s="1">
        <v>0</v>
      </c>
      <c r="P13" s="1">
        <v>0</v>
      </c>
      <c r="Q13" s="1" t="s">
        <v>48</v>
      </c>
      <c r="R13" s="1" t="s">
        <v>48</v>
      </c>
      <c r="S13" s="1">
        <v>0</v>
      </c>
      <c r="T13" s="1" t="s">
        <v>48</v>
      </c>
      <c r="U13" s="1">
        <v>0</v>
      </c>
    </row>
    <row r="14" spans="1:21" s="1" customFormat="1">
      <c r="A14" s="4">
        <v>45308</v>
      </c>
      <c r="B14" s="1" t="s">
        <v>48</v>
      </c>
      <c r="C14" s="1">
        <v>0</v>
      </c>
      <c r="D14" s="1">
        <v>0</v>
      </c>
      <c r="E14" s="1">
        <v>0</v>
      </c>
      <c r="F14" s="1" t="s">
        <v>48</v>
      </c>
      <c r="G14" s="1">
        <v>0</v>
      </c>
      <c r="H14" s="1">
        <v>0</v>
      </c>
      <c r="I14" s="1">
        <v>0</v>
      </c>
      <c r="J14" s="1" t="s">
        <v>48</v>
      </c>
      <c r="K14" s="1">
        <v>0</v>
      </c>
      <c r="L14" s="1">
        <v>0</v>
      </c>
      <c r="M14" s="1">
        <v>0</v>
      </c>
      <c r="N14" s="1" t="s">
        <v>48</v>
      </c>
      <c r="O14" s="1">
        <v>0</v>
      </c>
      <c r="P14" s="1">
        <v>0</v>
      </c>
      <c r="Q14" s="1">
        <v>0</v>
      </c>
      <c r="R14" s="1" t="s">
        <v>48</v>
      </c>
      <c r="S14" s="1">
        <v>0</v>
      </c>
      <c r="T14" s="1">
        <v>0</v>
      </c>
      <c r="U14" s="1" t="s">
        <v>48</v>
      </c>
    </row>
    <row r="15" spans="1:21" s="1" customFormat="1">
      <c r="A15" s="4">
        <v>45309</v>
      </c>
      <c r="B15" s="1" t="s">
        <v>48</v>
      </c>
      <c r="C15" s="1">
        <v>0</v>
      </c>
      <c r="D15" s="1">
        <v>0</v>
      </c>
      <c r="E15" s="1">
        <v>0</v>
      </c>
      <c r="F15" s="1" t="s">
        <v>48</v>
      </c>
      <c r="G15" s="1">
        <v>0</v>
      </c>
      <c r="H15" s="1">
        <v>0</v>
      </c>
      <c r="I15" s="1">
        <v>0</v>
      </c>
      <c r="J15" s="1" t="s">
        <v>48</v>
      </c>
      <c r="K15" s="1">
        <v>0</v>
      </c>
      <c r="L15" s="1">
        <v>0</v>
      </c>
      <c r="M15" s="1">
        <v>0</v>
      </c>
      <c r="N15" s="1" t="s">
        <v>48</v>
      </c>
      <c r="O15" s="1">
        <v>0</v>
      </c>
      <c r="P15" s="1">
        <v>0</v>
      </c>
      <c r="Q15" s="1">
        <v>0</v>
      </c>
      <c r="R15" s="1" t="s">
        <v>48</v>
      </c>
      <c r="S15" s="1">
        <v>0</v>
      </c>
      <c r="T15" s="1">
        <v>0</v>
      </c>
      <c r="U15" s="1">
        <v>0</v>
      </c>
    </row>
    <row r="16" spans="1:21" s="1" customFormat="1">
      <c r="A16" s="4">
        <v>45310</v>
      </c>
      <c r="B16" s="1" t="s">
        <v>48</v>
      </c>
      <c r="C16" s="1">
        <v>0</v>
      </c>
      <c r="D16" s="1">
        <v>0</v>
      </c>
      <c r="E16" s="1">
        <v>0</v>
      </c>
      <c r="F16" s="1" t="s">
        <v>48</v>
      </c>
      <c r="G16" s="1">
        <v>0</v>
      </c>
      <c r="H16" s="1">
        <v>0</v>
      </c>
      <c r="I16" s="1">
        <v>0</v>
      </c>
      <c r="J16" s="1" t="s">
        <v>48</v>
      </c>
      <c r="K16" s="1">
        <v>0</v>
      </c>
      <c r="L16" s="1">
        <v>0</v>
      </c>
      <c r="M16" s="1">
        <v>0</v>
      </c>
      <c r="N16" s="1" t="s">
        <v>48</v>
      </c>
      <c r="O16" s="1" t="s">
        <v>48</v>
      </c>
      <c r="P16" s="1">
        <v>0</v>
      </c>
      <c r="Q16" s="1">
        <v>0</v>
      </c>
      <c r="R16" s="1" t="s">
        <v>48</v>
      </c>
      <c r="S16" s="1">
        <v>0</v>
      </c>
      <c r="T16" s="1">
        <v>0</v>
      </c>
      <c r="U16" s="1">
        <v>0</v>
      </c>
    </row>
    <row r="17" spans="1:21" s="1" customFormat="1">
      <c r="A17" s="4">
        <v>45311</v>
      </c>
      <c r="B17" s="1" t="s">
        <v>48</v>
      </c>
      <c r="C17" s="1">
        <v>0</v>
      </c>
      <c r="D17" s="1">
        <v>0</v>
      </c>
      <c r="E17" s="1">
        <v>0</v>
      </c>
      <c r="F17" s="1" t="s">
        <v>48</v>
      </c>
      <c r="G17" s="1">
        <v>0</v>
      </c>
      <c r="H17" s="1">
        <v>0</v>
      </c>
      <c r="I17" s="1">
        <v>0</v>
      </c>
      <c r="J17" s="1" t="s">
        <v>48</v>
      </c>
      <c r="K17" s="1" t="s">
        <v>48</v>
      </c>
      <c r="L17" s="1">
        <v>0</v>
      </c>
      <c r="M17" s="1">
        <v>0</v>
      </c>
      <c r="N17" s="1" t="s">
        <v>48</v>
      </c>
      <c r="O17" s="1">
        <v>0</v>
      </c>
      <c r="P17" s="1" t="s">
        <v>48</v>
      </c>
      <c r="Q17" s="1">
        <v>0</v>
      </c>
      <c r="R17" s="1" t="s">
        <v>48</v>
      </c>
      <c r="S17" s="1" t="s">
        <v>48</v>
      </c>
      <c r="T17" s="1" t="s">
        <v>48</v>
      </c>
      <c r="U17" s="1">
        <v>0</v>
      </c>
    </row>
    <row r="18" spans="1:21" s="1" customFormat="1">
      <c r="A18" s="4">
        <v>45314</v>
      </c>
      <c r="B18" s="1" t="s">
        <v>48</v>
      </c>
      <c r="C18" s="1">
        <v>0</v>
      </c>
      <c r="D18" s="1">
        <v>0</v>
      </c>
      <c r="E18" s="1">
        <v>0</v>
      </c>
      <c r="F18" s="1" t="s">
        <v>48</v>
      </c>
      <c r="G18" s="1" t="s">
        <v>48</v>
      </c>
      <c r="H18" s="1">
        <v>0</v>
      </c>
      <c r="I18" s="1">
        <v>0</v>
      </c>
      <c r="J18" s="1" t="s">
        <v>48</v>
      </c>
      <c r="K18" s="1">
        <v>0</v>
      </c>
      <c r="L18" s="1" t="s">
        <v>48</v>
      </c>
      <c r="M18" s="1">
        <v>0</v>
      </c>
      <c r="N18" s="1" t="s">
        <v>48</v>
      </c>
      <c r="O18" s="1">
        <v>0</v>
      </c>
      <c r="P18" s="1">
        <v>0</v>
      </c>
      <c r="Q18" s="1" t="s">
        <v>48</v>
      </c>
      <c r="R18" s="1" t="s">
        <v>48</v>
      </c>
      <c r="S18" s="1">
        <v>0</v>
      </c>
      <c r="T18" s="1">
        <v>0</v>
      </c>
      <c r="U18" s="1" t="s">
        <v>48</v>
      </c>
    </row>
    <row r="19" spans="1:21" s="1" customFormat="1">
      <c r="A19" s="4">
        <v>45315</v>
      </c>
      <c r="B19" s="1" t="s">
        <v>48</v>
      </c>
      <c r="C19" s="1" t="s">
        <v>48</v>
      </c>
      <c r="D19" s="1">
        <v>0</v>
      </c>
      <c r="E19" s="1">
        <v>0</v>
      </c>
      <c r="F19" s="1" t="s">
        <v>48</v>
      </c>
      <c r="G19" s="1">
        <v>0</v>
      </c>
      <c r="H19" s="1" t="s">
        <v>48</v>
      </c>
      <c r="I19" s="1">
        <v>0</v>
      </c>
      <c r="J19" s="1" t="s">
        <v>48</v>
      </c>
      <c r="K19" s="1">
        <v>0</v>
      </c>
      <c r="L19" s="1">
        <v>0</v>
      </c>
      <c r="M19" s="1" t="s">
        <v>48</v>
      </c>
      <c r="N19" s="1" t="s">
        <v>48</v>
      </c>
      <c r="O19" s="1">
        <v>0</v>
      </c>
      <c r="P19" s="1">
        <v>0</v>
      </c>
      <c r="Q19" s="1">
        <v>0</v>
      </c>
      <c r="R19" s="1" t="s">
        <v>48</v>
      </c>
      <c r="S19" s="1">
        <v>0</v>
      </c>
      <c r="T19" s="1">
        <v>0</v>
      </c>
      <c r="U19" s="1">
        <v>0</v>
      </c>
    </row>
    <row r="20" spans="1:21" s="1" customFormat="1">
      <c r="A20" s="4">
        <v>45316</v>
      </c>
      <c r="B20" s="1" t="s">
        <v>48</v>
      </c>
      <c r="C20" s="1">
        <v>0</v>
      </c>
      <c r="D20" s="1" t="s">
        <v>48</v>
      </c>
      <c r="E20" s="1">
        <v>0</v>
      </c>
      <c r="F20" s="1" t="s">
        <v>48</v>
      </c>
      <c r="G20" s="1">
        <v>0</v>
      </c>
      <c r="H20" s="1">
        <v>0</v>
      </c>
      <c r="I20" s="1" t="s">
        <v>48</v>
      </c>
      <c r="J20" s="1" t="s">
        <v>48</v>
      </c>
      <c r="K20" s="1">
        <v>0</v>
      </c>
      <c r="L20" s="1">
        <v>0</v>
      </c>
      <c r="M20" s="1">
        <v>0</v>
      </c>
      <c r="N20" s="1" t="s">
        <v>48</v>
      </c>
      <c r="O20" s="1">
        <v>0</v>
      </c>
      <c r="P20" s="1">
        <v>0</v>
      </c>
      <c r="Q20" s="1">
        <v>0</v>
      </c>
      <c r="R20" s="1" t="s">
        <v>57</v>
      </c>
      <c r="S20" s="1">
        <v>0</v>
      </c>
      <c r="T20" s="1">
        <v>0</v>
      </c>
      <c r="U20" s="1">
        <v>0</v>
      </c>
    </row>
    <row r="21" spans="1:21" s="1" customFormat="1">
      <c r="A21" s="4">
        <v>45320</v>
      </c>
      <c r="B21" s="1" t="s">
        <v>48</v>
      </c>
      <c r="C21" s="1">
        <v>0</v>
      </c>
      <c r="D21" s="1">
        <v>0</v>
      </c>
      <c r="E21" s="1" t="s">
        <v>48</v>
      </c>
      <c r="F21" s="1" t="s">
        <v>48</v>
      </c>
      <c r="G21" s="1">
        <v>0</v>
      </c>
      <c r="H21" s="1">
        <v>0</v>
      </c>
      <c r="I21" s="1">
        <v>0</v>
      </c>
      <c r="J21" s="1" t="s">
        <v>48</v>
      </c>
      <c r="K21" s="1">
        <v>0</v>
      </c>
      <c r="L21" s="1">
        <v>0</v>
      </c>
      <c r="M21" s="1">
        <v>0</v>
      </c>
      <c r="N21" s="1" t="s">
        <v>48</v>
      </c>
      <c r="O21" s="1" t="s">
        <v>48</v>
      </c>
      <c r="P21" s="1" t="s">
        <v>48</v>
      </c>
      <c r="Q21" s="1">
        <v>0</v>
      </c>
      <c r="R21" s="1" t="s">
        <v>48</v>
      </c>
      <c r="S21" s="1" t="s">
        <v>48</v>
      </c>
      <c r="T21" s="1">
        <v>0</v>
      </c>
      <c r="U21" s="1">
        <v>0</v>
      </c>
    </row>
    <row r="22" spans="1:21" s="1" customFormat="1">
      <c r="A22" s="4">
        <v>45321</v>
      </c>
      <c r="B22" s="1" t="s">
        <v>48</v>
      </c>
      <c r="C22" s="1">
        <v>0</v>
      </c>
      <c r="D22" s="1">
        <v>0</v>
      </c>
      <c r="E22" s="1">
        <v>0</v>
      </c>
      <c r="F22" s="1" t="s">
        <v>48</v>
      </c>
      <c r="G22" s="1">
        <v>0</v>
      </c>
      <c r="H22" s="1">
        <v>0</v>
      </c>
      <c r="I22" s="1">
        <v>0</v>
      </c>
      <c r="J22" s="1" t="s">
        <v>48</v>
      </c>
      <c r="K22" s="1">
        <v>0</v>
      </c>
      <c r="L22" s="1">
        <v>0</v>
      </c>
      <c r="M22" s="1">
        <v>0</v>
      </c>
      <c r="N22" s="1" t="s">
        <v>48</v>
      </c>
      <c r="O22" s="1">
        <v>0</v>
      </c>
      <c r="P22" s="1">
        <v>0</v>
      </c>
      <c r="Q22" s="1" t="s">
        <v>48</v>
      </c>
      <c r="R22" s="1" t="s">
        <v>48</v>
      </c>
      <c r="S22" s="1">
        <v>0</v>
      </c>
      <c r="T22" s="1" t="s">
        <v>48</v>
      </c>
      <c r="U22" s="1">
        <v>0</v>
      </c>
    </row>
    <row r="23" spans="1:21" s="1" customFormat="1">
      <c r="A23" s="4">
        <v>45322</v>
      </c>
      <c r="B23" s="1" t="s">
        <v>48</v>
      </c>
      <c r="C23" s="1">
        <v>0</v>
      </c>
      <c r="D23" s="1">
        <v>0</v>
      </c>
      <c r="E23" s="1">
        <v>0</v>
      </c>
      <c r="F23" s="1" t="s">
        <v>48</v>
      </c>
      <c r="G23" s="1">
        <v>0</v>
      </c>
      <c r="H23" s="1">
        <v>0</v>
      </c>
      <c r="I23" s="1">
        <v>0</v>
      </c>
      <c r="J23" s="1" t="s">
        <v>48</v>
      </c>
      <c r="K23" s="1">
        <v>0</v>
      </c>
      <c r="L23" s="1">
        <v>0</v>
      </c>
      <c r="M23" s="1">
        <v>0</v>
      </c>
      <c r="N23" s="1" t="s">
        <v>48</v>
      </c>
      <c r="O23" s="1">
        <v>0</v>
      </c>
      <c r="P23" s="1">
        <v>0</v>
      </c>
      <c r="Q23" s="1">
        <v>0</v>
      </c>
      <c r="R23" s="1" t="s">
        <v>48</v>
      </c>
      <c r="S23" s="1">
        <v>0</v>
      </c>
      <c r="T23" s="1">
        <v>0</v>
      </c>
      <c r="U23" s="1" t="s">
        <v>48</v>
      </c>
    </row>
    <row r="24" spans="1:21" s="1" customFormat="1">
      <c r="A24" s="4">
        <v>45323</v>
      </c>
      <c r="B24" s="1" t="s">
        <v>48</v>
      </c>
      <c r="C24" s="1">
        <v>0</v>
      </c>
      <c r="D24" s="1">
        <v>0</v>
      </c>
      <c r="E24" s="1">
        <v>0</v>
      </c>
      <c r="F24" s="1" t="s">
        <v>48</v>
      </c>
      <c r="G24" s="1">
        <v>0</v>
      </c>
      <c r="H24" s="1">
        <v>0</v>
      </c>
      <c r="I24" s="1">
        <v>0</v>
      </c>
      <c r="J24" s="1" t="s">
        <v>48</v>
      </c>
      <c r="K24" s="1">
        <v>0</v>
      </c>
      <c r="L24" s="1">
        <v>0</v>
      </c>
      <c r="M24" s="1">
        <v>0</v>
      </c>
      <c r="N24" s="1" t="s">
        <v>48</v>
      </c>
      <c r="O24" s="1">
        <v>0</v>
      </c>
      <c r="P24" s="1">
        <v>0</v>
      </c>
      <c r="Q24" s="1">
        <v>0</v>
      </c>
      <c r="R24" s="1" t="s">
        <v>48</v>
      </c>
      <c r="S24" s="1">
        <v>0</v>
      </c>
      <c r="T24" s="1">
        <v>0</v>
      </c>
      <c r="U24" s="1">
        <v>0</v>
      </c>
    </row>
    <row r="25" spans="1:21" s="1" customFormat="1">
      <c r="A25" s="4">
        <v>45324</v>
      </c>
      <c r="B25" s="1" t="s">
        <v>48</v>
      </c>
      <c r="C25" s="1">
        <v>0</v>
      </c>
      <c r="D25" s="1">
        <v>0</v>
      </c>
      <c r="E25" s="1">
        <v>0</v>
      </c>
      <c r="F25" s="1" t="s">
        <v>48</v>
      </c>
      <c r="G25" s="1">
        <v>0</v>
      </c>
      <c r="H25" s="1">
        <v>0</v>
      </c>
      <c r="I25" s="1">
        <v>0</v>
      </c>
      <c r="J25" s="1" t="s">
        <v>48</v>
      </c>
      <c r="K25" s="1">
        <v>0</v>
      </c>
      <c r="L25" s="1">
        <v>0</v>
      </c>
      <c r="M25" s="1">
        <v>0</v>
      </c>
      <c r="N25" s="1" t="s">
        <v>48</v>
      </c>
      <c r="O25" s="1" t="s">
        <v>48</v>
      </c>
      <c r="P25" s="1">
        <v>0</v>
      </c>
      <c r="Q25" s="1">
        <v>0</v>
      </c>
      <c r="R25" s="1" t="s">
        <v>58</v>
      </c>
      <c r="S25" s="1">
        <v>0</v>
      </c>
      <c r="T25" s="1">
        <v>0</v>
      </c>
      <c r="U25" s="1">
        <v>0</v>
      </c>
    </row>
    <row r="26" spans="1:21" s="1" customFormat="1">
      <c r="A26" s="4">
        <v>45327</v>
      </c>
      <c r="B26" s="1" t="s">
        <v>48</v>
      </c>
      <c r="C26" s="1">
        <v>0</v>
      </c>
      <c r="D26" s="1">
        <v>0</v>
      </c>
      <c r="E26" s="1">
        <v>0</v>
      </c>
      <c r="F26" s="1" t="s">
        <v>48</v>
      </c>
      <c r="G26" s="1">
        <v>0</v>
      </c>
      <c r="H26" s="1">
        <v>0</v>
      </c>
      <c r="I26" s="1">
        <v>0</v>
      </c>
      <c r="J26" s="1" t="s">
        <v>48</v>
      </c>
      <c r="K26" s="1">
        <v>0</v>
      </c>
      <c r="L26" s="1">
        <v>0</v>
      </c>
      <c r="M26" s="1">
        <v>0</v>
      </c>
      <c r="N26" s="1" t="s">
        <v>48</v>
      </c>
      <c r="O26" s="1">
        <v>0</v>
      </c>
      <c r="P26" s="1" t="s">
        <v>48</v>
      </c>
      <c r="Q26" s="1">
        <v>0</v>
      </c>
      <c r="R26" s="1" t="s">
        <v>48</v>
      </c>
      <c r="S26" s="1" t="s">
        <v>48</v>
      </c>
      <c r="T26" s="1">
        <v>0</v>
      </c>
      <c r="U26" s="1">
        <v>0</v>
      </c>
    </row>
    <row r="27" spans="1:21" s="1" customFormat="1">
      <c r="A27" s="4">
        <v>45328</v>
      </c>
      <c r="B27" s="1" t="s">
        <v>48</v>
      </c>
      <c r="C27" s="1">
        <v>0</v>
      </c>
      <c r="D27" s="1">
        <v>0</v>
      </c>
      <c r="E27" s="1">
        <v>0</v>
      </c>
      <c r="F27" s="1" t="s">
        <v>48</v>
      </c>
      <c r="G27" s="1">
        <v>0</v>
      </c>
      <c r="H27" s="1">
        <v>0</v>
      </c>
      <c r="I27" s="1">
        <v>0</v>
      </c>
      <c r="J27" s="1" t="s">
        <v>48</v>
      </c>
      <c r="K27" s="1">
        <v>0</v>
      </c>
      <c r="L27" s="1">
        <v>0</v>
      </c>
      <c r="M27" s="1">
        <v>0</v>
      </c>
      <c r="N27" s="1" t="s">
        <v>48</v>
      </c>
      <c r="O27" s="1">
        <v>0</v>
      </c>
      <c r="P27" s="1">
        <v>0</v>
      </c>
      <c r="Q27" s="1" t="s">
        <v>48</v>
      </c>
      <c r="R27" s="1" t="s">
        <v>48</v>
      </c>
      <c r="S27" s="1">
        <v>0</v>
      </c>
      <c r="T27" s="1" t="s">
        <v>48</v>
      </c>
      <c r="U27" s="1">
        <v>0</v>
      </c>
    </row>
    <row r="28" spans="1:21" s="1" customFormat="1">
      <c r="A28" s="4">
        <v>45329</v>
      </c>
      <c r="B28" s="1" t="s">
        <v>48</v>
      </c>
      <c r="C28" s="1">
        <v>0</v>
      </c>
      <c r="D28" s="1">
        <v>0</v>
      </c>
      <c r="E28" s="1">
        <v>0</v>
      </c>
      <c r="F28" s="1" t="s">
        <v>48</v>
      </c>
      <c r="G28" s="1">
        <v>0</v>
      </c>
      <c r="H28" s="1">
        <v>0</v>
      </c>
      <c r="I28" s="1">
        <v>0</v>
      </c>
      <c r="J28" s="1" t="s">
        <v>48</v>
      </c>
      <c r="K28" s="1">
        <v>0</v>
      </c>
      <c r="L28" s="1">
        <v>0</v>
      </c>
      <c r="M28" s="1">
        <v>0</v>
      </c>
      <c r="N28" s="1" t="s">
        <v>48</v>
      </c>
      <c r="O28" s="1">
        <v>0</v>
      </c>
      <c r="P28" s="1">
        <v>0</v>
      </c>
      <c r="Q28" s="1">
        <v>0</v>
      </c>
      <c r="R28" s="1" t="s">
        <v>48</v>
      </c>
      <c r="S28" s="1">
        <v>0</v>
      </c>
      <c r="T28" s="1">
        <v>0</v>
      </c>
      <c r="U28" s="1" t="s">
        <v>48</v>
      </c>
    </row>
    <row r="29" spans="1:21" s="1" customFormat="1">
      <c r="A29" s="4">
        <v>45330</v>
      </c>
      <c r="B29" s="1" t="s">
        <v>48</v>
      </c>
      <c r="C29" s="1">
        <v>0</v>
      </c>
      <c r="D29" s="1">
        <v>0</v>
      </c>
      <c r="E29" s="1">
        <v>0</v>
      </c>
      <c r="F29" s="1" t="s">
        <v>48</v>
      </c>
      <c r="G29" s="1">
        <v>0</v>
      </c>
      <c r="H29" s="1">
        <v>0</v>
      </c>
      <c r="I29" s="1">
        <v>0</v>
      </c>
      <c r="J29" s="1" t="s">
        <v>48</v>
      </c>
      <c r="K29" s="1">
        <v>0</v>
      </c>
      <c r="L29" s="1">
        <v>0</v>
      </c>
      <c r="M29" s="1">
        <v>0</v>
      </c>
      <c r="N29" s="1" t="s">
        <v>48</v>
      </c>
      <c r="O29" s="1">
        <v>0</v>
      </c>
      <c r="P29" s="1">
        <v>0</v>
      </c>
      <c r="Q29" s="1">
        <v>0</v>
      </c>
      <c r="R29" s="1" t="s">
        <v>48</v>
      </c>
      <c r="S29" s="1">
        <v>0</v>
      </c>
      <c r="T29" s="1">
        <v>0</v>
      </c>
      <c r="U29" s="1">
        <v>0</v>
      </c>
    </row>
    <row r="30" spans="1:21" s="1" customFormat="1">
      <c r="A30" s="4">
        <v>45331</v>
      </c>
      <c r="B30" s="1" t="s">
        <v>48</v>
      </c>
      <c r="C30" s="1">
        <v>0</v>
      </c>
      <c r="D30" s="1">
        <v>0</v>
      </c>
      <c r="E30" s="1">
        <v>0</v>
      </c>
      <c r="F30" s="1" t="s">
        <v>48</v>
      </c>
      <c r="G30" s="1">
        <v>0</v>
      </c>
      <c r="H30" s="1">
        <v>0</v>
      </c>
      <c r="I30" s="1">
        <v>0</v>
      </c>
      <c r="J30" s="1" t="s">
        <v>48</v>
      </c>
      <c r="K30" s="1">
        <v>0</v>
      </c>
      <c r="L30" s="1">
        <v>0</v>
      </c>
      <c r="M30" s="1">
        <v>0</v>
      </c>
      <c r="N30" s="1" t="s">
        <v>48</v>
      </c>
      <c r="O30" s="1" t="s">
        <v>48</v>
      </c>
      <c r="P30" s="1">
        <v>0</v>
      </c>
      <c r="Q30" s="1">
        <v>0</v>
      </c>
      <c r="R30" s="1" t="s">
        <v>59</v>
      </c>
      <c r="S30" s="1">
        <v>0</v>
      </c>
      <c r="T30" s="1">
        <v>0</v>
      </c>
      <c r="U30" s="1">
        <v>0</v>
      </c>
    </row>
    <row r="31" spans="1:21" s="1" customFormat="1">
      <c r="A31" s="4">
        <v>45334</v>
      </c>
      <c r="B31" s="1" t="s">
        <v>48</v>
      </c>
      <c r="C31" s="1">
        <v>0</v>
      </c>
      <c r="D31" s="1">
        <v>0</v>
      </c>
      <c r="E31" s="1">
        <v>0</v>
      </c>
      <c r="F31" s="1" t="s">
        <v>48</v>
      </c>
      <c r="G31" s="1">
        <v>0</v>
      </c>
      <c r="H31" s="1">
        <v>0</v>
      </c>
      <c r="I31" s="1">
        <v>0</v>
      </c>
      <c r="J31" s="1" t="s">
        <v>48</v>
      </c>
      <c r="K31" s="1">
        <v>0</v>
      </c>
      <c r="L31" s="1">
        <v>0</v>
      </c>
      <c r="M31" s="1">
        <v>0</v>
      </c>
      <c r="N31" s="1" t="s">
        <v>48</v>
      </c>
      <c r="O31" s="1">
        <v>0</v>
      </c>
      <c r="P31" s="1" t="s">
        <v>48</v>
      </c>
      <c r="Q31" s="1">
        <v>0</v>
      </c>
      <c r="R31" s="1" t="s">
        <v>48</v>
      </c>
      <c r="S31" s="1" t="s">
        <v>48</v>
      </c>
      <c r="T31" s="1">
        <v>0</v>
      </c>
      <c r="U31" s="1">
        <v>0</v>
      </c>
    </row>
    <row r="32" spans="1:21" s="1" customFormat="1">
      <c r="A32" s="4">
        <v>45335</v>
      </c>
      <c r="B32" s="1" t="s">
        <v>48</v>
      </c>
      <c r="C32" s="1">
        <v>0</v>
      </c>
      <c r="D32" s="1">
        <v>0</v>
      </c>
      <c r="E32" s="1">
        <v>0</v>
      </c>
      <c r="F32" s="1" t="s">
        <v>48</v>
      </c>
      <c r="G32" s="1">
        <v>0</v>
      </c>
      <c r="H32" s="1">
        <v>0</v>
      </c>
      <c r="I32" s="1">
        <v>0</v>
      </c>
      <c r="J32" s="1" t="s">
        <v>48</v>
      </c>
      <c r="K32" s="1">
        <v>0</v>
      </c>
      <c r="L32" s="1">
        <v>0</v>
      </c>
      <c r="M32" s="1">
        <v>0</v>
      </c>
      <c r="N32" s="1" t="s">
        <v>48</v>
      </c>
      <c r="O32" s="1">
        <v>0</v>
      </c>
      <c r="P32" s="1">
        <v>0</v>
      </c>
      <c r="Q32" s="1" t="s">
        <v>48</v>
      </c>
      <c r="R32" s="1" t="s">
        <v>48</v>
      </c>
      <c r="S32" s="1">
        <v>0</v>
      </c>
      <c r="T32" s="1" t="s">
        <v>48</v>
      </c>
      <c r="U32" s="1">
        <v>0</v>
      </c>
    </row>
    <row r="33" spans="1:21" s="1" customFormat="1">
      <c r="A33" s="4">
        <v>45336</v>
      </c>
      <c r="B33" s="1" t="s">
        <v>48</v>
      </c>
      <c r="C33" s="1">
        <v>0</v>
      </c>
      <c r="D33" s="1">
        <v>0</v>
      </c>
      <c r="E33" s="1">
        <v>0</v>
      </c>
      <c r="F33" s="1" t="s">
        <v>48</v>
      </c>
      <c r="G33" s="1">
        <v>0</v>
      </c>
      <c r="H33" s="1">
        <v>0</v>
      </c>
      <c r="I33" s="1">
        <v>0</v>
      </c>
      <c r="J33" s="1" t="s">
        <v>48</v>
      </c>
      <c r="K33" s="1">
        <v>0</v>
      </c>
      <c r="L33" s="1">
        <v>0</v>
      </c>
      <c r="M33" s="1">
        <v>0</v>
      </c>
      <c r="N33" s="1" t="s">
        <v>48</v>
      </c>
      <c r="O33" s="1">
        <v>0</v>
      </c>
      <c r="P33" s="1">
        <v>0</v>
      </c>
      <c r="Q33" s="1">
        <v>0</v>
      </c>
      <c r="R33" s="1" t="s">
        <v>48</v>
      </c>
      <c r="S33" s="1">
        <v>0</v>
      </c>
      <c r="T33" s="1">
        <v>0</v>
      </c>
      <c r="U33" s="1" t="s">
        <v>48</v>
      </c>
    </row>
    <row r="34" spans="1:21" s="1" customFormat="1">
      <c r="A34" s="4">
        <v>45337</v>
      </c>
      <c r="B34" s="1" t="s">
        <v>48</v>
      </c>
      <c r="C34" s="1">
        <v>0</v>
      </c>
      <c r="D34" s="1">
        <v>0</v>
      </c>
      <c r="E34" s="1">
        <v>0</v>
      </c>
      <c r="F34" s="1" t="s">
        <v>48</v>
      </c>
      <c r="G34" s="1">
        <v>0</v>
      </c>
      <c r="H34" s="1">
        <v>0</v>
      </c>
      <c r="I34" s="1">
        <v>0</v>
      </c>
      <c r="J34" s="1" t="s">
        <v>48</v>
      </c>
      <c r="K34" s="1">
        <v>0</v>
      </c>
      <c r="L34" s="1">
        <v>0</v>
      </c>
      <c r="M34" s="1">
        <v>0</v>
      </c>
      <c r="N34" s="1" t="s">
        <v>48</v>
      </c>
      <c r="O34" s="1">
        <v>0</v>
      </c>
      <c r="P34" s="1">
        <v>0</v>
      </c>
      <c r="Q34" s="1">
        <v>0</v>
      </c>
      <c r="R34" s="1" t="s">
        <v>48</v>
      </c>
      <c r="S34" s="1">
        <v>0</v>
      </c>
      <c r="T34" s="1">
        <v>0</v>
      </c>
      <c r="U34" s="1">
        <v>0</v>
      </c>
    </row>
    <row r="35" spans="1:21" s="1" customFormat="1">
      <c r="A35" s="4">
        <v>45338</v>
      </c>
      <c r="B35" s="1" t="s">
        <v>48</v>
      </c>
      <c r="C35" s="1">
        <v>0</v>
      </c>
      <c r="D35" s="1">
        <v>0</v>
      </c>
      <c r="E35" s="1">
        <v>0</v>
      </c>
      <c r="F35" s="1" t="s">
        <v>48</v>
      </c>
      <c r="G35" s="1">
        <v>0</v>
      </c>
      <c r="H35" s="1">
        <v>0</v>
      </c>
      <c r="I35" s="1">
        <v>0</v>
      </c>
      <c r="J35" s="1" t="s">
        <v>48</v>
      </c>
      <c r="K35" s="1">
        <v>0</v>
      </c>
      <c r="L35" s="1">
        <v>0</v>
      </c>
      <c r="M35" s="1">
        <v>0</v>
      </c>
      <c r="N35" s="1" t="s">
        <v>48</v>
      </c>
      <c r="O35" s="1" t="s">
        <v>48</v>
      </c>
      <c r="P35" s="1">
        <v>0</v>
      </c>
      <c r="Q35" s="1">
        <v>0</v>
      </c>
      <c r="R35" s="1" t="s">
        <v>48</v>
      </c>
      <c r="S35" s="1">
        <v>0</v>
      </c>
      <c r="T35" s="1">
        <v>0</v>
      </c>
      <c r="U35" s="1">
        <v>0</v>
      </c>
    </row>
    <row r="36" spans="1:21" s="1" customFormat="1">
      <c r="A36" s="4">
        <v>45341</v>
      </c>
      <c r="B36" s="1" t="s">
        <v>48</v>
      </c>
      <c r="C36" s="1">
        <v>0</v>
      </c>
      <c r="D36" s="1">
        <v>0</v>
      </c>
      <c r="E36" s="1">
        <v>0</v>
      </c>
      <c r="F36" s="1" t="s">
        <v>48</v>
      </c>
      <c r="G36" s="1">
        <v>0</v>
      </c>
      <c r="H36" s="1">
        <v>0</v>
      </c>
      <c r="I36" s="1">
        <v>0</v>
      </c>
      <c r="J36" s="1" t="s">
        <v>48</v>
      </c>
      <c r="K36" s="1">
        <v>0</v>
      </c>
      <c r="L36" s="1">
        <v>0</v>
      </c>
      <c r="M36" s="1">
        <v>0</v>
      </c>
      <c r="N36" s="1" t="s">
        <v>48</v>
      </c>
      <c r="O36" s="1">
        <v>0</v>
      </c>
      <c r="P36" s="1" t="s">
        <v>48</v>
      </c>
      <c r="Q36" s="1">
        <v>0</v>
      </c>
      <c r="R36" s="1" t="s">
        <v>48</v>
      </c>
      <c r="S36" s="1" t="s">
        <v>48</v>
      </c>
      <c r="T36" s="1">
        <v>0</v>
      </c>
      <c r="U36" s="1">
        <v>0</v>
      </c>
    </row>
    <row r="37" spans="1:21" s="1" customFormat="1">
      <c r="A37" s="4">
        <v>45342</v>
      </c>
      <c r="B37" s="1" t="s">
        <v>48</v>
      </c>
      <c r="C37" s="1">
        <v>0</v>
      </c>
      <c r="D37" s="1">
        <v>0</v>
      </c>
      <c r="E37" s="1">
        <v>0</v>
      </c>
      <c r="F37" s="1" t="s">
        <v>48</v>
      </c>
      <c r="G37" s="1">
        <v>0</v>
      </c>
      <c r="H37" s="1">
        <v>0</v>
      </c>
      <c r="I37" s="1">
        <v>0</v>
      </c>
      <c r="J37" s="1" t="s">
        <v>48</v>
      </c>
      <c r="K37" s="1" t="s">
        <v>48</v>
      </c>
      <c r="L37" s="1">
        <v>0</v>
      </c>
      <c r="M37" s="1">
        <v>0</v>
      </c>
      <c r="N37" s="1" t="s">
        <v>48</v>
      </c>
      <c r="O37" s="1">
        <v>0</v>
      </c>
      <c r="P37" s="1">
        <v>0</v>
      </c>
      <c r="Q37" s="1" t="s">
        <v>48</v>
      </c>
      <c r="R37" s="1" t="s">
        <v>48</v>
      </c>
      <c r="S37" s="1">
        <v>0</v>
      </c>
      <c r="T37" s="1" t="s">
        <v>48</v>
      </c>
      <c r="U37" s="1">
        <v>0</v>
      </c>
    </row>
    <row r="38" spans="1:21" s="1" customFormat="1">
      <c r="A38" s="4">
        <v>45343</v>
      </c>
      <c r="B38" s="1" t="s">
        <v>48</v>
      </c>
      <c r="C38" s="1">
        <v>0</v>
      </c>
      <c r="D38" s="1">
        <v>0</v>
      </c>
      <c r="E38" s="1">
        <v>0</v>
      </c>
      <c r="F38" s="1" t="s">
        <v>48</v>
      </c>
      <c r="G38" s="1" t="s">
        <v>48</v>
      </c>
      <c r="H38" s="1">
        <v>0</v>
      </c>
      <c r="I38" s="1">
        <v>0</v>
      </c>
      <c r="J38" s="1" t="s">
        <v>48</v>
      </c>
      <c r="K38" s="1">
        <v>0</v>
      </c>
      <c r="L38" s="1" t="s">
        <v>48</v>
      </c>
      <c r="M38" s="1">
        <v>0</v>
      </c>
      <c r="N38" s="1" t="s">
        <v>48</v>
      </c>
      <c r="O38" s="1">
        <v>0</v>
      </c>
      <c r="P38" s="1">
        <v>0</v>
      </c>
      <c r="Q38" s="1">
        <v>0</v>
      </c>
      <c r="R38" s="1" t="s">
        <v>48</v>
      </c>
      <c r="S38" s="1">
        <v>0</v>
      </c>
      <c r="T38" s="1">
        <v>0</v>
      </c>
      <c r="U38" s="1" t="s">
        <v>48</v>
      </c>
    </row>
    <row r="39" spans="1:21" s="1" customFormat="1">
      <c r="A39" s="4">
        <v>45344</v>
      </c>
      <c r="B39" s="1" t="s">
        <v>48</v>
      </c>
      <c r="C39" s="1">
        <v>0</v>
      </c>
      <c r="D39" s="1">
        <v>0</v>
      </c>
      <c r="E39" s="1">
        <v>0</v>
      </c>
      <c r="F39" s="1" t="s">
        <v>48</v>
      </c>
      <c r="G39" s="1">
        <v>0</v>
      </c>
      <c r="H39" s="1" t="s">
        <v>48</v>
      </c>
      <c r="I39" s="1">
        <v>0</v>
      </c>
      <c r="J39" s="1" t="s">
        <v>48</v>
      </c>
      <c r="K39" s="1">
        <v>0</v>
      </c>
      <c r="L39" s="1">
        <v>0</v>
      </c>
      <c r="M39" s="1" t="s">
        <v>48</v>
      </c>
      <c r="N39" s="1" t="s">
        <v>48</v>
      </c>
      <c r="O39" s="1">
        <v>0</v>
      </c>
      <c r="P39" s="1">
        <v>0</v>
      </c>
      <c r="Q39" s="1">
        <v>0</v>
      </c>
      <c r="R39" s="1" t="s">
        <v>48</v>
      </c>
      <c r="S39" s="1">
        <v>0</v>
      </c>
      <c r="T39" s="1">
        <v>0</v>
      </c>
      <c r="U39" s="1">
        <v>0</v>
      </c>
    </row>
    <row r="40" spans="1:21" s="1" customFormat="1">
      <c r="A40" s="4">
        <v>45345</v>
      </c>
      <c r="B40" s="1" t="s">
        <v>48</v>
      </c>
      <c r="C40" s="1" t="s">
        <v>48</v>
      </c>
      <c r="D40" s="1">
        <v>0</v>
      </c>
      <c r="E40" s="1">
        <v>0</v>
      </c>
      <c r="F40" s="1" t="s">
        <v>48</v>
      </c>
      <c r="G40" s="1">
        <v>0</v>
      </c>
      <c r="H40" s="1">
        <v>0</v>
      </c>
      <c r="I40" s="1" t="s">
        <v>48</v>
      </c>
      <c r="J40" s="1" t="s">
        <v>48</v>
      </c>
      <c r="K40" s="1">
        <v>0</v>
      </c>
      <c r="L40" s="1">
        <v>0</v>
      </c>
      <c r="M40" s="1">
        <v>0</v>
      </c>
      <c r="N40" s="1" t="s">
        <v>48</v>
      </c>
      <c r="O40" s="1" t="s">
        <v>48</v>
      </c>
      <c r="P40" s="1">
        <v>0</v>
      </c>
      <c r="Q40" s="1">
        <v>0</v>
      </c>
      <c r="R40" s="1" t="s">
        <v>48</v>
      </c>
      <c r="S40" s="1">
        <v>0</v>
      </c>
      <c r="T40" s="1">
        <v>0</v>
      </c>
      <c r="U40" s="1">
        <v>0</v>
      </c>
    </row>
    <row r="41" spans="1:21" s="1" customFormat="1">
      <c r="A41" s="4">
        <v>45348</v>
      </c>
      <c r="B41" s="1" t="s">
        <v>48</v>
      </c>
      <c r="C41" s="1">
        <v>0</v>
      </c>
      <c r="D41" s="1" t="s">
        <v>48</v>
      </c>
      <c r="E41" s="1">
        <v>0</v>
      </c>
      <c r="F41" s="1" t="s">
        <v>48</v>
      </c>
      <c r="G41" s="1">
        <v>0</v>
      </c>
      <c r="H41" s="1">
        <v>0</v>
      </c>
      <c r="I41" s="1">
        <v>0</v>
      </c>
      <c r="J41" s="1" t="s">
        <v>48</v>
      </c>
      <c r="K41" s="1">
        <v>0</v>
      </c>
      <c r="L41" s="1">
        <v>0</v>
      </c>
      <c r="M41" s="1">
        <v>0</v>
      </c>
      <c r="N41" s="1" t="s">
        <v>48</v>
      </c>
      <c r="O41" s="1">
        <v>0</v>
      </c>
      <c r="P41" s="1" t="s">
        <v>48</v>
      </c>
      <c r="Q41" s="1">
        <v>0</v>
      </c>
      <c r="R41" s="1" t="s">
        <v>48</v>
      </c>
      <c r="S41" s="1" t="s">
        <v>48</v>
      </c>
      <c r="T41" s="1">
        <v>0</v>
      </c>
      <c r="U41" s="1">
        <v>0</v>
      </c>
    </row>
    <row r="42" spans="1:21" s="1" customFormat="1">
      <c r="A42" s="4">
        <v>45349</v>
      </c>
      <c r="B42" s="1" t="s">
        <v>48</v>
      </c>
      <c r="C42" s="1">
        <v>0</v>
      </c>
      <c r="D42" s="1">
        <v>0</v>
      </c>
      <c r="E42" s="1" t="s">
        <v>48</v>
      </c>
      <c r="F42" s="1" t="s">
        <v>48</v>
      </c>
      <c r="G42" s="1">
        <v>0</v>
      </c>
      <c r="H42" s="1">
        <v>0</v>
      </c>
      <c r="I42" s="1">
        <v>0</v>
      </c>
      <c r="J42" s="1" t="s">
        <v>48</v>
      </c>
      <c r="K42" s="1">
        <v>0</v>
      </c>
      <c r="L42" s="1">
        <v>0</v>
      </c>
      <c r="M42" s="1">
        <v>0</v>
      </c>
      <c r="N42" s="1" t="s">
        <v>48</v>
      </c>
      <c r="O42" s="1">
        <v>0</v>
      </c>
      <c r="P42" s="1">
        <v>0</v>
      </c>
      <c r="Q42" s="1" t="s">
        <v>48</v>
      </c>
      <c r="R42" s="1" t="s">
        <v>48</v>
      </c>
      <c r="S42" s="1">
        <v>0</v>
      </c>
      <c r="T42" s="1" t="s">
        <v>48</v>
      </c>
      <c r="U42" s="1">
        <v>0</v>
      </c>
    </row>
    <row r="43" spans="1:21" s="1" customFormat="1">
      <c r="A43" s="4">
        <v>45350</v>
      </c>
      <c r="B43" s="1" t="s">
        <v>48</v>
      </c>
      <c r="C43" s="1">
        <v>0</v>
      </c>
      <c r="D43" s="1">
        <v>0</v>
      </c>
      <c r="E43" s="1">
        <v>0</v>
      </c>
      <c r="F43" s="1" t="s">
        <v>48</v>
      </c>
      <c r="G43" s="1">
        <v>0</v>
      </c>
      <c r="H43" s="1">
        <v>0</v>
      </c>
      <c r="I43" s="1">
        <v>0</v>
      </c>
      <c r="J43" s="1" t="s">
        <v>48</v>
      </c>
      <c r="K43" s="1">
        <v>0</v>
      </c>
      <c r="L43" s="1">
        <v>0</v>
      </c>
      <c r="M43" s="1">
        <v>0</v>
      </c>
      <c r="N43" s="1" t="s">
        <v>48</v>
      </c>
      <c r="O43" s="1">
        <v>0</v>
      </c>
      <c r="P43" s="1">
        <v>0</v>
      </c>
      <c r="Q43" s="1">
        <v>0</v>
      </c>
      <c r="R43" s="1" t="s">
        <v>48</v>
      </c>
      <c r="S43" s="1">
        <v>0</v>
      </c>
      <c r="T43" s="1">
        <v>0</v>
      </c>
      <c r="U43" s="1" t="s">
        <v>48</v>
      </c>
    </row>
    <row r="44" spans="1:21" s="1" customFormat="1">
      <c r="A44" s="4">
        <v>45351</v>
      </c>
      <c r="B44" s="1" t="s">
        <v>48</v>
      </c>
      <c r="C44" s="1">
        <v>0</v>
      </c>
      <c r="D44" s="1">
        <v>0</v>
      </c>
      <c r="E44" s="1">
        <v>0</v>
      </c>
      <c r="F44" s="1" t="s">
        <v>48</v>
      </c>
      <c r="G44" s="1">
        <v>0</v>
      </c>
      <c r="H44" s="1">
        <v>0</v>
      </c>
      <c r="I44" s="1">
        <v>0</v>
      </c>
      <c r="J44" s="1" t="s">
        <v>48</v>
      </c>
      <c r="K44" s="1">
        <v>0</v>
      </c>
      <c r="L44" s="1">
        <v>0</v>
      </c>
      <c r="M44" s="1">
        <v>0</v>
      </c>
      <c r="N44" s="1" t="s">
        <v>48</v>
      </c>
      <c r="O44" s="1">
        <v>0</v>
      </c>
      <c r="P44" s="1">
        <v>0</v>
      </c>
      <c r="Q44" s="1">
        <v>0</v>
      </c>
      <c r="R44" s="1" t="s">
        <v>48</v>
      </c>
      <c r="S44" s="1">
        <v>0</v>
      </c>
      <c r="T44" s="1">
        <v>0</v>
      </c>
      <c r="U44" s="1">
        <v>0</v>
      </c>
    </row>
    <row r="45" spans="1:21" s="1" customFormat="1">
      <c r="A45" s="4">
        <v>45352</v>
      </c>
      <c r="B45" s="1" t="s">
        <v>48</v>
      </c>
      <c r="C45" s="1">
        <v>0</v>
      </c>
      <c r="D45" s="1">
        <v>0</v>
      </c>
      <c r="E45" s="1">
        <v>0</v>
      </c>
      <c r="F45" s="1" t="s">
        <v>48</v>
      </c>
      <c r="G45" s="1">
        <v>0</v>
      </c>
      <c r="H45" s="1">
        <v>0</v>
      </c>
      <c r="I45" s="1">
        <v>0</v>
      </c>
      <c r="J45" s="1" t="s">
        <v>48</v>
      </c>
      <c r="K45" s="1">
        <v>0</v>
      </c>
      <c r="L45" s="1">
        <v>0</v>
      </c>
      <c r="M45" s="1">
        <v>0</v>
      </c>
      <c r="N45" s="1" t="s">
        <v>48</v>
      </c>
      <c r="O45" s="1" t="s">
        <v>48</v>
      </c>
      <c r="P45" s="1">
        <v>0</v>
      </c>
      <c r="Q45" s="1">
        <v>0</v>
      </c>
      <c r="R45" s="1" t="s">
        <v>48</v>
      </c>
      <c r="S45" s="1">
        <v>0</v>
      </c>
      <c r="T45" s="1">
        <v>0</v>
      </c>
      <c r="U45" s="1">
        <v>0</v>
      </c>
    </row>
    <row r="46" spans="1:21" s="1" customFormat="1">
      <c r="A46" s="4">
        <v>45355</v>
      </c>
      <c r="B46" s="1" t="s">
        <v>48</v>
      </c>
      <c r="C46" s="1">
        <v>0</v>
      </c>
      <c r="D46" s="1">
        <v>0</v>
      </c>
      <c r="E46" s="1">
        <v>0</v>
      </c>
      <c r="F46" s="1" t="s">
        <v>48</v>
      </c>
      <c r="G46" s="1">
        <v>0</v>
      </c>
      <c r="H46" s="1">
        <v>0</v>
      </c>
      <c r="I46" s="1">
        <v>0</v>
      </c>
      <c r="J46" s="1" t="s">
        <v>48</v>
      </c>
      <c r="K46" s="1">
        <v>0</v>
      </c>
      <c r="L46" s="1">
        <v>0</v>
      </c>
      <c r="M46" s="1">
        <v>0</v>
      </c>
      <c r="N46" s="1" t="s">
        <v>48</v>
      </c>
      <c r="O46" s="1">
        <v>0</v>
      </c>
      <c r="P46" s="1" t="s">
        <v>48</v>
      </c>
      <c r="Q46" s="1">
        <v>0</v>
      </c>
      <c r="R46" s="1" t="s">
        <v>48</v>
      </c>
      <c r="S46" s="1" t="s">
        <v>48</v>
      </c>
      <c r="T46" s="1" t="s">
        <v>48</v>
      </c>
      <c r="U46" s="1">
        <v>0</v>
      </c>
    </row>
    <row r="47" spans="1:21" s="1" customFormat="1">
      <c r="A47" s="4">
        <v>45356</v>
      </c>
      <c r="B47" s="1" t="s">
        <v>48</v>
      </c>
      <c r="C47" s="1">
        <v>0</v>
      </c>
      <c r="D47" s="1">
        <v>0</v>
      </c>
      <c r="E47" s="1">
        <v>0</v>
      </c>
      <c r="F47" s="1" t="s">
        <v>48</v>
      </c>
      <c r="G47" s="1">
        <v>0</v>
      </c>
      <c r="H47" s="1">
        <v>0</v>
      </c>
      <c r="I47" s="1">
        <v>0</v>
      </c>
      <c r="J47" s="1" t="s">
        <v>48</v>
      </c>
      <c r="K47" s="1">
        <v>0</v>
      </c>
      <c r="L47" s="1">
        <v>0</v>
      </c>
      <c r="M47" s="1">
        <v>0</v>
      </c>
      <c r="N47" s="1" t="s">
        <v>48</v>
      </c>
      <c r="O47" s="1">
        <v>0</v>
      </c>
      <c r="P47" s="1">
        <v>0</v>
      </c>
      <c r="Q47" s="1" t="s">
        <v>48</v>
      </c>
      <c r="R47" s="1" t="s">
        <v>48</v>
      </c>
      <c r="S47" s="1">
        <v>0</v>
      </c>
      <c r="T47" s="1">
        <v>0</v>
      </c>
      <c r="U47" s="1" t="s">
        <v>48</v>
      </c>
    </row>
    <row r="48" spans="1:21" s="1" customFormat="1">
      <c r="A48" s="4">
        <v>45357</v>
      </c>
      <c r="B48" s="1" t="s">
        <v>48</v>
      </c>
      <c r="C48" s="1">
        <v>0</v>
      </c>
      <c r="D48" s="1">
        <v>0</v>
      </c>
      <c r="E48" s="1">
        <v>0</v>
      </c>
      <c r="F48" s="1" t="s">
        <v>48</v>
      </c>
      <c r="G48" s="1">
        <v>0</v>
      </c>
      <c r="H48" s="1">
        <v>0</v>
      </c>
      <c r="I48" s="1">
        <v>0</v>
      </c>
      <c r="J48" s="1" t="s">
        <v>48</v>
      </c>
      <c r="K48" s="1">
        <v>0</v>
      </c>
      <c r="L48" s="1">
        <v>0</v>
      </c>
      <c r="M48" s="1">
        <v>0</v>
      </c>
      <c r="N48" s="1" t="s">
        <v>48</v>
      </c>
      <c r="O48" s="1">
        <v>0</v>
      </c>
      <c r="P48" s="1">
        <v>0</v>
      </c>
      <c r="Q48" s="1">
        <v>0</v>
      </c>
      <c r="R48" s="1" t="s">
        <v>48</v>
      </c>
      <c r="S48" s="1">
        <v>0</v>
      </c>
      <c r="T48" s="1">
        <v>0</v>
      </c>
      <c r="U48" s="1">
        <v>0</v>
      </c>
    </row>
    <row r="49" spans="1:21" s="1" customFormat="1">
      <c r="A49" s="4">
        <v>45358</v>
      </c>
      <c r="B49" s="1" t="s">
        <v>48</v>
      </c>
      <c r="C49" s="1">
        <v>0</v>
      </c>
      <c r="D49" s="1">
        <v>0</v>
      </c>
      <c r="E49" s="1">
        <v>0</v>
      </c>
      <c r="F49" s="1" t="s">
        <v>48</v>
      </c>
      <c r="G49" s="1">
        <v>0</v>
      </c>
      <c r="H49" s="1">
        <v>0</v>
      </c>
      <c r="I49" s="1">
        <v>0</v>
      </c>
      <c r="J49" s="1" t="s">
        <v>48</v>
      </c>
      <c r="K49" s="1">
        <v>0</v>
      </c>
      <c r="L49" s="1">
        <v>0</v>
      </c>
      <c r="M49" s="1">
        <v>0</v>
      </c>
      <c r="N49" s="1" t="s">
        <v>48</v>
      </c>
      <c r="O49" s="1">
        <v>0</v>
      </c>
      <c r="P49" s="1">
        <v>0</v>
      </c>
      <c r="Q49" s="1">
        <v>0</v>
      </c>
      <c r="R49" s="1" t="s">
        <v>48</v>
      </c>
      <c r="S49" s="1">
        <v>0</v>
      </c>
      <c r="T49" s="1">
        <v>0</v>
      </c>
      <c r="U49" s="1">
        <v>0</v>
      </c>
    </row>
    <row r="50" spans="1:21" s="1" customFormat="1">
      <c r="A50" s="4">
        <v>45362</v>
      </c>
      <c r="B50" s="1" t="s">
        <v>48</v>
      </c>
      <c r="C50" s="1">
        <v>0</v>
      </c>
      <c r="D50" s="1">
        <v>0</v>
      </c>
      <c r="E50" s="1">
        <v>0</v>
      </c>
      <c r="F50" s="1" t="s">
        <v>48</v>
      </c>
      <c r="G50" s="1">
        <v>0</v>
      </c>
      <c r="H50" s="1">
        <v>0</v>
      </c>
      <c r="I50" s="1">
        <v>0</v>
      </c>
      <c r="J50" s="1" t="s">
        <v>48</v>
      </c>
      <c r="K50" s="1">
        <v>0</v>
      </c>
      <c r="L50" s="1">
        <v>0</v>
      </c>
      <c r="M50" s="1">
        <v>0</v>
      </c>
      <c r="N50" s="1" t="s">
        <v>48</v>
      </c>
      <c r="O50" s="1" t="s">
        <v>48</v>
      </c>
      <c r="P50" s="1" t="s">
        <v>48</v>
      </c>
      <c r="Q50" s="1">
        <v>0</v>
      </c>
      <c r="R50" s="1" t="s">
        <v>48</v>
      </c>
      <c r="S50" s="1" t="s">
        <v>48</v>
      </c>
      <c r="T50" s="1">
        <v>0</v>
      </c>
      <c r="U50" s="1">
        <v>0</v>
      </c>
    </row>
    <row r="51" spans="1:21" s="1" customFormat="1">
      <c r="A51" s="4">
        <v>45363</v>
      </c>
      <c r="B51" s="1" t="s">
        <v>48</v>
      </c>
      <c r="C51" s="1">
        <v>0</v>
      </c>
      <c r="D51" s="1">
        <v>0</v>
      </c>
      <c r="E51" s="1">
        <v>0</v>
      </c>
      <c r="F51" s="1" t="s">
        <v>48</v>
      </c>
      <c r="G51" s="1">
        <v>0</v>
      </c>
      <c r="H51" s="1">
        <v>0</v>
      </c>
      <c r="I51" s="1">
        <v>0</v>
      </c>
      <c r="J51" s="1" t="s">
        <v>48</v>
      </c>
      <c r="K51" s="1">
        <v>0</v>
      </c>
      <c r="L51" s="1">
        <v>0</v>
      </c>
      <c r="M51" s="1">
        <v>0</v>
      </c>
      <c r="N51" s="1" t="s">
        <v>48</v>
      </c>
      <c r="O51" s="1">
        <v>0</v>
      </c>
      <c r="P51" s="1">
        <v>0</v>
      </c>
      <c r="Q51" s="1" t="s">
        <v>48</v>
      </c>
      <c r="R51" s="1" t="s">
        <v>48</v>
      </c>
      <c r="S51" s="1">
        <v>0</v>
      </c>
      <c r="T51" s="1" t="s">
        <v>48</v>
      </c>
      <c r="U51" s="1">
        <v>0</v>
      </c>
    </row>
    <row r="52" spans="1:21" s="1" customFormat="1">
      <c r="A52" s="4">
        <v>45364</v>
      </c>
      <c r="B52" s="1" t="s">
        <v>48</v>
      </c>
      <c r="C52" s="1">
        <v>0</v>
      </c>
      <c r="D52" s="1">
        <v>0</v>
      </c>
      <c r="E52" s="1">
        <v>0</v>
      </c>
      <c r="F52" s="1" t="s">
        <v>48</v>
      </c>
      <c r="G52" s="1">
        <v>0</v>
      </c>
      <c r="H52" s="1">
        <v>0</v>
      </c>
      <c r="I52" s="1">
        <v>0</v>
      </c>
      <c r="J52" s="1" t="s">
        <v>48</v>
      </c>
      <c r="K52" s="1">
        <v>0</v>
      </c>
      <c r="L52" s="1">
        <v>0</v>
      </c>
      <c r="M52" s="1">
        <v>0</v>
      </c>
      <c r="N52" s="1" t="s">
        <v>48</v>
      </c>
      <c r="O52" s="1">
        <v>0</v>
      </c>
      <c r="P52" s="1">
        <v>0</v>
      </c>
      <c r="Q52" s="1">
        <v>0</v>
      </c>
      <c r="R52" s="1" t="s">
        <v>48</v>
      </c>
      <c r="S52" s="1">
        <v>0</v>
      </c>
      <c r="T52" s="1">
        <v>0</v>
      </c>
      <c r="U52" s="1" t="s">
        <v>48</v>
      </c>
    </row>
    <row r="53" spans="1:21" s="1" customFormat="1">
      <c r="A53" s="4">
        <v>45365</v>
      </c>
      <c r="B53" s="1" t="s">
        <v>48</v>
      </c>
      <c r="C53" s="1">
        <v>0</v>
      </c>
      <c r="D53" s="1">
        <v>0</v>
      </c>
      <c r="E53" s="1">
        <v>0</v>
      </c>
      <c r="F53" s="1" t="s">
        <v>48</v>
      </c>
      <c r="G53" s="1">
        <v>0</v>
      </c>
      <c r="H53" s="1">
        <v>0</v>
      </c>
      <c r="I53" s="1">
        <v>0</v>
      </c>
      <c r="J53" s="1" t="s">
        <v>48</v>
      </c>
      <c r="K53" s="1">
        <v>0</v>
      </c>
      <c r="L53" s="1">
        <v>0</v>
      </c>
      <c r="M53" s="1">
        <v>0</v>
      </c>
      <c r="N53" s="1" t="s">
        <v>48</v>
      </c>
      <c r="O53" s="1">
        <v>0</v>
      </c>
      <c r="P53" s="1">
        <v>0</v>
      </c>
      <c r="Q53" s="1">
        <v>0</v>
      </c>
      <c r="R53" s="1" t="s">
        <v>48</v>
      </c>
      <c r="S53" s="1">
        <v>0</v>
      </c>
      <c r="T53" s="1">
        <v>0</v>
      </c>
      <c r="U53" s="1">
        <v>0</v>
      </c>
    </row>
    <row r="54" spans="1:21" s="1" customFormat="1">
      <c r="A54" s="4">
        <v>45366</v>
      </c>
      <c r="B54" s="1" t="s">
        <v>48</v>
      </c>
      <c r="C54" s="1">
        <v>0</v>
      </c>
      <c r="D54" s="1">
        <v>0</v>
      </c>
      <c r="E54" s="1">
        <v>0</v>
      </c>
      <c r="F54" s="1" t="s">
        <v>48</v>
      </c>
      <c r="G54" s="1">
        <v>0</v>
      </c>
      <c r="H54" s="1">
        <v>0</v>
      </c>
      <c r="I54" s="1">
        <v>0</v>
      </c>
      <c r="J54" s="1" t="s">
        <v>48</v>
      </c>
      <c r="K54" s="1">
        <v>0</v>
      </c>
      <c r="L54" s="1">
        <v>0</v>
      </c>
      <c r="M54" s="1">
        <v>0</v>
      </c>
      <c r="N54" s="1" t="s">
        <v>48</v>
      </c>
      <c r="O54" s="1" t="s">
        <v>48</v>
      </c>
      <c r="P54" s="1">
        <v>0</v>
      </c>
      <c r="Q54" s="1">
        <v>0</v>
      </c>
      <c r="R54" s="1" t="s">
        <v>48</v>
      </c>
      <c r="S54" s="1">
        <v>0</v>
      </c>
      <c r="T54" s="1">
        <v>0</v>
      </c>
      <c r="U54" s="1">
        <v>0</v>
      </c>
    </row>
    <row r="55" spans="1:21" s="1" customFormat="1">
      <c r="A55" s="4">
        <v>45369</v>
      </c>
      <c r="B55" s="1" t="s">
        <v>48</v>
      </c>
      <c r="C55" s="1">
        <v>0</v>
      </c>
      <c r="D55" s="1">
        <v>0</v>
      </c>
      <c r="E55" s="1">
        <v>0</v>
      </c>
      <c r="F55" s="1" t="s">
        <v>48</v>
      </c>
      <c r="G55" s="1">
        <v>0</v>
      </c>
      <c r="H55" s="1">
        <v>0</v>
      </c>
      <c r="I55" s="1">
        <v>0</v>
      </c>
      <c r="J55" s="1" t="s">
        <v>48</v>
      </c>
      <c r="K55" s="1" t="s">
        <v>48</v>
      </c>
      <c r="L55" s="1">
        <v>0</v>
      </c>
      <c r="M55" s="1">
        <v>0</v>
      </c>
      <c r="N55" s="1" t="s">
        <v>48</v>
      </c>
      <c r="O55" s="1">
        <v>0</v>
      </c>
      <c r="P55" s="1" t="s">
        <v>48</v>
      </c>
      <c r="Q55" s="1">
        <v>0</v>
      </c>
      <c r="R55" s="1" t="s">
        <v>48</v>
      </c>
      <c r="S55" s="1" t="s">
        <v>48</v>
      </c>
      <c r="T55" s="1">
        <v>0</v>
      </c>
      <c r="U55" s="1">
        <v>0</v>
      </c>
    </row>
    <row r="56" spans="1:21" s="1" customFormat="1">
      <c r="A56" s="4">
        <v>45370</v>
      </c>
      <c r="B56" s="1" t="s">
        <v>48</v>
      </c>
      <c r="C56" s="1">
        <v>0</v>
      </c>
      <c r="D56" s="1">
        <v>0</v>
      </c>
      <c r="E56" s="1">
        <v>0</v>
      </c>
      <c r="F56" s="1" t="s">
        <v>48</v>
      </c>
      <c r="G56" s="1" t="s">
        <v>48</v>
      </c>
      <c r="H56" s="1">
        <v>0</v>
      </c>
      <c r="I56" s="1">
        <v>0</v>
      </c>
      <c r="J56" s="1" t="s">
        <v>48</v>
      </c>
      <c r="K56" s="1">
        <v>0</v>
      </c>
      <c r="L56" s="1" t="s">
        <v>48</v>
      </c>
      <c r="M56" s="1">
        <v>0</v>
      </c>
      <c r="N56" s="1" t="s">
        <v>48</v>
      </c>
      <c r="O56" s="1">
        <v>0</v>
      </c>
      <c r="P56" s="1">
        <v>0</v>
      </c>
      <c r="Q56" s="1" t="s">
        <v>48</v>
      </c>
      <c r="R56" s="1" t="s">
        <v>48</v>
      </c>
      <c r="S56" s="1">
        <v>0</v>
      </c>
      <c r="T56" s="1" t="s">
        <v>48</v>
      </c>
      <c r="U56" s="1">
        <v>0</v>
      </c>
    </row>
    <row r="57" spans="1:21" s="1" customFormat="1">
      <c r="A57" s="4">
        <v>45371</v>
      </c>
      <c r="B57" s="1" t="s">
        <v>48</v>
      </c>
      <c r="C57" s="1" t="s">
        <v>48</v>
      </c>
      <c r="D57" s="1">
        <v>0</v>
      </c>
      <c r="E57" s="1">
        <v>0</v>
      </c>
      <c r="F57" s="1" t="s">
        <v>48</v>
      </c>
      <c r="G57" s="1">
        <v>0</v>
      </c>
      <c r="H57" s="1" t="s">
        <v>48</v>
      </c>
      <c r="I57" s="1">
        <v>0</v>
      </c>
      <c r="J57" s="1" t="s">
        <v>48</v>
      </c>
      <c r="K57" s="1">
        <v>0</v>
      </c>
      <c r="L57" s="1">
        <v>0</v>
      </c>
      <c r="M57" s="1" t="s">
        <v>48</v>
      </c>
      <c r="N57" s="1" t="s">
        <v>48</v>
      </c>
      <c r="O57" s="1">
        <v>0</v>
      </c>
      <c r="P57" s="1">
        <v>0</v>
      </c>
      <c r="Q57" s="1">
        <v>0</v>
      </c>
      <c r="R57" s="1" t="s">
        <v>48</v>
      </c>
      <c r="S57" s="1">
        <v>0</v>
      </c>
      <c r="T57" s="1">
        <v>0</v>
      </c>
      <c r="U57" s="1" t="s">
        <v>48</v>
      </c>
    </row>
    <row r="58" spans="1:21" s="1" customFormat="1">
      <c r="A58" s="4">
        <v>45372</v>
      </c>
      <c r="B58" s="1" t="s">
        <v>48</v>
      </c>
      <c r="C58" s="1">
        <v>0</v>
      </c>
      <c r="D58" s="1" t="s">
        <v>48</v>
      </c>
      <c r="E58" s="1">
        <v>0</v>
      </c>
      <c r="F58" s="1" t="s">
        <v>48</v>
      </c>
      <c r="G58" s="1">
        <v>0</v>
      </c>
      <c r="H58" s="1">
        <v>0</v>
      </c>
      <c r="I58" s="1" t="s">
        <v>48</v>
      </c>
      <c r="J58" s="1" t="s">
        <v>48</v>
      </c>
      <c r="K58" s="1">
        <v>0</v>
      </c>
      <c r="L58" s="1">
        <v>0</v>
      </c>
      <c r="M58" s="1">
        <v>0</v>
      </c>
      <c r="N58" s="1" t="s">
        <v>48</v>
      </c>
      <c r="O58" s="1">
        <v>0</v>
      </c>
      <c r="P58" s="1">
        <v>0</v>
      </c>
      <c r="Q58" s="1">
        <v>0</v>
      </c>
      <c r="R58" s="1" t="s">
        <v>48</v>
      </c>
      <c r="S58" s="1">
        <v>0</v>
      </c>
      <c r="T58" s="1">
        <v>0</v>
      </c>
      <c r="U58" s="1">
        <v>0</v>
      </c>
    </row>
    <row r="59" spans="1:21" s="1" customFormat="1">
      <c r="A59" s="4">
        <v>45373</v>
      </c>
      <c r="B59" s="1" t="s">
        <v>48</v>
      </c>
      <c r="C59" s="1">
        <v>0</v>
      </c>
      <c r="D59" s="1">
        <v>0</v>
      </c>
      <c r="E59" s="1" t="s">
        <v>48</v>
      </c>
      <c r="F59" s="1" t="s">
        <v>48</v>
      </c>
      <c r="G59" s="1">
        <v>0</v>
      </c>
      <c r="H59" s="1">
        <v>0</v>
      </c>
      <c r="I59" s="1">
        <v>0</v>
      </c>
      <c r="J59" s="1" t="s">
        <v>48</v>
      </c>
      <c r="K59" s="1">
        <v>0</v>
      </c>
      <c r="L59" s="1">
        <v>0</v>
      </c>
      <c r="M59" s="1">
        <v>0</v>
      </c>
      <c r="N59" s="1" t="s">
        <v>48</v>
      </c>
      <c r="O59" s="1" t="s">
        <v>48</v>
      </c>
      <c r="P59" s="1" t="s">
        <v>48</v>
      </c>
      <c r="Q59" s="1">
        <v>0</v>
      </c>
      <c r="R59" s="1" t="s">
        <v>48</v>
      </c>
      <c r="S59" s="1">
        <v>0</v>
      </c>
      <c r="T59" s="1">
        <v>0</v>
      </c>
      <c r="U59" s="1">
        <v>0</v>
      </c>
    </row>
    <row r="60" spans="1:21" s="1" customFormat="1">
      <c r="A60" s="4">
        <v>45377</v>
      </c>
      <c r="B60" s="1" t="s">
        <v>48</v>
      </c>
      <c r="C60" s="1">
        <v>0</v>
      </c>
      <c r="D60" s="1">
        <v>0</v>
      </c>
      <c r="E60" s="1">
        <v>0</v>
      </c>
      <c r="F60" s="1" t="s">
        <v>48</v>
      </c>
      <c r="G60" s="1">
        <v>0</v>
      </c>
      <c r="H60" s="1">
        <v>0</v>
      </c>
      <c r="I60" s="1">
        <v>0</v>
      </c>
      <c r="J60" s="1" t="s">
        <v>48</v>
      </c>
      <c r="K60" s="1">
        <v>0</v>
      </c>
      <c r="L60" s="1">
        <v>0</v>
      </c>
      <c r="M60" s="1">
        <v>0</v>
      </c>
      <c r="N60" s="1" t="s">
        <v>48</v>
      </c>
      <c r="O60" s="1">
        <v>0</v>
      </c>
      <c r="P60" s="1">
        <v>0</v>
      </c>
      <c r="Q60" s="1" t="s">
        <v>48</v>
      </c>
      <c r="R60" s="1" t="s">
        <v>48</v>
      </c>
      <c r="S60" s="1" t="s">
        <v>48</v>
      </c>
      <c r="T60" s="1" t="s">
        <v>48</v>
      </c>
      <c r="U60" s="1" t="s">
        <v>48</v>
      </c>
    </row>
    <row r="61" spans="1:21" s="1" customFormat="1">
      <c r="A61" s="4">
        <v>45378</v>
      </c>
      <c r="B61" s="1" t="s">
        <v>48</v>
      </c>
      <c r="C61" s="1">
        <v>0</v>
      </c>
      <c r="D61" s="1">
        <v>0</v>
      </c>
      <c r="E61" s="1">
        <v>0</v>
      </c>
      <c r="F61" s="1" t="s">
        <v>48</v>
      </c>
      <c r="G61" s="1">
        <v>0</v>
      </c>
      <c r="H61" s="1">
        <v>0</v>
      </c>
      <c r="I61" s="1">
        <v>0</v>
      </c>
      <c r="J61" s="1" t="s">
        <v>48</v>
      </c>
      <c r="K61" s="1">
        <v>0</v>
      </c>
      <c r="L61" s="1">
        <v>0</v>
      </c>
      <c r="M61" s="1">
        <v>0</v>
      </c>
      <c r="N61" s="1" t="s">
        <v>48</v>
      </c>
      <c r="O61" s="1">
        <v>0</v>
      </c>
      <c r="P61" s="1">
        <v>0</v>
      </c>
      <c r="Q61" s="1">
        <v>0</v>
      </c>
      <c r="R61" s="1" t="s">
        <v>48</v>
      </c>
      <c r="S61" s="1">
        <v>0</v>
      </c>
      <c r="T61" s="1">
        <v>0</v>
      </c>
      <c r="U61" s="1">
        <v>0</v>
      </c>
    </row>
    <row r="62" spans="1:21" s="1" customFormat="1">
      <c r="A62" s="4">
        <v>45379</v>
      </c>
      <c r="B62" s="1" t="s">
        <v>48</v>
      </c>
      <c r="C62" s="1">
        <v>0</v>
      </c>
      <c r="D62" s="1">
        <v>0</v>
      </c>
      <c r="E62" s="1">
        <v>0</v>
      </c>
      <c r="F62" s="1" t="s">
        <v>48</v>
      </c>
      <c r="G62" s="1">
        <v>0</v>
      </c>
      <c r="H62" s="1">
        <v>0</v>
      </c>
      <c r="I62" s="1">
        <v>0</v>
      </c>
      <c r="J62" s="1" t="s">
        <v>48</v>
      </c>
      <c r="K62" s="1">
        <v>0</v>
      </c>
      <c r="L62" s="1">
        <v>0</v>
      </c>
      <c r="M62" s="1">
        <v>0</v>
      </c>
      <c r="N62" s="1" t="s">
        <v>48</v>
      </c>
      <c r="O62" s="1">
        <v>0</v>
      </c>
      <c r="P62" s="1">
        <v>0</v>
      </c>
      <c r="Q62" s="1">
        <v>0</v>
      </c>
      <c r="R62" s="1" t="s">
        <v>48</v>
      </c>
      <c r="S62" s="1">
        <v>0</v>
      </c>
      <c r="T62" s="1">
        <v>0</v>
      </c>
      <c r="U62" s="1">
        <v>0</v>
      </c>
    </row>
    <row r="63" spans="1:21" s="1" customFormat="1">
      <c r="A63" s="4">
        <v>45383</v>
      </c>
      <c r="B63" s="1" t="s">
        <v>48</v>
      </c>
      <c r="C63" s="1">
        <v>0</v>
      </c>
      <c r="D63" s="1">
        <v>0</v>
      </c>
      <c r="E63" s="1">
        <v>0</v>
      </c>
      <c r="F63" s="1" t="s">
        <v>48</v>
      </c>
      <c r="G63" s="1">
        <v>0</v>
      </c>
      <c r="H63" s="1">
        <v>0</v>
      </c>
      <c r="I63" s="1">
        <v>0</v>
      </c>
      <c r="J63" s="1" t="s">
        <v>48</v>
      </c>
      <c r="K63" s="1">
        <v>0</v>
      </c>
      <c r="L63" s="1">
        <v>0</v>
      </c>
      <c r="M63" s="1">
        <v>0</v>
      </c>
      <c r="N63" s="1" t="s">
        <v>48</v>
      </c>
      <c r="O63" s="1" t="s">
        <v>48</v>
      </c>
      <c r="P63" s="1" t="s">
        <v>48</v>
      </c>
      <c r="Q63" s="1">
        <v>0</v>
      </c>
      <c r="R63" s="1" t="s">
        <v>48</v>
      </c>
      <c r="S63" s="1" t="s">
        <v>48</v>
      </c>
      <c r="T63" s="1">
        <v>0</v>
      </c>
      <c r="U63" s="1">
        <v>0</v>
      </c>
    </row>
    <row r="64" spans="1:21" s="1" customFormat="1">
      <c r="A64" s="4">
        <v>45384</v>
      </c>
      <c r="B64" s="1" t="s">
        <v>48</v>
      </c>
      <c r="C64" s="1">
        <v>0</v>
      </c>
      <c r="D64" s="1">
        <v>0</v>
      </c>
      <c r="E64" s="1">
        <v>0</v>
      </c>
      <c r="F64" s="1" t="s">
        <v>48</v>
      </c>
      <c r="G64" s="1">
        <v>0</v>
      </c>
      <c r="H64" s="1">
        <v>0</v>
      </c>
      <c r="I64" s="1">
        <v>0</v>
      </c>
      <c r="J64" s="1" t="s">
        <v>48</v>
      </c>
      <c r="K64" s="1">
        <v>0</v>
      </c>
      <c r="L64" s="1">
        <v>0</v>
      </c>
      <c r="M64" s="1">
        <v>0</v>
      </c>
      <c r="N64" s="1" t="s">
        <v>48</v>
      </c>
      <c r="O64" s="1">
        <v>0</v>
      </c>
      <c r="P64" s="1">
        <v>0</v>
      </c>
      <c r="Q64" s="1" t="s">
        <v>48</v>
      </c>
      <c r="R64" s="1" t="s">
        <v>48</v>
      </c>
      <c r="S64" s="1">
        <v>0</v>
      </c>
      <c r="T64" s="1" t="s">
        <v>48</v>
      </c>
      <c r="U64" s="1">
        <v>0</v>
      </c>
    </row>
    <row r="65" spans="1:21" s="1" customFormat="1">
      <c r="A65" s="4">
        <v>45385</v>
      </c>
      <c r="B65" s="1" t="s">
        <v>48</v>
      </c>
      <c r="C65" s="1">
        <v>0</v>
      </c>
      <c r="D65" s="1">
        <v>0</v>
      </c>
      <c r="E65" s="1">
        <v>0</v>
      </c>
      <c r="F65" s="1" t="s">
        <v>48</v>
      </c>
      <c r="G65" s="1">
        <v>0</v>
      </c>
      <c r="H65" s="1">
        <v>0</v>
      </c>
      <c r="I65" s="1">
        <v>0</v>
      </c>
      <c r="J65" s="1" t="s">
        <v>48</v>
      </c>
      <c r="K65" s="1">
        <v>0</v>
      </c>
      <c r="L65" s="1">
        <v>0</v>
      </c>
      <c r="M65" s="1">
        <v>0</v>
      </c>
      <c r="N65" s="1" t="s">
        <v>48</v>
      </c>
      <c r="O65" s="1">
        <v>0</v>
      </c>
      <c r="P65" s="1">
        <v>0</v>
      </c>
      <c r="Q65" s="1">
        <v>0</v>
      </c>
      <c r="R65" s="1" t="s">
        <v>48</v>
      </c>
      <c r="S65" s="1">
        <v>0</v>
      </c>
      <c r="T65" s="1">
        <v>0</v>
      </c>
      <c r="U65" s="1" t="s">
        <v>48</v>
      </c>
    </row>
    <row r="66" spans="1:21" s="1" customFormat="1">
      <c r="A66" s="4">
        <v>45386</v>
      </c>
      <c r="B66" s="1" t="s">
        <v>48</v>
      </c>
      <c r="C66" s="1">
        <v>0</v>
      </c>
      <c r="D66" s="1">
        <v>0</v>
      </c>
      <c r="E66" s="1">
        <v>0</v>
      </c>
      <c r="F66" s="1" t="s">
        <v>48</v>
      </c>
      <c r="G66" s="1">
        <v>0</v>
      </c>
      <c r="H66" s="1">
        <v>0</v>
      </c>
      <c r="I66" s="1">
        <v>0</v>
      </c>
      <c r="J66" s="1" t="s">
        <v>48</v>
      </c>
      <c r="K66" s="1">
        <v>0</v>
      </c>
      <c r="L66" s="1">
        <v>0</v>
      </c>
      <c r="M66" s="1">
        <v>0</v>
      </c>
      <c r="N66" s="1" t="s">
        <v>48</v>
      </c>
      <c r="O66" s="1">
        <v>0</v>
      </c>
      <c r="P66" s="1">
        <v>0</v>
      </c>
      <c r="Q66" s="1">
        <v>0</v>
      </c>
      <c r="R66" s="1" t="s">
        <v>48</v>
      </c>
      <c r="S66" s="1">
        <v>0</v>
      </c>
      <c r="T66" s="1">
        <v>0</v>
      </c>
      <c r="U66" s="1">
        <v>0</v>
      </c>
    </row>
    <row r="67" spans="1:21" s="1" customFormat="1">
      <c r="A67" s="4">
        <v>45387</v>
      </c>
      <c r="B67" s="1" t="s">
        <v>48</v>
      </c>
      <c r="C67" s="1">
        <v>0</v>
      </c>
      <c r="D67" s="1">
        <v>0</v>
      </c>
      <c r="E67" s="1">
        <v>0</v>
      </c>
      <c r="F67" s="1" t="s">
        <v>48</v>
      </c>
      <c r="G67" s="1">
        <v>0</v>
      </c>
      <c r="H67" s="1">
        <v>0</v>
      </c>
      <c r="I67" s="1">
        <v>0</v>
      </c>
      <c r="J67" s="1" t="s">
        <v>48</v>
      </c>
      <c r="K67" s="1">
        <v>0</v>
      </c>
      <c r="L67" s="1">
        <v>0</v>
      </c>
      <c r="M67" s="1">
        <v>0</v>
      </c>
      <c r="N67" s="1" t="s">
        <v>48</v>
      </c>
      <c r="O67" s="1" t="s">
        <v>48</v>
      </c>
      <c r="P67" s="1" t="s">
        <v>48</v>
      </c>
      <c r="Q67" s="1">
        <v>0</v>
      </c>
      <c r="R67" s="1" t="s">
        <v>48</v>
      </c>
      <c r="S67" s="1">
        <v>0</v>
      </c>
      <c r="T67" s="1">
        <v>0</v>
      </c>
      <c r="U67" s="1">
        <v>0</v>
      </c>
    </row>
    <row r="68" spans="1:21" s="1" customFormat="1">
      <c r="A68" s="4">
        <v>45390</v>
      </c>
      <c r="B68" s="1" t="s">
        <v>48</v>
      </c>
      <c r="C68" s="1">
        <v>0</v>
      </c>
      <c r="D68" s="1">
        <v>0</v>
      </c>
      <c r="E68" s="1">
        <v>0</v>
      </c>
      <c r="F68" s="1" t="s">
        <v>48</v>
      </c>
      <c r="G68" s="1">
        <v>0</v>
      </c>
      <c r="H68" s="1">
        <v>0</v>
      </c>
      <c r="I68" s="1">
        <v>0</v>
      </c>
      <c r="J68" s="1" t="s">
        <v>48</v>
      </c>
      <c r="K68" s="1">
        <v>0</v>
      </c>
      <c r="L68" s="1">
        <v>0</v>
      </c>
      <c r="M68" s="1">
        <v>0</v>
      </c>
      <c r="N68" s="1" t="s">
        <v>48</v>
      </c>
      <c r="O68" s="1">
        <v>0</v>
      </c>
      <c r="P68" s="1">
        <v>0</v>
      </c>
      <c r="Q68" s="1" t="s">
        <v>48</v>
      </c>
      <c r="R68" s="1" t="s">
        <v>48</v>
      </c>
      <c r="S68" s="1" t="s">
        <v>48</v>
      </c>
      <c r="T68" s="1" t="s">
        <v>48</v>
      </c>
      <c r="U68" s="1">
        <v>0</v>
      </c>
    </row>
    <row r="69" spans="1:21" s="1" customFormat="1">
      <c r="A69" s="4">
        <v>45391</v>
      </c>
      <c r="B69" s="1" t="s">
        <v>48</v>
      </c>
      <c r="C69" s="1">
        <v>0</v>
      </c>
      <c r="D69" s="1">
        <v>0</v>
      </c>
      <c r="E69" s="1">
        <v>0</v>
      </c>
      <c r="F69" s="1" t="s">
        <v>48</v>
      </c>
      <c r="G69" s="1">
        <v>0</v>
      </c>
      <c r="H69" s="1">
        <v>0</v>
      </c>
      <c r="I69" s="1">
        <v>0</v>
      </c>
      <c r="J69" s="1" t="s">
        <v>48</v>
      </c>
      <c r="K69" s="1">
        <v>0</v>
      </c>
      <c r="L69" s="1">
        <v>0</v>
      </c>
      <c r="M69" s="1">
        <v>0</v>
      </c>
      <c r="N69" s="1" t="s">
        <v>48</v>
      </c>
      <c r="O69" s="1">
        <v>0</v>
      </c>
      <c r="P69" s="1">
        <v>0</v>
      </c>
      <c r="Q69" s="1">
        <v>0</v>
      </c>
      <c r="R69" s="1" t="s">
        <v>48</v>
      </c>
      <c r="S69" s="1">
        <v>0</v>
      </c>
      <c r="T69" s="1">
        <v>0</v>
      </c>
      <c r="U69" s="1" t="s">
        <v>48</v>
      </c>
    </row>
    <row r="70" spans="1:21" s="1" customFormat="1">
      <c r="A70" s="4">
        <v>45392</v>
      </c>
      <c r="B70" s="1" t="s">
        <v>48</v>
      </c>
      <c r="C70" s="1">
        <v>0</v>
      </c>
      <c r="D70" s="1">
        <v>0</v>
      </c>
      <c r="E70" s="1">
        <v>0</v>
      </c>
      <c r="F70" s="1" t="s">
        <v>48</v>
      </c>
      <c r="G70" s="1">
        <v>0</v>
      </c>
      <c r="H70" s="1">
        <v>0</v>
      </c>
      <c r="I70" s="1">
        <v>0</v>
      </c>
      <c r="J70" s="1" t="s">
        <v>48</v>
      </c>
      <c r="K70" s="1">
        <v>0</v>
      </c>
      <c r="L70" s="1">
        <v>0</v>
      </c>
      <c r="M70" s="1">
        <v>0</v>
      </c>
      <c r="N70" s="1" t="s">
        <v>48</v>
      </c>
      <c r="O70" s="1">
        <v>0</v>
      </c>
      <c r="P70" s="1">
        <v>0</v>
      </c>
      <c r="Q70" s="1">
        <v>0</v>
      </c>
      <c r="R70" s="1" t="s">
        <v>48</v>
      </c>
      <c r="S70" s="1">
        <v>0</v>
      </c>
      <c r="T70" s="1">
        <v>0</v>
      </c>
      <c r="U70" s="1">
        <v>0</v>
      </c>
    </row>
    <row r="71" spans="1:21" s="1" customFormat="1">
      <c r="A71" s="4">
        <v>45394</v>
      </c>
      <c r="B71" s="1" t="s">
        <v>48</v>
      </c>
      <c r="C71" s="1">
        <v>0</v>
      </c>
      <c r="D71" s="1">
        <v>0</v>
      </c>
      <c r="E71" s="1">
        <v>0</v>
      </c>
      <c r="F71" s="1" t="s">
        <v>48</v>
      </c>
      <c r="G71" s="1">
        <v>0</v>
      </c>
      <c r="H71" s="1">
        <v>0</v>
      </c>
      <c r="I71" s="1">
        <v>0</v>
      </c>
      <c r="J71" s="1" t="s">
        <v>48</v>
      </c>
      <c r="K71" s="1">
        <v>0</v>
      </c>
      <c r="L71" s="1">
        <v>0</v>
      </c>
      <c r="M71" s="1">
        <v>0</v>
      </c>
      <c r="N71" s="1" t="s">
        <v>48</v>
      </c>
      <c r="O71" s="1" t="s">
        <v>48</v>
      </c>
      <c r="P71" s="1" t="s">
        <v>48</v>
      </c>
      <c r="Q71" s="1">
        <v>0</v>
      </c>
      <c r="R71" s="1" t="s">
        <v>48</v>
      </c>
      <c r="S71" s="1">
        <v>0</v>
      </c>
      <c r="T71" s="1">
        <v>0</v>
      </c>
      <c r="U71" s="1">
        <v>0</v>
      </c>
    </row>
    <row r="72" spans="1:21" s="1" customFormat="1">
      <c r="A72" s="4">
        <v>45397</v>
      </c>
      <c r="B72" s="1" t="s">
        <v>48</v>
      </c>
      <c r="C72" s="1">
        <v>0</v>
      </c>
      <c r="D72" s="1">
        <v>0</v>
      </c>
      <c r="E72" s="1">
        <v>0</v>
      </c>
      <c r="F72" s="1" t="s">
        <v>48</v>
      </c>
      <c r="G72" s="1">
        <v>0</v>
      </c>
      <c r="H72" s="1">
        <v>0</v>
      </c>
      <c r="I72" s="1">
        <v>0</v>
      </c>
      <c r="J72" s="1" t="s">
        <v>48</v>
      </c>
      <c r="K72" s="1">
        <v>0</v>
      </c>
      <c r="L72" s="1">
        <v>0</v>
      </c>
      <c r="M72" s="1">
        <v>0</v>
      </c>
      <c r="N72" s="1" t="s">
        <v>48</v>
      </c>
      <c r="O72" s="1">
        <v>0</v>
      </c>
      <c r="P72" s="1">
        <v>0</v>
      </c>
      <c r="Q72" s="1" t="s">
        <v>48</v>
      </c>
      <c r="R72" s="1" t="s">
        <v>48</v>
      </c>
      <c r="S72" s="1" t="s">
        <v>48</v>
      </c>
      <c r="T72" s="1" t="s">
        <v>48</v>
      </c>
      <c r="U72" s="1">
        <v>0</v>
      </c>
    </row>
    <row r="73" spans="1:21" s="1" customFormat="1">
      <c r="A73" s="4">
        <v>45398</v>
      </c>
      <c r="B73" s="1" t="s">
        <v>48</v>
      </c>
      <c r="C73" s="1">
        <v>0</v>
      </c>
      <c r="D73" s="1">
        <v>0</v>
      </c>
      <c r="E73" s="1">
        <v>0</v>
      </c>
      <c r="F73" s="1" t="s">
        <v>48</v>
      </c>
      <c r="G73" s="1">
        <v>0</v>
      </c>
      <c r="H73" s="1">
        <v>0</v>
      </c>
      <c r="I73" s="1">
        <v>0</v>
      </c>
      <c r="J73" s="1" t="s">
        <v>48</v>
      </c>
      <c r="K73" s="1">
        <v>0</v>
      </c>
      <c r="L73" s="1">
        <v>0</v>
      </c>
      <c r="M73" s="1">
        <v>0</v>
      </c>
      <c r="N73" s="1" t="s">
        <v>48</v>
      </c>
      <c r="O73" s="1">
        <v>0</v>
      </c>
      <c r="P73" s="1">
        <v>0</v>
      </c>
      <c r="Q73" s="1">
        <v>0</v>
      </c>
      <c r="R73" s="1" t="s">
        <v>48</v>
      </c>
      <c r="S73" s="1">
        <v>0</v>
      </c>
      <c r="T73" s="1">
        <v>0</v>
      </c>
      <c r="U73" s="1" t="s">
        <v>48</v>
      </c>
    </row>
    <row r="74" spans="1:21" s="1" customFormat="1">
      <c r="A74" s="4">
        <v>45400</v>
      </c>
      <c r="B74" s="1" t="s">
        <v>48</v>
      </c>
      <c r="C74" s="1">
        <v>0</v>
      </c>
      <c r="D74" s="1">
        <v>0</v>
      </c>
      <c r="E74" s="1">
        <v>0</v>
      </c>
      <c r="F74" s="1" t="s">
        <v>48</v>
      </c>
      <c r="G74" s="1">
        <v>0</v>
      </c>
      <c r="H74" s="1">
        <v>0</v>
      </c>
      <c r="I74" s="1">
        <v>0</v>
      </c>
      <c r="J74" s="1" t="s">
        <v>48</v>
      </c>
      <c r="K74" s="1">
        <v>0</v>
      </c>
      <c r="L74" s="1">
        <v>0</v>
      </c>
      <c r="M74" s="1">
        <v>0</v>
      </c>
      <c r="N74" s="1" t="s">
        <v>49</v>
      </c>
      <c r="O74" s="1">
        <v>0</v>
      </c>
      <c r="P74" s="1">
        <v>0</v>
      </c>
      <c r="Q74" s="1">
        <v>0</v>
      </c>
      <c r="R74" s="1" t="s">
        <v>48</v>
      </c>
      <c r="S74" s="1">
        <v>0</v>
      </c>
      <c r="T74" s="1">
        <v>0</v>
      </c>
      <c r="U74" s="1">
        <v>0</v>
      </c>
    </row>
    <row r="75" spans="1:21" s="1" customFormat="1">
      <c r="A75" s="4">
        <v>45401</v>
      </c>
      <c r="B75" s="1" t="s">
        <v>48</v>
      </c>
      <c r="C75" s="1">
        <v>0</v>
      </c>
      <c r="D75" s="1">
        <v>0</v>
      </c>
      <c r="E75" s="1">
        <v>0</v>
      </c>
      <c r="F75" s="1" t="s">
        <v>48</v>
      </c>
      <c r="G75" s="1">
        <v>0</v>
      </c>
      <c r="H75" s="1">
        <v>0</v>
      </c>
      <c r="I75" s="1">
        <v>0</v>
      </c>
      <c r="J75" s="1" t="s">
        <v>48</v>
      </c>
      <c r="K75" s="1">
        <v>0</v>
      </c>
      <c r="L75" s="1">
        <v>0</v>
      </c>
      <c r="M75" s="1">
        <v>0</v>
      </c>
      <c r="N75" s="1" t="s">
        <v>48</v>
      </c>
      <c r="O75" s="1" t="s">
        <v>48</v>
      </c>
      <c r="P75" s="1">
        <v>0</v>
      </c>
      <c r="Q75" s="1">
        <v>0</v>
      </c>
      <c r="R75" s="1" t="s">
        <v>48</v>
      </c>
      <c r="S75" s="1">
        <v>0</v>
      </c>
      <c r="T75" s="1">
        <v>0</v>
      </c>
      <c r="U75" s="1">
        <v>0</v>
      </c>
    </row>
    <row r="76" spans="1:21" s="1" customFormat="1">
      <c r="A76" s="4">
        <v>45404</v>
      </c>
      <c r="B76" s="1" t="s">
        <v>48</v>
      </c>
      <c r="C76" s="1">
        <v>0</v>
      </c>
      <c r="D76" s="1">
        <v>0</v>
      </c>
      <c r="E76" s="1">
        <v>0</v>
      </c>
      <c r="F76" s="1" t="s">
        <v>48</v>
      </c>
      <c r="G76" s="1">
        <v>0</v>
      </c>
      <c r="H76" s="1">
        <v>0</v>
      </c>
      <c r="I76" s="1">
        <v>0</v>
      </c>
      <c r="J76" s="1" t="s">
        <v>48</v>
      </c>
      <c r="K76" s="1">
        <v>0</v>
      </c>
      <c r="L76" s="1">
        <v>0</v>
      </c>
      <c r="M76" s="1">
        <v>0</v>
      </c>
      <c r="N76" s="1" t="s">
        <v>48</v>
      </c>
      <c r="O76" s="1">
        <v>0</v>
      </c>
      <c r="P76" s="1" t="s">
        <v>48</v>
      </c>
      <c r="Q76" s="1">
        <v>0</v>
      </c>
      <c r="R76" s="1" t="s">
        <v>48</v>
      </c>
      <c r="S76" s="1" t="s">
        <v>48</v>
      </c>
      <c r="T76" s="1">
        <v>0</v>
      </c>
      <c r="U76" s="1">
        <v>0</v>
      </c>
    </row>
    <row r="77" spans="1:21" s="1" customFormat="1">
      <c r="A77" s="4">
        <v>45405</v>
      </c>
      <c r="B77" s="1" t="s">
        <v>48</v>
      </c>
      <c r="C77" s="1">
        <v>0</v>
      </c>
      <c r="D77" s="1">
        <v>0</v>
      </c>
      <c r="E77" s="1">
        <v>0</v>
      </c>
      <c r="F77" s="1" t="s">
        <v>48</v>
      </c>
      <c r="G77" s="1">
        <v>0</v>
      </c>
      <c r="H77" s="1">
        <v>0</v>
      </c>
      <c r="I77" s="1">
        <v>0</v>
      </c>
      <c r="J77" s="1" t="s">
        <v>48</v>
      </c>
      <c r="K77" s="1" t="s">
        <v>48</v>
      </c>
      <c r="L77" s="1">
        <v>0</v>
      </c>
      <c r="M77" s="1">
        <v>0</v>
      </c>
      <c r="N77" s="1" t="s">
        <v>48</v>
      </c>
      <c r="O77" s="1">
        <v>0</v>
      </c>
      <c r="P77" s="1">
        <v>0</v>
      </c>
      <c r="Q77" s="1" t="s">
        <v>48</v>
      </c>
      <c r="R77" s="1" t="s">
        <v>48</v>
      </c>
      <c r="S77" s="1">
        <v>0</v>
      </c>
      <c r="T77" s="1" t="s">
        <v>48</v>
      </c>
      <c r="U77" s="1">
        <v>0</v>
      </c>
    </row>
    <row r="78" spans="1:21" s="1" customFormat="1">
      <c r="A78" s="4">
        <v>45406</v>
      </c>
      <c r="B78" s="1" t="s">
        <v>48</v>
      </c>
      <c r="C78" s="1" t="s">
        <v>48</v>
      </c>
      <c r="D78" s="1">
        <v>0</v>
      </c>
      <c r="E78" s="1">
        <v>0</v>
      </c>
      <c r="F78" s="1" t="s">
        <v>48</v>
      </c>
      <c r="G78" s="1" t="s">
        <v>48</v>
      </c>
      <c r="H78" s="1">
        <v>0</v>
      </c>
      <c r="I78" s="1">
        <v>0</v>
      </c>
      <c r="J78" s="1" t="s">
        <v>48</v>
      </c>
      <c r="K78" s="1">
        <v>0</v>
      </c>
      <c r="L78" s="1" t="s">
        <v>48</v>
      </c>
      <c r="M78" s="1">
        <v>0</v>
      </c>
      <c r="N78" s="1" t="s">
        <v>48</v>
      </c>
      <c r="O78" s="1">
        <v>0</v>
      </c>
      <c r="P78" s="1">
        <v>0</v>
      </c>
      <c r="Q78" s="1">
        <v>0</v>
      </c>
      <c r="R78" s="1" t="s">
        <v>48</v>
      </c>
      <c r="S78" s="1">
        <v>0</v>
      </c>
      <c r="T78" s="1">
        <v>0</v>
      </c>
      <c r="U78" s="1" t="s">
        <v>48</v>
      </c>
    </row>
    <row r="79" spans="1:21" s="1" customFormat="1">
      <c r="A79" s="4">
        <v>45407</v>
      </c>
      <c r="B79" s="1" t="s">
        <v>48</v>
      </c>
      <c r="C79" s="1">
        <v>0</v>
      </c>
      <c r="D79" s="1" t="s">
        <v>48</v>
      </c>
      <c r="E79" s="1">
        <v>0</v>
      </c>
      <c r="F79" s="1" t="s">
        <v>48</v>
      </c>
      <c r="G79" s="1">
        <v>0</v>
      </c>
      <c r="H79" s="1" t="s">
        <v>48</v>
      </c>
      <c r="I79" s="1">
        <v>0</v>
      </c>
      <c r="J79" s="1" t="s">
        <v>48</v>
      </c>
      <c r="K79" s="1">
        <v>0</v>
      </c>
      <c r="L79" s="1">
        <v>0</v>
      </c>
      <c r="M79" s="1" t="s">
        <v>48</v>
      </c>
      <c r="N79" s="1" t="s">
        <v>48</v>
      </c>
      <c r="O79" s="1">
        <v>0</v>
      </c>
      <c r="P79" s="1">
        <v>0</v>
      </c>
      <c r="Q79" s="1">
        <v>0</v>
      </c>
      <c r="R79" s="1" t="s">
        <v>48</v>
      </c>
      <c r="S79" s="1">
        <v>0</v>
      </c>
      <c r="T79" s="1">
        <v>0</v>
      </c>
      <c r="U79" s="1">
        <v>0</v>
      </c>
    </row>
    <row r="80" spans="1:21" s="1" customFormat="1">
      <c r="A80" s="4">
        <v>45408</v>
      </c>
      <c r="B80" s="1" t="s">
        <v>48</v>
      </c>
      <c r="C80" s="1">
        <v>0</v>
      </c>
      <c r="D80" s="1">
        <v>0</v>
      </c>
      <c r="E80" s="1" t="s">
        <v>48</v>
      </c>
      <c r="F80" s="1" t="s">
        <v>48</v>
      </c>
      <c r="G80" s="1">
        <v>0</v>
      </c>
      <c r="H80" s="1">
        <v>0</v>
      </c>
      <c r="I80" s="1" t="s">
        <v>48</v>
      </c>
      <c r="J80" s="1" t="s">
        <v>48</v>
      </c>
      <c r="K80" s="1">
        <v>0</v>
      </c>
      <c r="L80" s="1">
        <v>0</v>
      </c>
      <c r="M80" s="1">
        <v>0</v>
      </c>
      <c r="N80" s="1" t="s">
        <v>48</v>
      </c>
      <c r="O80" s="1" t="s">
        <v>48</v>
      </c>
      <c r="P80" s="1" t="s">
        <v>48</v>
      </c>
      <c r="Q80" s="1">
        <v>0</v>
      </c>
      <c r="R80" s="1" t="s">
        <v>48</v>
      </c>
      <c r="S80" s="1">
        <v>0</v>
      </c>
      <c r="T80" s="1">
        <v>0</v>
      </c>
      <c r="U80" s="1">
        <v>0</v>
      </c>
    </row>
    <row r="81" spans="1:21" s="1" customFormat="1">
      <c r="A81" s="4">
        <v>45411</v>
      </c>
      <c r="B81" s="1" t="s">
        <v>48</v>
      </c>
      <c r="C81" s="1">
        <v>0</v>
      </c>
      <c r="D81" s="1">
        <v>0</v>
      </c>
      <c r="E81" s="1">
        <v>0</v>
      </c>
      <c r="F81" s="1" t="s">
        <v>48</v>
      </c>
      <c r="G81" s="1">
        <v>0</v>
      </c>
      <c r="H81" s="1">
        <v>0</v>
      </c>
      <c r="I81" s="1">
        <v>0</v>
      </c>
      <c r="J81" s="1" t="s">
        <v>48</v>
      </c>
      <c r="K81" s="1">
        <v>0</v>
      </c>
      <c r="L81" s="1">
        <v>0</v>
      </c>
      <c r="M81" s="1">
        <v>0</v>
      </c>
      <c r="N81" s="1" t="s">
        <v>48</v>
      </c>
      <c r="O81" s="1">
        <v>0</v>
      </c>
      <c r="P81" s="1">
        <v>0</v>
      </c>
      <c r="Q81" s="1" t="s">
        <v>48</v>
      </c>
      <c r="R81" s="1" t="s">
        <v>48</v>
      </c>
      <c r="S81" s="1" t="s">
        <v>48</v>
      </c>
      <c r="T81" s="1" t="s">
        <v>48</v>
      </c>
      <c r="U81" s="1">
        <v>0</v>
      </c>
    </row>
    <row r="82" spans="1:21" s="1" customFormat="1">
      <c r="A82" s="4">
        <v>45412</v>
      </c>
      <c r="B82" s="1" t="s">
        <v>48</v>
      </c>
      <c r="C82" s="1">
        <v>0</v>
      </c>
      <c r="D82" s="1">
        <v>0</v>
      </c>
      <c r="E82" s="1">
        <v>0</v>
      </c>
      <c r="F82" s="1" t="s">
        <v>48</v>
      </c>
      <c r="G82" s="1">
        <v>0</v>
      </c>
      <c r="H82" s="1">
        <v>0</v>
      </c>
      <c r="I82" s="1">
        <v>0</v>
      </c>
      <c r="J82" s="1" t="s">
        <v>48</v>
      </c>
      <c r="K82" s="1">
        <v>0</v>
      </c>
      <c r="L82" s="1">
        <v>0</v>
      </c>
      <c r="M82" s="1">
        <v>0</v>
      </c>
      <c r="N82" s="1" t="s">
        <v>48</v>
      </c>
      <c r="O82" s="1">
        <v>0</v>
      </c>
      <c r="P82" s="1">
        <v>0</v>
      </c>
      <c r="Q82" s="1">
        <v>0</v>
      </c>
      <c r="R82" s="1" t="s">
        <v>48</v>
      </c>
      <c r="S82" s="1">
        <v>0</v>
      </c>
      <c r="T82" s="1">
        <v>0</v>
      </c>
      <c r="U82" s="1" t="s">
        <v>48</v>
      </c>
    </row>
    <row r="83" spans="1:21" s="1" customFormat="1">
      <c r="A83" s="4">
        <v>45414</v>
      </c>
      <c r="B83" s="1" t="s">
        <v>48</v>
      </c>
      <c r="C83" s="1">
        <v>0</v>
      </c>
      <c r="D83" s="1">
        <v>0</v>
      </c>
      <c r="E83" s="1">
        <v>0</v>
      </c>
      <c r="F83" s="1" t="s">
        <v>48</v>
      </c>
      <c r="G83" s="1">
        <v>0</v>
      </c>
      <c r="H83" s="1">
        <v>0</v>
      </c>
      <c r="I83" s="1">
        <v>0</v>
      </c>
      <c r="J83" s="1" t="s">
        <v>48</v>
      </c>
      <c r="K83" s="1">
        <v>0</v>
      </c>
      <c r="L83" s="1">
        <v>0</v>
      </c>
      <c r="M83" s="1">
        <v>0</v>
      </c>
      <c r="N83" s="1" t="s">
        <v>48</v>
      </c>
      <c r="O83" s="1">
        <v>0</v>
      </c>
      <c r="P83" s="1">
        <v>0</v>
      </c>
      <c r="Q83" s="1">
        <v>0</v>
      </c>
      <c r="R83" s="1" t="s">
        <v>48</v>
      </c>
      <c r="S83" s="1">
        <v>0</v>
      </c>
      <c r="T83" s="1">
        <v>0</v>
      </c>
      <c r="U83" s="1">
        <v>0</v>
      </c>
    </row>
    <row r="84" spans="1:21" s="1" customFormat="1">
      <c r="A84" s="4">
        <v>45415</v>
      </c>
      <c r="B84" s="1" t="s">
        <v>48</v>
      </c>
      <c r="C84" s="1">
        <v>0</v>
      </c>
      <c r="D84" s="1">
        <v>0</v>
      </c>
      <c r="E84" s="1">
        <v>0</v>
      </c>
      <c r="F84" s="1" t="s">
        <v>48</v>
      </c>
      <c r="G84" s="1">
        <v>0</v>
      </c>
      <c r="H84" s="1">
        <v>0</v>
      </c>
      <c r="I84" s="1">
        <v>0</v>
      </c>
      <c r="J84" s="1" t="s">
        <v>48</v>
      </c>
      <c r="K84" s="1">
        <v>0</v>
      </c>
      <c r="L84" s="1">
        <v>0</v>
      </c>
      <c r="M84" s="1">
        <v>0</v>
      </c>
      <c r="N84" s="1" t="s">
        <v>48</v>
      </c>
      <c r="O84" s="1" t="s">
        <v>48</v>
      </c>
      <c r="P84" s="1">
        <v>0</v>
      </c>
      <c r="Q84" s="1">
        <v>0</v>
      </c>
      <c r="R84" s="1" t="s">
        <v>48</v>
      </c>
      <c r="S84" s="1">
        <v>0</v>
      </c>
      <c r="T84" s="1">
        <v>0</v>
      </c>
      <c r="U84" s="1">
        <v>0</v>
      </c>
    </row>
    <row r="85" spans="1:21" s="1" customFormat="1">
      <c r="A85" s="4">
        <v>45418</v>
      </c>
      <c r="B85" s="1" t="s">
        <v>48</v>
      </c>
      <c r="C85" s="1">
        <v>0</v>
      </c>
      <c r="D85" s="1">
        <v>0</v>
      </c>
      <c r="E85" s="1">
        <v>0</v>
      </c>
      <c r="F85" s="1" t="s">
        <v>48</v>
      </c>
      <c r="G85" s="1">
        <v>0</v>
      </c>
      <c r="H85" s="1">
        <v>0</v>
      </c>
      <c r="I85" s="1">
        <v>0</v>
      </c>
      <c r="J85" s="1" t="s">
        <v>48</v>
      </c>
      <c r="K85" s="1">
        <v>0</v>
      </c>
      <c r="L85" s="1">
        <v>0</v>
      </c>
      <c r="M85" s="1">
        <v>0</v>
      </c>
      <c r="N85" s="1" t="s">
        <v>48</v>
      </c>
      <c r="O85" s="1">
        <v>0</v>
      </c>
      <c r="P85" s="1" t="s">
        <v>48</v>
      </c>
      <c r="Q85" s="1">
        <v>0</v>
      </c>
      <c r="R85" s="1" t="s">
        <v>48</v>
      </c>
      <c r="S85" s="1" t="s">
        <v>48</v>
      </c>
      <c r="T85" s="1">
        <v>0</v>
      </c>
      <c r="U85" s="1">
        <v>0</v>
      </c>
    </row>
    <row r="86" spans="1:21" s="1" customFormat="1">
      <c r="A86" s="4">
        <v>45419</v>
      </c>
      <c r="B86" s="1" t="s">
        <v>48</v>
      </c>
      <c r="C86" s="1">
        <v>0</v>
      </c>
      <c r="D86" s="1">
        <v>0</v>
      </c>
      <c r="E86" s="1">
        <v>0</v>
      </c>
      <c r="F86" s="1" t="s">
        <v>48</v>
      </c>
      <c r="G86" s="1">
        <v>0</v>
      </c>
      <c r="H86" s="1">
        <v>0</v>
      </c>
      <c r="I86" s="1">
        <v>0</v>
      </c>
      <c r="J86" s="1" t="s">
        <v>48</v>
      </c>
      <c r="K86" s="1">
        <v>0</v>
      </c>
      <c r="L86" s="1">
        <v>0</v>
      </c>
      <c r="M86" s="1">
        <v>0</v>
      </c>
      <c r="N86" s="1" t="s">
        <v>48</v>
      </c>
      <c r="O86" s="1">
        <v>0</v>
      </c>
      <c r="P86" s="1">
        <v>0</v>
      </c>
      <c r="Q86" s="1" t="s">
        <v>48</v>
      </c>
      <c r="R86" s="1" t="s">
        <v>48</v>
      </c>
      <c r="S86" s="1">
        <v>0</v>
      </c>
      <c r="T86" s="1" t="s">
        <v>48</v>
      </c>
      <c r="U86" s="1">
        <v>0</v>
      </c>
    </row>
    <row r="87" spans="1:21" s="1" customFormat="1">
      <c r="A87" s="4">
        <v>45420</v>
      </c>
      <c r="B87" s="1" t="s">
        <v>48</v>
      </c>
      <c r="C87" s="1">
        <v>0</v>
      </c>
      <c r="D87" s="1">
        <v>0</v>
      </c>
      <c r="E87" s="1">
        <v>0</v>
      </c>
      <c r="F87" s="1" t="s">
        <v>48</v>
      </c>
      <c r="G87" s="1">
        <v>0</v>
      </c>
      <c r="H87" s="1">
        <v>0</v>
      </c>
      <c r="I87" s="1">
        <v>0</v>
      </c>
      <c r="J87" s="1" t="s">
        <v>48</v>
      </c>
      <c r="K87" s="1">
        <v>0</v>
      </c>
      <c r="L87" s="1">
        <v>0</v>
      </c>
      <c r="M87" s="1">
        <v>0</v>
      </c>
      <c r="N87" s="1" t="s">
        <v>48</v>
      </c>
      <c r="O87" s="1">
        <v>0</v>
      </c>
      <c r="P87" s="1">
        <v>0</v>
      </c>
      <c r="Q87" s="1">
        <v>0</v>
      </c>
      <c r="R87" s="1" t="s">
        <v>48</v>
      </c>
      <c r="S87" s="1">
        <v>0</v>
      </c>
      <c r="T87" s="1">
        <v>0</v>
      </c>
      <c r="U87" s="1" t="s">
        <v>48</v>
      </c>
    </row>
    <row r="88" spans="1:21" s="1" customFormat="1">
      <c r="A88" s="4">
        <v>45421</v>
      </c>
      <c r="B88" s="1" t="s">
        <v>48</v>
      </c>
      <c r="C88" s="1">
        <v>0</v>
      </c>
      <c r="D88" s="1">
        <v>0</v>
      </c>
      <c r="E88" s="1">
        <v>0</v>
      </c>
      <c r="F88" s="1" t="s">
        <v>48</v>
      </c>
      <c r="G88" s="1">
        <v>0</v>
      </c>
      <c r="H88" s="1">
        <v>0</v>
      </c>
      <c r="I88" s="1">
        <v>0</v>
      </c>
      <c r="J88" s="1" t="s">
        <v>48</v>
      </c>
      <c r="K88" s="1">
        <v>0</v>
      </c>
      <c r="L88" s="1">
        <v>0</v>
      </c>
      <c r="M88" s="1">
        <v>0</v>
      </c>
      <c r="N88" s="1" t="s">
        <v>48</v>
      </c>
      <c r="O88" s="1">
        <v>0</v>
      </c>
      <c r="P88" s="1">
        <v>0</v>
      </c>
      <c r="Q88" s="1">
        <v>0</v>
      </c>
      <c r="R88" s="1" t="s">
        <v>48</v>
      </c>
      <c r="S88" s="1">
        <v>0</v>
      </c>
      <c r="T88" s="1">
        <v>0</v>
      </c>
      <c r="U88" s="1">
        <v>0</v>
      </c>
    </row>
    <row r="89" spans="1:21" s="1" customFormat="1">
      <c r="A89" s="4">
        <v>45422</v>
      </c>
      <c r="B89" s="1" t="s">
        <v>48</v>
      </c>
      <c r="C89" s="1">
        <v>0</v>
      </c>
      <c r="D89" s="1">
        <v>0</v>
      </c>
      <c r="E89" s="1">
        <v>0</v>
      </c>
      <c r="F89" s="1" t="s">
        <v>48</v>
      </c>
      <c r="G89" s="1">
        <v>0</v>
      </c>
      <c r="H89" s="1">
        <v>0</v>
      </c>
      <c r="I89" s="1">
        <v>0</v>
      </c>
      <c r="J89" s="1" t="s">
        <v>48</v>
      </c>
      <c r="K89" s="1">
        <v>0</v>
      </c>
      <c r="L89" s="1">
        <v>0</v>
      </c>
      <c r="M89" s="1">
        <v>0</v>
      </c>
      <c r="N89" s="1" t="s">
        <v>48</v>
      </c>
      <c r="O89" s="1" t="s">
        <v>48</v>
      </c>
      <c r="P89" s="1">
        <v>0</v>
      </c>
      <c r="Q89" s="1">
        <v>0</v>
      </c>
      <c r="R89" s="1" t="s">
        <v>48</v>
      </c>
      <c r="S89" s="1">
        <v>0</v>
      </c>
      <c r="T89" s="1">
        <v>0</v>
      </c>
      <c r="U89" s="1">
        <v>0</v>
      </c>
    </row>
    <row r="90" spans="1:21" s="1" customFormat="1">
      <c r="A90" s="4">
        <v>45425</v>
      </c>
      <c r="B90" s="1" t="s">
        <v>48</v>
      </c>
      <c r="C90" s="1">
        <v>0</v>
      </c>
      <c r="D90" s="1">
        <v>0</v>
      </c>
      <c r="E90" s="1">
        <v>0</v>
      </c>
      <c r="F90" s="1" t="s">
        <v>48</v>
      </c>
      <c r="G90" s="1">
        <v>0</v>
      </c>
      <c r="H90" s="1">
        <v>0</v>
      </c>
      <c r="I90" s="1">
        <v>0</v>
      </c>
      <c r="J90" s="1" t="s">
        <v>48</v>
      </c>
      <c r="K90" s="1">
        <v>0</v>
      </c>
      <c r="L90" s="1">
        <v>0</v>
      </c>
      <c r="M90" s="1">
        <v>0</v>
      </c>
      <c r="N90" s="1" t="s">
        <v>48</v>
      </c>
      <c r="O90" s="1">
        <v>0</v>
      </c>
      <c r="P90" s="1" t="s">
        <v>48</v>
      </c>
      <c r="Q90" s="1">
        <v>0</v>
      </c>
      <c r="R90" s="1" t="s">
        <v>48</v>
      </c>
      <c r="S90" s="1" t="s">
        <v>48</v>
      </c>
      <c r="T90" s="1">
        <v>0</v>
      </c>
      <c r="U90" s="1">
        <v>0</v>
      </c>
    </row>
    <row r="91" spans="1:21" s="1" customFormat="1">
      <c r="A91" s="4">
        <v>45426</v>
      </c>
      <c r="B91" s="1" t="s">
        <v>48</v>
      </c>
      <c r="C91" s="1">
        <v>0</v>
      </c>
      <c r="D91" s="1">
        <v>0</v>
      </c>
      <c r="E91" s="1">
        <v>0</v>
      </c>
      <c r="F91" s="1" t="s">
        <v>48</v>
      </c>
      <c r="G91" s="1">
        <v>0</v>
      </c>
      <c r="H91" s="1">
        <v>0</v>
      </c>
      <c r="I91" s="1">
        <v>0</v>
      </c>
      <c r="J91" s="1" t="s">
        <v>48</v>
      </c>
      <c r="K91" s="1">
        <v>0</v>
      </c>
      <c r="L91" s="1">
        <v>0</v>
      </c>
      <c r="M91" s="1">
        <v>0</v>
      </c>
      <c r="N91" s="1" t="s">
        <v>48</v>
      </c>
      <c r="O91" s="1">
        <v>0</v>
      </c>
      <c r="P91" s="1">
        <v>0</v>
      </c>
      <c r="Q91" s="1" t="s">
        <v>48</v>
      </c>
      <c r="R91" s="1" t="s">
        <v>48</v>
      </c>
      <c r="S91" s="1">
        <v>0</v>
      </c>
      <c r="T91" s="1" t="s">
        <v>48</v>
      </c>
      <c r="U91" s="1">
        <v>0</v>
      </c>
    </row>
    <row r="92" spans="1:21" s="1" customFormat="1">
      <c r="A92" s="4">
        <v>45427</v>
      </c>
      <c r="B92" s="1" t="s">
        <v>48</v>
      </c>
      <c r="C92" s="1">
        <v>0</v>
      </c>
      <c r="D92" s="1">
        <v>0</v>
      </c>
      <c r="E92" s="1">
        <v>0</v>
      </c>
      <c r="F92" s="1" t="s">
        <v>48</v>
      </c>
      <c r="G92" s="1">
        <v>0</v>
      </c>
      <c r="H92" s="1">
        <v>0</v>
      </c>
      <c r="I92" s="1">
        <v>0</v>
      </c>
      <c r="J92" s="1" t="s">
        <v>48</v>
      </c>
      <c r="K92" s="1">
        <v>0</v>
      </c>
      <c r="L92" s="1">
        <v>0</v>
      </c>
      <c r="M92" s="1">
        <v>0</v>
      </c>
      <c r="N92" s="1" t="s">
        <v>48</v>
      </c>
      <c r="O92" s="1">
        <v>0</v>
      </c>
      <c r="P92" s="1">
        <v>0</v>
      </c>
      <c r="Q92" s="1">
        <v>0</v>
      </c>
      <c r="R92" s="1" t="s">
        <v>48</v>
      </c>
      <c r="S92" s="1">
        <v>0</v>
      </c>
      <c r="T92" s="1">
        <v>0</v>
      </c>
      <c r="U92" s="1" t="s">
        <v>48</v>
      </c>
    </row>
    <row r="93" spans="1:21" s="1" customFormat="1">
      <c r="A93" s="4">
        <v>45428</v>
      </c>
      <c r="B93" s="1" t="s">
        <v>48</v>
      </c>
      <c r="C93" s="1">
        <v>0</v>
      </c>
      <c r="D93" s="1">
        <v>0</v>
      </c>
      <c r="E93" s="1">
        <v>0</v>
      </c>
      <c r="F93" s="1" t="s">
        <v>48</v>
      </c>
      <c r="G93" s="1">
        <v>0</v>
      </c>
      <c r="H93" s="1">
        <v>0</v>
      </c>
      <c r="I93" s="1">
        <v>0</v>
      </c>
      <c r="J93" s="1" t="s">
        <v>48</v>
      </c>
      <c r="K93" s="1">
        <v>0</v>
      </c>
      <c r="L93" s="1">
        <v>0</v>
      </c>
      <c r="M93" s="1">
        <v>0</v>
      </c>
      <c r="N93" s="1" t="s">
        <v>48</v>
      </c>
      <c r="O93" s="1">
        <v>0</v>
      </c>
      <c r="P93" s="1">
        <v>0</v>
      </c>
      <c r="Q93" s="1">
        <v>0</v>
      </c>
      <c r="R93" s="1" t="s">
        <v>48</v>
      </c>
      <c r="S93" s="1">
        <v>0</v>
      </c>
      <c r="T93" s="1">
        <v>0</v>
      </c>
      <c r="U93" s="1">
        <v>0</v>
      </c>
    </row>
    <row r="94" spans="1:21" s="1" customFormat="1">
      <c r="A94" s="4">
        <v>45429</v>
      </c>
      <c r="B94" s="1" t="s">
        <v>48</v>
      </c>
      <c r="C94" s="1">
        <v>0</v>
      </c>
      <c r="D94" s="1">
        <v>0</v>
      </c>
      <c r="E94" s="1">
        <v>0</v>
      </c>
      <c r="F94" s="1" t="s">
        <v>48</v>
      </c>
      <c r="G94" s="1">
        <v>0</v>
      </c>
      <c r="H94" s="1">
        <v>0</v>
      </c>
      <c r="I94" s="1">
        <v>0</v>
      </c>
      <c r="J94" s="1" t="s">
        <v>48</v>
      </c>
      <c r="K94" s="1">
        <v>0</v>
      </c>
      <c r="L94" s="1">
        <v>0</v>
      </c>
      <c r="M94" s="1">
        <v>0</v>
      </c>
      <c r="N94" s="1" t="s">
        <v>48</v>
      </c>
      <c r="O94" s="1" t="s">
        <v>48</v>
      </c>
      <c r="P94" s="1" t="s">
        <v>48</v>
      </c>
      <c r="Q94" s="1">
        <v>0</v>
      </c>
      <c r="R94" s="1" t="s">
        <v>48</v>
      </c>
      <c r="S94" s="1">
        <v>0</v>
      </c>
      <c r="T94" s="1">
        <v>0</v>
      </c>
      <c r="U94" s="1">
        <v>0</v>
      </c>
    </row>
    <row r="95" spans="1:21" s="1" customFormat="1">
      <c r="A95" s="4">
        <v>45433</v>
      </c>
      <c r="B95" s="1" t="s">
        <v>48</v>
      </c>
      <c r="C95" s="1">
        <v>0</v>
      </c>
      <c r="D95" s="1">
        <v>0</v>
      </c>
      <c r="E95" s="1">
        <v>0</v>
      </c>
      <c r="F95" s="1" t="s">
        <v>48</v>
      </c>
      <c r="G95" s="1">
        <v>0</v>
      </c>
      <c r="H95" s="1">
        <v>0</v>
      </c>
      <c r="I95" s="1">
        <v>0</v>
      </c>
      <c r="J95" s="1" t="s">
        <v>48</v>
      </c>
      <c r="K95" s="1" t="s">
        <v>48</v>
      </c>
      <c r="L95" s="1">
        <v>0</v>
      </c>
      <c r="M95" s="1">
        <v>0</v>
      </c>
      <c r="N95" s="1" t="s">
        <v>48</v>
      </c>
      <c r="O95" s="1">
        <v>0</v>
      </c>
      <c r="P95" s="1">
        <v>0</v>
      </c>
      <c r="Q95" s="1" t="s">
        <v>48</v>
      </c>
      <c r="R95" s="1" t="s">
        <v>48</v>
      </c>
      <c r="S95" s="1" t="s">
        <v>48</v>
      </c>
      <c r="T95" s="1" t="s">
        <v>48</v>
      </c>
      <c r="U95" s="1">
        <v>0</v>
      </c>
    </row>
    <row r="96" spans="1:21" s="1" customFormat="1">
      <c r="A96" s="4">
        <v>45434</v>
      </c>
      <c r="B96" s="1" t="s">
        <v>48</v>
      </c>
      <c r="C96" s="1">
        <v>0</v>
      </c>
      <c r="D96" s="1">
        <v>0</v>
      </c>
      <c r="E96" s="1">
        <v>0</v>
      </c>
      <c r="F96" s="1" t="s">
        <v>48</v>
      </c>
      <c r="G96" s="1" t="s">
        <v>48</v>
      </c>
      <c r="H96" s="1">
        <v>0</v>
      </c>
      <c r="I96" s="1">
        <v>0</v>
      </c>
      <c r="J96" s="1" t="s">
        <v>48</v>
      </c>
      <c r="K96" s="1">
        <v>0</v>
      </c>
      <c r="L96" s="1" t="s">
        <v>48</v>
      </c>
      <c r="M96" s="1">
        <v>0</v>
      </c>
      <c r="N96" s="1" t="s">
        <v>48</v>
      </c>
      <c r="O96" s="1">
        <v>0</v>
      </c>
      <c r="P96" s="1">
        <v>0</v>
      </c>
      <c r="Q96" s="1">
        <v>0</v>
      </c>
      <c r="R96" s="1" t="s">
        <v>48</v>
      </c>
      <c r="S96" s="1">
        <v>0</v>
      </c>
      <c r="T96" s="1">
        <v>0</v>
      </c>
      <c r="U96" s="1" t="s">
        <v>48</v>
      </c>
    </row>
    <row r="97" spans="1:21" s="1" customFormat="1">
      <c r="A97" s="4">
        <v>45435</v>
      </c>
      <c r="B97" s="1" t="s">
        <v>48</v>
      </c>
      <c r="C97" s="1" t="s">
        <v>48</v>
      </c>
      <c r="D97" s="1">
        <v>0</v>
      </c>
      <c r="E97" s="1">
        <v>0</v>
      </c>
      <c r="F97" s="1" t="s">
        <v>48</v>
      </c>
      <c r="G97" s="1">
        <v>0</v>
      </c>
      <c r="H97" s="1" t="s">
        <v>48</v>
      </c>
      <c r="I97" s="1">
        <v>0</v>
      </c>
      <c r="J97" s="1" t="s">
        <v>48</v>
      </c>
      <c r="K97" s="1">
        <v>0</v>
      </c>
      <c r="L97" s="1">
        <v>0</v>
      </c>
      <c r="M97" s="1" t="s">
        <v>48</v>
      </c>
      <c r="N97" s="1" t="s">
        <v>48</v>
      </c>
      <c r="O97" s="1">
        <v>0</v>
      </c>
      <c r="P97" s="1">
        <v>0</v>
      </c>
      <c r="Q97" s="1">
        <v>0</v>
      </c>
      <c r="R97" s="1" t="s">
        <v>48</v>
      </c>
      <c r="S97" s="1">
        <v>0</v>
      </c>
      <c r="T97" s="1">
        <v>0</v>
      </c>
      <c r="U97" s="1">
        <v>0</v>
      </c>
    </row>
    <row r="98" spans="1:21" s="1" customFormat="1">
      <c r="A98" s="4">
        <v>45436</v>
      </c>
      <c r="B98" s="1" t="s">
        <v>48</v>
      </c>
      <c r="C98" s="1">
        <v>0</v>
      </c>
      <c r="D98" s="1" t="s">
        <v>48</v>
      </c>
      <c r="E98" s="1">
        <v>0</v>
      </c>
      <c r="F98" s="1" t="s">
        <v>48</v>
      </c>
      <c r="G98" s="1">
        <v>0</v>
      </c>
      <c r="H98" s="1">
        <v>0</v>
      </c>
      <c r="I98" s="1" t="s">
        <v>48</v>
      </c>
      <c r="J98" s="1" t="s">
        <v>48</v>
      </c>
      <c r="K98" s="1">
        <v>0</v>
      </c>
      <c r="L98" s="1">
        <v>0</v>
      </c>
      <c r="M98" s="1">
        <v>0</v>
      </c>
      <c r="N98" s="1" t="s">
        <v>48</v>
      </c>
      <c r="O98" s="1" t="s">
        <v>48</v>
      </c>
      <c r="P98" s="1">
        <v>0</v>
      </c>
      <c r="Q98" s="1">
        <v>0</v>
      </c>
      <c r="R98" s="1" t="s">
        <v>48</v>
      </c>
      <c r="S98" s="1">
        <v>0</v>
      </c>
      <c r="T98" s="1">
        <v>0</v>
      </c>
      <c r="U98" s="1">
        <v>0</v>
      </c>
    </row>
    <row r="99" spans="1:21" s="1" customFormat="1">
      <c r="A99" s="4">
        <v>45439</v>
      </c>
      <c r="B99" s="1" t="s">
        <v>48</v>
      </c>
      <c r="C99" s="1">
        <v>0</v>
      </c>
      <c r="D99" s="1">
        <v>0</v>
      </c>
      <c r="E99" s="1" t="s">
        <v>48</v>
      </c>
      <c r="F99" s="1" t="s">
        <v>48</v>
      </c>
      <c r="G99" s="1">
        <v>0</v>
      </c>
      <c r="H99" s="1">
        <v>0</v>
      </c>
      <c r="I99" s="1">
        <v>0</v>
      </c>
      <c r="J99" s="1" t="s">
        <v>48</v>
      </c>
      <c r="K99" s="1">
        <v>0</v>
      </c>
      <c r="L99" s="1">
        <v>0</v>
      </c>
      <c r="M99" s="1">
        <v>0</v>
      </c>
      <c r="N99" s="1" t="s">
        <v>48</v>
      </c>
      <c r="O99" s="1">
        <v>0</v>
      </c>
      <c r="P99" s="1" t="s">
        <v>48</v>
      </c>
      <c r="Q99" s="1">
        <v>0</v>
      </c>
      <c r="R99" s="1" t="s">
        <v>48</v>
      </c>
      <c r="S99" s="1" t="s">
        <v>48</v>
      </c>
      <c r="T99" s="1">
        <v>0</v>
      </c>
      <c r="U99" s="1">
        <v>0</v>
      </c>
    </row>
    <row r="100" spans="1:21" s="1" customFormat="1">
      <c r="A100" s="4">
        <v>45440</v>
      </c>
      <c r="B100" s="1" t="s">
        <v>48</v>
      </c>
      <c r="C100" s="1">
        <v>0</v>
      </c>
      <c r="D100" s="1">
        <v>0</v>
      </c>
      <c r="E100" s="1">
        <v>0</v>
      </c>
      <c r="F100" s="1" t="s">
        <v>48</v>
      </c>
      <c r="G100" s="1">
        <v>0</v>
      </c>
      <c r="H100" s="1">
        <v>0</v>
      </c>
      <c r="I100" s="1">
        <v>0</v>
      </c>
      <c r="J100" s="1" t="s">
        <v>48</v>
      </c>
      <c r="K100" s="1">
        <v>0</v>
      </c>
      <c r="L100" s="1">
        <v>0</v>
      </c>
      <c r="M100" s="1">
        <v>0</v>
      </c>
      <c r="N100" s="1" t="s">
        <v>48</v>
      </c>
      <c r="O100" s="1">
        <v>0</v>
      </c>
      <c r="P100" s="1">
        <v>0</v>
      </c>
      <c r="Q100" s="1" t="s">
        <v>48</v>
      </c>
      <c r="R100" s="1" t="s">
        <v>48</v>
      </c>
      <c r="S100" s="1">
        <v>0</v>
      </c>
      <c r="T100" s="1" t="s">
        <v>48</v>
      </c>
      <c r="U100" s="1">
        <v>0</v>
      </c>
    </row>
    <row r="101" spans="1:21" s="1" customFormat="1">
      <c r="A101" s="4">
        <v>45441</v>
      </c>
      <c r="B101" s="1" t="s">
        <v>48</v>
      </c>
      <c r="C101" s="1">
        <v>0</v>
      </c>
      <c r="D101" s="1">
        <v>0</v>
      </c>
      <c r="E101" s="1">
        <v>0</v>
      </c>
      <c r="F101" s="1" t="s">
        <v>48</v>
      </c>
      <c r="G101" s="1">
        <v>0</v>
      </c>
      <c r="H101" s="1">
        <v>0</v>
      </c>
      <c r="I101" s="1">
        <v>0</v>
      </c>
      <c r="J101" s="1" t="s">
        <v>48</v>
      </c>
      <c r="K101" s="1">
        <v>0</v>
      </c>
      <c r="L101" s="1">
        <v>0</v>
      </c>
      <c r="M101" s="1">
        <v>0</v>
      </c>
      <c r="N101" s="1" t="s">
        <v>48</v>
      </c>
      <c r="O101" s="1">
        <v>0</v>
      </c>
      <c r="P101" s="1">
        <v>0</v>
      </c>
      <c r="Q101" s="1">
        <v>0</v>
      </c>
      <c r="R101" s="1" t="s">
        <v>48</v>
      </c>
      <c r="S101" s="1">
        <v>0</v>
      </c>
      <c r="T101" s="1">
        <v>0</v>
      </c>
      <c r="U101" s="1" t="s">
        <v>48</v>
      </c>
    </row>
    <row r="102" spans="1:21" s="1" customFormat="1">
      <c r="A102" s="4">
        <v>45442</v>
      </c>
      <c r="B102" s="1" t="s">
        <v>48</v>
      </c>
      <c r="C102" s="1">
        <v>0</v>
      </c>
      <c r="D102" s="1">
        <v>0</v>
      </c>
      <c r="E102" s="1">
        <v>0</v>
      </c>
      <c r="F102" s="1" t="s">
        <v>48</v>
      </c>
      <c r="G102" s="1">
        <v>0</v>
      </c>
      <c r="H102" s="1">
        <v>0</v>
      </c>
      <c r="I102" s="1">
        <v>0</v>
      </c>
      <c r="J102" s="1" t="s">
        <v>48</v>
      </c>
      <c r="K102" s="1">
        <v>0</v>
      </c>
      <c r="L102" s="1">
        <v>0</v>
      </c>
      <c r="M102" s="1">
        <v>0</v>
      </c>
      <c r="N102" s="1" t="s">
        <v>48</v>
      </c>
      <c r="O102" s="1">
        <v>0</v>
      </c>
      <c r="P102" s="1">
        <v>0</v>
      </c>
      <c r="Q102" s="1">
        <v>0</v>
      </c>
      <c r="R102" s="1" t="s">
        <v>48</v>
      </c>
      <c r="S102" s="1">
        <v>0</v>
      </c>
      <c r="T102" s="1">
        <v>0</v>
      </c>
      <c r="U102" s="1">
        <v>0</v>
      </c>
    </row>
    <row r="103" spans="1:21" s="1" customFormat="1">
      <c r="A103" s="4">
        <v>45443</v>
      </c>
      <c r="B103" s="1" t="s">
        <v>48</v>
      </c>
      <c r="C103" s="1">
        <v>0</v>
      </c>
      <c r="D103" s="1">
        <v>0</v>
      </c>
      <c r="E103" s="1">
        <v>0</v>
      </c>
      <c r="F103" s="1" t="s">
        <v>48</v>
      </c>
      <c r="G103" s="1">
        <v>0</v>
      </c>
      <c r="H103" s="1">
        <v>0</v>
      </c>
      <c r="I103" s="1">
        <v>0</v>
      </c>
      <c r="J103" s="1" t="s">
        <v>48</v>
      </c>
      <c r="K103" s="1">
        <v>0</v>
      </c>
      <c r="L103" s="1">
        <v>0</v>
      </c>
      <c r="M103" s="1">
        <v>0</v>
      </c>
      <c r="N103" s="1" t="s">
        <v>48</v>
      </c>
      <c r="O103" s="1" t="s">
        <v>56</v>
      </c>
      <c r="P103" s="1">
        <v>0</v>
      </c>
      <c r="Q103" s="1">
        <v>0</v>
      </c>
      <c r="R103" s="1" t="s">
        <v>48</v>
      </c>
      <c r="S103" s="1">
        <v>0</v>
      </c>
      <c r="T103" s="1">
        <v>0</v>
      </c>
      <c r="U103" s="1">
        <v>0</v>
      </c>
    </row>
    <row r="104" spans="1:21" s="1" customFormat="1">
      <c r="A104" s="4">
        <v>45446</v>
      </c>
      <c r="B104" s="1" t="s">
        <v>48</v>
      </c>
      <c r="C104" s="1">
        <v>0</v>
      </c>
      <c r="D104" s="1">
        <v>0</v>
      </c>
      <c r="E104" s="1">
        <v>0</v>
      </c>
      <c r="F104" s="1" t="s">
        <v>48</v>
      </c>
      <c r="G104" s="1">
        <v>0</v>
      </c>
      <c r="H104" s="1">
        <v>0</v>
      </c>
      <c r="I104" s="1">
        <v>0</v>
      </c>
      <c r="J104" s="1" t="s">
        <v>48</v>
      </c>
      <c r="K104" s="1">
        <v>0</v>
      </c>
      <c r="L104" s="1">
        <v>0</v>
      </c>
      <c r="M104" s="1">
        <v>0</v>
      </c>
      <c r="N104" s="1" t="s">
        <v>48</v>
      </c>
      <c r="O104" s="1">
        <v>0</v>
      </c>
      <c r="P104" s="1" t="s">
        <v>50</v>
      </c>
      <c r="Q104" s="1">
        <v>0</v>
      </c>
      <c r="R104" s="1" t="s">
        <v>48</v>
      </c>
      <c r="S104" s="1" t="s">
        <v>71</v>
      </c>
      <c r="T104" s="1">
        <v>0</v>
      </c>
      <c r="U104" s="1">
        <v>0</v>
      </c>
    </row>
    <row r="105" spans="1:21" s="1" customFormat="1">
      <c r="A105" s="4">
        <v>45447</v>
      </c>
      <c r="B105" s="1" t="s">
        <v>48</v>
      </c>
      <c r="C105" s="1">
        <v>0</v>
      </c>
      <c r="D105" s="1">
        <v>0</v>
      </c>
      <c r="E105" s="1">
        <v>0</v>
      </c>
      <c r="F105" s="1" t="s">
        <v>48</v>
      </c>
      <c r="G105" s="1">
        <v>0</v>
      </c>
      <c r="H105" s="1">
        <v>0</v>
      </c>
      <c r="I105" s="1">
        <v>0</v>
      </c>
      <c r="J105" s="1" t="s">
        <v>48</v>
      </c>
      <c r="K105" s="1">
        <v>0</v>
      </c>
      <c r="L105" s="1">
        <v>0</v>
      </c>
      <c r="M105" s="1">
        <v>0</v>
      </c>
      <c r="N105" s="1" t="s">
        <v>48</v>
      </c>
      <c r="O105" s="1">
        <v>0</v>
      </c>
      <c r="P105" s="1">
        <v>0</v>
      </c>
      <c r="Q105" s="1" t="s">
        <v>48</v>
      </c>
      <c r="R105" s="1" t="s">
        <v>48</v>
      </c>
      <c r="S105" s="1">
        <v>0</v>
      </c>
      <c r="T105" s="1" t="s">
        <v>48</v>
      </c>
      <c r="U105" s="1">
        <v>0</v>
      </c>
    </row>
    <row r="106" spans="1:21" s="1" customFormat="1">
      <c r="A106" s="4">
        <v>45448</v>
      </c>
      <c r="B106" s="1" t="s">
        <v>48</v>
      </c>
      <c r="C106" s="1">
        <v>0</v>
      </c>
      <c r="D106" s="1">
        <v>0</v>
      </c>
      <c r="E106" s="1">
        <v>0</v>
      </c>
      <c r="F106" s="1" t="s">
        <v>48</v>
      </c>
      <c r="G106" s="1">
        <v>0</v>
      </c>
      <c r="H106" s="1">
        <v>0</v>
      </c>
      <c r="I106" s="1">
        <v>0</v>
      </c>
      <c r="J106" s="1" t="s">
        <v>48</v>
      </c>
      <c r="K106" s="1">
        <v>0</v>
      </c>
      <c r="L106" s="1">
        <v>0</v>
      </c>
      <c r="M106" s="1">
        <v>0</v>
      </c>
      <c r="N106" s="1" t="s">
        <v>48</v>
      </c>
      <c r="O106" s="1">
        <v>0</v>
      </c>
      <c r="P106" s="1">
        <v>0</v>
      </c>
      <c r="Q106" s="1">
        <v>0</v>
      </c>
      <c r="R106" s="1" t="s">
        <v>48</v>
      </c>
      <c r="S106" s="1">
        <v>0</v>
      </c>
      <c r="T106" s="1">
        <v>0</v>
      </c>
      <c r="U106" s="1" t="s">
        <v>48</v>
      </c>
    </row>
    <row r="107" spans="1:21" s="1" customFormat="1">
      <c r="A107" s="4">
        <v>45449</v>
      </c>
      <c r="B107" s="1" t="s">
        <v>48</v>
      </c>
      <c r="C107" s="1">
        <v>0</v>
      </c>
      <c r="D107" s="1">
        <v>0</v>
      </c>
      <c r="E107" s="1">
        <v>0</v>
      </c>
      <c r="F107" s="1" t="s">
        <v>48</v>
      </c>
      <c r="G107" s="1">
        <v>0</v>
      </c>
      <c r="H107" s="1">
        <v>0</v>
      </c>
      <c r="I107" s="1">
        <v>0</v>
      </c>
      <c r="J107" s="1" t="s">
        <v>48</v>
      </c>
      <c r="K107" s="1">
        <v>0</v>
      </c>
      <c r="L107" s="1">
        <v>0</v>
      </c>
      <c r="M107" s="1">
        <v>0</v>
      </c>
      <c r="N107" s="1" t="s">
        <v>50</v>
      </c>
      <c r="O107" s="1">
        <v>0</v>
      </c>
      <c r="P107" s="1">
        <v>0</v>
      </c>
      <c r="Q107" s="1">
        <v>0</v>
      </c>
      <c r="R107" s="1" t="s">
        <v>48</v>
      </c>
      <c r="S107" s="1">
        <v>0</v>
      </c>
      <c r="T107" s="1">
        <v>0</v>
      </c>
      <c r="U107" s="1">
        <v>0</v>
      </c>
    </row>
    <row r="108" spans="1:21" s="1" customFormat="1">
      <c r="A108" s="4">
        <v>45450</v>
      </c>
      <c r="B108" s="1" t="s">
        <v>48</v>
      </c>
      <c r="C108" s="1">
        <v>0</v>
      </c>
      <c r="D108" s="1">
        <v>0</v>
      </c>
      <c r="E108" s="1">
        <v>0</v>
      </c>
      <c r="F108" s="1" t="s">
        <v>48</v>
      </c>
      <c r="G108" s="1">
        <v>0</v>
      </c>
      <c r="H108" s="1">
        <v>0</v>
      </c>
      <c r="I108" s="1">
        <v>0</v>
      </c>
      <c r="J108" s="1" t="s">
        <v>48</v>
      </c>
      <c r="K108" s="1">
        <v>0</v>
      </c>
      <c r="L108" s="1">
        <v>0</v>
      </c>
      <c r="M108" s="1">
        <v>0</v>
      </c>
      <c r="N108" s="1" t="s">
        <v>48</v>
      </c>
      <c r="O108" s="1" t="s">
        <v>48</v>
      </c>
      <c r="P108" s="1">
        <v>0</v>
      </c>
      <c r="Q108" s="1">
        <v>0</v>
      </c>
      <c r="R108" s="1" t="s">
        <v>48</v>
      </c>
      <c r="S108" s="1">
        <v>0</v>
      </c>
      <c r="T108" s="1">
        <v>0</v>
      </c>
      <c r="U108" s="1">
        <v>0</v>
      </c>
    </row>
    <row r="109" spans="1:21" s="1" customFormat="1">
      <c r="A109" s="4">
        <v>45453</v>
      </c>
      <c r="B109" s="1" t="s">
        <v>48</v>
      </c>
      <c r="C109" s="1">
        <v>0</v>
      </c>
      <c r="D109" s="1">
        <v>0</v>
      </c>
      <c r="E109" s="1">
        <v>0</v>
      </c>
      <c r="F109" s="1" t="s">
        <v>48</v>
      </c>
      <c r="G109" s="1">
        <v>0</v>
      </c>
      <c r="H109" s="1">
        <v>0</v>
      </c>
      <c r="I109" s="1">
        <v>0</v>
      </c>
      <c r="J109" s="1" t="s">
        <v>48</v>
      </c>
      <c r="K109" s="1">
        <v>0</v>
      </c>
      <c r="L109" s="1">
        <v>0</v>
      </c>
      <c r="M109" s="1">
        <v>0</v>
      </c>
      <c r="N109" s="1" t="s">
        <v>48</v>
      </c>
      <c r="O109" s="1">
        <v>0</v>
      </c>
      <c r="P109" s="1" t="s">
        <v>48</v>
      </c>
      <c r="Q109" s="1">
        <v>0</v>
      </c>
      <c r="R109" s="1" t="s">
        <v>48</v>
      </c>
      <c r="S109" s="1" t="s">
        <v>48</v>
      </c>
      <c r="T109" s="1">
        <v>0</v>
      </c>
      <c r="U109" s="1">
        <v>0</v>
      </c>
    </row>
    <row r="110" spans="1:21" s="1" customFormat="1">
      <c r="A110" s="4">
        <v>45454</v>
      </c>
      <c r="B110" s="1" t="s">
        <v>48</v>
      </c>
      <c r="C110" s="1">
        <v>0</v>
      </c>
      <c r="D110" s="1">
        <v>0</v>
      </c>
      <c r="E110" s="1">
        <v>0</v>
      </c>
      <c r="F110" s="1" t="s">
        <v>48</v>
      </c>
      <c r="G110" s="1">
        <v>0</v>
      </c>
      <c r="H110" s="1">
        <v>0</v>
      </c>
      <c r="I110" s="1">
        <v>0</v>
      </c>
      <c r="J110" s="1" t="s">
        <v>48</v>
      </c>
      <c r="K110" s="1">
        <v>0</v>
      </c>
      <c r="L110" s="1">
        <v>0</v>
      </c>
      <c r="M110" s="1">
        <v>0</v>
      </c>
      <c r="N110" s="1" t="s">
        <v>48</v>
      </c>
      <c r="O110" s="1">
        <v>0</v>
      </c>
      <c r="P110" s="1">
        <v>0</v>
      </c>
      <c r="Q110" s="1" t="s">
        <v>48</v>
      </c>
      <c r="R110" s="1" t="s">
        <v>48</v>
      </c>
      <c r="S110" s="1">
        <v>0</v>
      </c>
      <c r="T110" s="1" t="s">
        <v>48</v>
      </c>
      <c r="U110" s="1">
        <v>0</v>
      </c>
    </row>
    <row r="111" spans="1:21" s="1" customFormat="1">
      <c r="A111" s="4">
        <v>45455</v>
      </c>
      <c r="B111" s="1" t="s">
        <v>48</v>
      </c>
      <c r="C111" s="1">
        <v>0</v>
      </c>
      <c r="D111" s="1">
        <v>0</v>
      </c>
      <c r="E111" s="1">
        <v>0</v>
      </c>
      <c r="F111" s="1" t="s">
        <v>48</v>
      </c>
      <c r="G111" s="1">
        <v>0</v>
      </c>
      <c r="H111" s="1">
        <v>0</v>
      </c>
      <c r="I111" s="1">
        <v>0</v>
      </c>
      <c r="J111" s="1" t="s">
        <v>48</v>
      </c>
      <c r="K111" s="1">
        <v>0</v>
      </c>
      <c r="L111" s="1">
        <v>0</v>
      </c>
      <c r="M111" s="1">
        <v>0</v>
      </c>
      <c r="N111" s="1" t="s">
        <v>48</v>
      </c>
      <c r="O111" s="1">
        <v>0</v>
      </c>
      <c r="P111" s="1">
        <v>0</v>
      </c>
      <c r="Q111" s="1">
        <v>0</v>
      </c>
      <c r="R111" s="1" t="s">
        <v>48</v>
      </c>
      <c r="S111" s="1">
        <v>0</v>
      </c>
      <c r="T111" s="1">
        <v>0</v>
      </c>
      <c r="U111" s="1" t="s">
        <v>48</v>
      </c>
    </row>
    <row r="112" spans="1:21" s="1" customFormat="1">
      <c r="A112" s="4">
        <v>45456</v>
      </c>
      <c r="B112" s="1" t="s">
        <v>48</v>
      </c>
      <c r="C112" s="1">
        <v>0</v>
      </c>
      <c r="D112" s="1">
        <v>0</v>
      </c>
      <c r="E112" s="1">
        <v>0</v>
      </c>
      <c r="F112" s="1" t="s">
        <v>48</v>
      </c>
      <c r="G112" s="1">
        <v>0</v>
      </c>
      <c r="H112" s="1">
        <v>0</v>
      </c>
      <c r="I112" s="1">
        <v>0</v>
      </c>
      <c r="J112" s="1" t="s">
        <v>48</v>
      </c>
      <c r="K112" s="1">
        <v>0</v>
      </c>
      <c r="L112" s="1">
        <v>0</v>
      </c>
      <c r="M112" s="1">
        <v>0</v>
      </c>
      <c r="N112" s="1" t="s">
        <v>51</v>
      </c>
      <c r="O112" s="1">
        <v>0</v>
      </c>
      <c r="P112" s="1">
        <v>0</v>
      </c>
      <c r="Q112" s="1">
        <v>0</v>
      </c>
      <c r="R112" s="1" t="s">
        <v>48</v>
      </c>
      <c r="S112" s="1">
        <v>0</v>
      </c>
      <c r="T112" s="1">
        <v>0</v>
      </c>
      <c r="U112" s="1">
        <v>0</v>
      </c>
    </row>
    <row r="113" spans="1:21" s="1" customFormat="1">
      <c r="A113" s="4">
        <v>45457</v>
      </c>
      <c r="B113" s="1" t="s">
        <v>48</v>
      </c>
      <c r="C113" s="1">
        <v>0</v>
      </c>
      <c r="D113" s="1">
        <v>0</v>
      </c>
      <c r="E113" s="1">
        <v>0</v>
      </c>
      <c r="F113" s="1" t="s">
        <v>48</v>
      </c>
      <c r="G113" s="1">
        <v>0</v>
      </c>
      <c r="H113" s="1">
        <v>0</v>
      </c>
      <c r="I113" s="1">
        <v>0</v>
      </c>
      <c r="J113" s="1" t="s">
        <v>48</v>
      </c>
      <c r="K113" s="1">
        <v>0</v>
      </c>
      <c r="L113" s="1">
        <v>0</v>
      </c>
      <c r="M113" s="1">
        <v>0</v>
      </c>
      <c r="N113" s="1" t="s">
        <v>48</v>
      </c>
      <c r="O113" s="1" t="s">
        <v>48</v>
      </c>
      <c r="P113" s="1" t="s">
        <v>48</v>
      </c>
      <c r="Q113" s="1">
        <v>0</v>
      </c>
      <c r="R113" s="1" t="s">
        <v>60</v>
      </c>
      <c r="S113" s="1">
        <v>0</v>
      </c>
      <c r="T113" s="1">
        <v>0</v>
      </c>
      <c r="U113" s="1">
        <v>0</v>
      </c>
    </row>
    <row r="114" spans="1:21" s="1" customFormat="1">
      <c r="A114" s="4">
        <v>45461</v>
      </c>
      <c r="B114" s="1" t="s">
        <v>48</v>
      </c>
      <c r="C114" s="1">
        <v>0</v>
      </c>
      <c r="D114" s="1">
        <v>0</v>
      </c>
      <c r="E114" s="1">
        <v>0</v>
      </c>
      <c r="F114" s="1" t="s">
        <v>48</v>
      </c>
      <c r="G114" s="1">
        <v>0</v>
      </c>
      <c r="H114" s="1">
        <v>0</v>
      </c>
      <c r="I114" s="1">
        <v>0</v>
      </c>
      <c r="J114" s="1" t="s">
        <v>48</v>
      </c>
      <c r="K114" s="1" t="s">
        <v>48</v>
      </c>
      <c r="L114" s="1">
        <v>0</v>
      </c>
      <c r="M114" s="1">
        <v>0</v>
      </c>
      <c r="N114" s="1" t="s">
        <v>48</v>
      </c>
      <c r="O114" s="1">
        <v>0</v>
      </c>
      <c r="P114" s="1">
        <v>0</v>
      </c>
      <c r="Q114" s="1" t="s">
        <v>48</v>
      </c>
      <c r="R114" s="1" t="s">
        <v>48</v>
      </c>
      <c r="S114" s="1" t="s">
        <v>48</v>
      </c>
      <c r="T114" s="1" t="s">
        <v>48</v>
      </c>
      <c r="U114" s="1">
        <v>0</v>
      </c>
    </row>
    <row r="115" spans="1:21" s="1" customFormat="1">
      <c r="A115" s="4">
        <v>45462</v>
      </c>
      <c r="B115" s="1" t="s">
        <v>48</v>
      </c>
      <c r="C115" s="1">
        <v>0</v>
      </c>
      <c r="D115" s="1">
        <v>0</v>
      </c>
      <c r="E115" s="1">
        <v>0</v>
      </c>
      <c r="F115" s="1" t="s">
        <v>48</v>
      </c>
      <c r="G115" s="1" t="s">
        <v>48</v>
      </c>
      <c r="H115" s="1">
        <v>0</v>
      </c>
      <c r="I115" s="1">
        <v>0</v>
      </c>
      <c r="J115" s="1" t="s">
        <v>48</v>
      </c>
      <c r="K115" s="1">
        <v>0</v>
      </c>
      <c r="L115" s="1" t="s">
        <v>48</v>
      </c>
      <c r="M115" s="1">
        <v>0</v>
      </c>
      <c r="N115" s="1" t="s">
        <v>48</v>
      </c>
      <c r="O115" s="1">
        <v>0</v>
      </c>
      <c r="P115" s="1">
        <v>0</v>
      </c>
      <c r="Q115" s="1">
        <v>0</v>
      </c>
      <c r="R115" s="1" t="s">
        <v>48</v>
      </c>
      <c r="S115" s="1">
        <v>0</v>
      </c>
      <c r="T115" s="1">
        <v>0</v>
      </c>
      <c r="U115" s="1" t="s">
        <v>48</v>
      </c>
    </row>
    <row r="116" spans="1:21" s="1" customFormat="1">
      <c r="A116" s="4">
        <v>45463</v>
      </c>
      <c r="B116" s="1" t="s">
        <v>48</v>
      </c>
      <c r="C116" s="1" t="s">
        <v>48</v>
      </c>
      <c r="D116" s="1">
        <v>0</v>
      </c>
      <c r="E116" s="1">
        <v>0</v>
      </c>
      <c r="F116" s="1" t="s">
        <v>48</v>
      </c>
      <c r="G116" s="1">
        <v>0</v>
      </c>
      <c r="H116" s="1" t="s">
        <v>48</v>
      </c>
      <c r="I116" s="1">
        <v>0</v>
      </c>
      <c r="J116" s="1" t="s">
        <v>48</v>
      </c>
      <c r="K116" s="1">
        <v>0</v>
      </c>
      <c r="L116" s="1">
        <v>0</v>
      </c>
      <c r="M116" s="1" t="s">
        <v>48</v>
      </c>
      <c r="N116" s="1" t="s">
        <v>48</v>
      </c>
      <c r="O116" s="1">
        <v>0</v>
      </c>
      <c r="P116" s="1">
        <v>0</v>
      </c>
      <c r="Q116" s="1">
        <v>0</v>
      </c>
      <c r="R116" s="1" t="s">
        <v>48</v>
      </c>
      <c r="S116" s="1">
        <v>0</v>
      </c>
      <c r="T116" s="1">
        <v>0</v>
      </c>
      <c r="U116" s="1">
        <v>0</v>
      </c>
    </row>
    <row r="117" spans="1:21" s="1" customFormat="1">
      <c r="A117" s="4">
        <v>45464</v>
      </c>
      <c r="B117" s="1" t="s">
        <v>48</v>
      </c>
      <c r="C117" s="1">
        <v>0</v>
      </c>
      <c r="D117" s="1" t="s">
        <v>48</v>
      </c>
      <c r="E117" s="1">
        <v>0</v>
      </c>
      <c r="F117" s="1" t="s">
        <v>48</v>
      </c>
      <c r="G117" s="1">
        <v>0</v>
      </c>
      <c r="H117" s="1">
        <v>0</v>
      </c>
      <c r="I117" s="1" t="s">
        <v>48</v>
      </c>
      <c r="J117" s="1" t="s">
        <v>48</v>
      </c>
      <c r="K117" s="1">
        <v>0</v>
      </c>
      <c r="L117" s="1">
        <v>0</v>
      </c>
      <c r="M117" s="1">
        <v>0</v>
      </c>
      <c r="N117" s="1" t="s">
        <v>48</v>
      </c>
      <c r="O117" s="1" t="s">
        <v>48</v>
      </c>
      <c r="P117" s="1">
        <v>0</v>
      </c>
      <c r="Q117" s="1">
        <v>0</v>
      </c>
      <c r="R117" s="1" t="s">
        <v>48</v>
      </c>
      <c r="S117" s="1">
        <v>0</v>
      </c>
      <c r="T117" s="1">
        <v>0</v>
      </c>
      <c r="U117" s="1">
        <v>0</v>
      </c>
    </row>
    <row r="118" spans="1:21" s="1" customFormat="1">
      <c r="A118" s="4">
        <v>45467</v>
      </c>
      <c r="B118" s="1" t="s">
        <v>48</v>
      </c>
      <c r="C118" s="1">
        <v>0</v>
      </c>
      <c r="D118" s="1">
        <v>0</v>
      </c>
      <c r="E118" s="1" t="s">
        <v>48</v>
      </c>
      <c r="F118" s="1" t="s">
        <v>48</v>
      </c>
      <c r="G118" s="1">
        <v>0</v>
      </c>
      <c r="H118" s="1">
        <v>0</v>
      </c>
      <c r="I118" s="1">
        <v>0</v>
      </c>
      <c r="J118" s="1" t="s">
        <v>48</v>
      </c>
      <c r="K118" s="1">
        <v>0</v>
      </c>
      <c r="L118" s="1">
        <v>0</v>
      </c>
      <c r="M118" s="1">
        <v>0</v>
      </c>
      <c r="N118" s="1" t="s">
        <v>48</v>
      </c>
      <c r="O118" s="1">
        <v>0</v>
      </c>
      <c r="P118" s="1" t="s">
        <v>48</v>
      </c>
      <c r="Q118" s="1">
        <v>0</v>
      </c>
      <c r="R118" s="1" t="s">
        <v>48</v>
      </c>
      <c r="S118" s="1" t="s">
        <v>48</v>
      </c>
      <c r="T118" s="1">
        <v>0</v>
      </c>
      <c r="U118" s="1">
        <v>0</v>
      </c>
    </row>
    <row r="119" spans="1:21" s="1" customFormat="1">
      <c r="A119" s="4">
        <v>45468</v>
      </c>
      <c r="B119" s="1" t="s">
        <v>48</v>
      </c>
      <c r="C119" s="1">
        <v>0</v>
      </c>
      <c r="D119" s="1">
        <v>0</v>
      </c>
      <c r="E119" s="1">
        <v>0</v>
      </c>
      <c r="F119" s="1" t="s">
        <v>48</v>
      </c>
      <c r="G119" s="1">
        <v>0</v>
      </c>
      <c r="H119" s="1">
        <v>0</v>
      </c>
      <c r="I119" s="1">
        <v>0</v>
      </c>
      <c r="J119" s="1" t="s">
        <v>48</v>
      </c>
      <c r="K119" s="1">
        <v>0</v>
      </c>
      <c r="L119" s="1">
        <v>0</v>
      </c>
      <c r="M119" s="1">
        <v>0</v>
      </c>
      <c r="N119" s="1" t="s">
        <v>48</v>
      </c>
      <c r="O119" s="1">
        <v>0</v>
      </c>
      <c r="P119" s="1">
        <v>0</v>
      </c>
      <c r="Q119" s="1" t="s">
        <v>48</v>
      </c>
      <c r="R119" s="1" t="s">
        <v>48</v>
      </c>
      <c r="S119" s="1">
        <v>0</v>
      </c>
      <c r="T119" s="1" t="s">
        <v>48</v>
      </c>
      <c r="U119" s="1">
        <v>0</v>
      </c>
    </row>
    <row r="120" spans="1:21" s="1" customFormat="1">
      <c r="A120" s="4">
        <v>45469</v>
      </c>
      <c r="B120" s="1" t="s">
        <v>48</v>
      </c>
      <c r="C120" s="1">
        <v>0</v>
      </c>
      <c r="D120" s="1">
        <v>0</v>
      </c>
      <c r="E120" s="1">
        <v>0</v>
      </c>
      <c r="F120" s="1" t="s">
        <v>48</v>
      </c>
      <c r="G120" s="1">
        <v>0</v>
      </c>
      <c r="H120" s="1">
        <v>0</v>
      </c>
      <c r="I120" s="1">
        <v>0</v>
      </c>
      <c r="J120" s="1" t="s">
        <v>48</v>
      </c>
      <c r="K120" s="1">
        <v>0</v>
      </c>
      <c r="L120" s="1">
        <v>0</v>
      </c>
      <c r="M120" s="1">
        <v>0</v>
      </c>
      <c r="N120" s="1" t="s">
        <v>48</v>
      </c>
      <c r="O120" s="1">
        <v>0</v>
      </c>
      <c r="P120" s="1">
        <v>0</v>
      </c>
      <c r="Q120" s="1">
        <v>0</v>
      </c>
      <c r="R120" s="1" t="s">
        <v>48</v>
      </c>
      <c r="S120" s="1">
        <v>0</v>
      </c>
      <c r="T120" s="1">
        <v>0</v>
      </c>
      <c r="U120" s="1" t="s">
        <v>48</v>
      </c>
    </row>
    <row r="121" spans="1:21" s="1" customFormat="1">
      <c r="A121" s="4">
        <v>45470</v>
      </c>
      <c r="B121" s="1" t="s">
        <v>48</v>
      </c>
      <c r="C121" s="1">
        <v>0</v>
      </c>
      <c r="D121" s="1">
        <v>0</v>
      </c>
      <c r="E121" s="1">
        <v>0</v>
      </c>
      <c r="F121" s="1" t="s">
        <v>48</v>
      </c>
      <c r="G121" s="1">
        <v>0</v>
      </c>
      <c r="H121" s="1">
        <v>0</v>
      </c>
      <c r="I121" s="1">
        <v>0</v>
      </c>
      <c r="J121" s="1" t="s">
        <v>48</v>
      </c>
      <c r="K121" s="1">
        <v>0</v>
      </c>
      <c r="L121" s="1">
        <v>0</v>
      </c>
      <c r="M121" s="1">
        <v>0</v>
      </c>
      <c r="N121" s="1" t="s">
        <v>48</v>
      </c>
      <c r="O121" s="1">
        <v>0</v>
      </c>
      <c r="P121" s="1">
        <v>0</v>
      </c>
      <c r="Q121" s="1">
        <v>0</v>
      </c>
      <c r="R121" s="1" t="s">
        <v>48</v>
      </c>
      <c r="S121" s="1">
        <v>0</v>
      </c>
      <c r="T121" s="1">
        <v>0</v>
      </c>
      <c r="U121" s="1">
        <v>0</v>
      </c>
    </row>
    <row r="122" spans="1:21" s="1" customFormat="1">
      <c r="A122" s="4">
        <v>45471</v>
      </c>
      <c r="B122" s="1" t="s">
        <v>48</v>
      </c>
      <c r="C122" s="1">
        <v>0</v>
      </c>
      <c r="D122" s="1">
        <v>0</v>
      </c>
      <c r="E122" s="1">
        <v>0</v>
      </c>
      <c r="F122" s="1" t="s">
        <v>48</v>
      </c>
      <c r="G122" s="1">
        <v>0</v>
      </c>
      <c r="H122" s="1">
        <v>0</v>
      </c>
      <c r="I122" s="1">
        <v>0</v>
      </c>
      <c r="J122" s="1" t="s">
        <v>48</v>
      </c>
      <c r="K122" s="1">
        <v>0</v>
      </c>
      <c r="L122" s="1">
        <v>0</v>
      </c>
      <c r="M122" s="1">
        <v>0</v>
      </c>
      <c r="N122" s="1" t="s">
        <v>48</v>
      </c>
      <c r="O122" s="1" t="s">
        <v>48</v>
      </c>
      <c r="P122" s="1">
        <v>0</v>
      </c>
      <c r="Q122" s="1">
        <v>0</v>
      </c>
      <c r="R122" s="1" t="s">
        <v>48</v>
      </c>
      <c r="S122" s="1">
        <v>0</v>
      </c>
      <c r="T122" s="1">
        <v>0</v>
      </c>
      <c r="U122" s="1">
        <v>0</v>
      </c>
    </row>
    <row r="123" spans="1:21" s="1" customFormat="1">
      <c r="A123" s="4">
        <v>45474</v>
      </c>
      <c r="B123" s="1" t="s">
        <v>48</v>
      </c>
      <c r="C123" s="1">
        <v>0</v>
      </c>
      <c r="D123" s="1">
        <v>0</v>
      </c>
      <c r="E123" s="1">
        <v>0</v>
      </c>
      <c r="F123" s="1" t="s">
        <v>48</v>
      </c>
      <c r="G123" s="1">
        <v>0</v>
      </c>
      <c r="H123" s="1">
        <v>0</v>
      </c>
      <c r="I123" s="1">
        <v>0</v>
      </c>
      <c r="J123" s="1" t="s">
        <v>48</v>
      </c>
      <c r="K123" s="1">
        <v>0</v>
      </c>
      <c r="L123" s="1">
        <v>0</v>
      </c>
      <c r="M123" s="1">
        <v>0</v>
      </c>
      <c r="N123" s="1" t="s">
        <v>48</v>
      </c>
      <c r="O123" s="1">
        <v>0</v>
      </c>
      <c r="P123" s="1" t="s">
        <v>48</v>
      </c>
      <c r="Q123" s="1">
        <v>0</v>
      </c>
      <c r="R123" s="1" t="s">
        <v>48</v>
      </c>
      <c r="S123" s="1" t="s">
        <v>48</v>
      </c>
      <c r="T123" s="1">
        <v>0</v>
      </c>
      <c r="U123" s="1">
        <v>0</v>
      </c>
    </row>
    <row r="124" spans="1:21" s="1" customFormat="1">
      <c r="A124" s="4">
        <v>45475</v>
      </c>
      <c r="B124" s="1" t="s">
        <v>48</v>
      </c>
      <c r="C124" s="1">
        <v>0</v>
      </c>
      <c r="D124" s="1">
        <v>0</v>
      </c>
      <c r="E124" s="1">
        <v>0</v>
      </c>
      <c r="F124" s="1" t="s">
        <v>48</v>
      </c>
      <c r="G124" s="1">
        <v>0</v>
      </c>
      <c r="H124" s="1">
        <v>0</v>
      </c>
      <c r="I124" s="1">
        <v>0</v>
      </c>
      <c r="J124" s="1" t="s">
        <v>48</v>
      </c>
      <c r="K124" s="1">
        <v>0</v>
      </c>
      <c r="L124" s="1">
        <v>0</v>
      </c>
      <c r="M124" s="1">
        <v>0</v>
      </c>
      <c r="N124" s="1" t="s">
        <v>48</v>
      </c>
      <c r="O124" s="1">
        <v>0</v>
      </c>
      <c r="P124" s="1">
        <v>0</v>
      </c>
      <c r="Q124" s="1" t="s">
        <v>48</v>
      </c>
      <c r="R124" s="1" t="s">
        <v>48</v>
      </c>
      <c r="S124" s="1">
        <v>0</v>
      </c>
      <c r="T124" s="1" t="s">
        <v>48</v>
      </c>
      <c r="U124" s="1">
        <v>0</v>
      </c>
    </row>
    <row r="125" spans="1:21" s="1" customFormat="1">
      <c r="A125" s="4">
        <v>45476</v>
      </c>
      <c r="B125" s="1" t="s">
        <v>48</v>
      </c>
      <c r="C125" s="1">
        <v>0</v>
      </c>
      <c r="D125" s="1">
        <v>0</v>
      </c>
      <c r="E125" s="1">
        <v>0</v>
      </c>
      <c r="F125" s="1" t="s">
        <v>48</v>
      </c>
      <c r="G125" s="1">
        <v>0</v>
      </c>
      <c r="H125" s="1">
        <v>0</v>
      </c>
      <c r="I125" s="1">
        <v>0</v>
      </c>
      <c r="J125" s="1" t="s">
        <v>48</v>
      </c>
      <c r="K125" s="1">
        <v>0</v>
      </c>
      <c r="L125" s="1">
        <v>0</v>
      </c>
      <c r="M125" s="1">
        <v>0</v>
      </c>
      <c r="N125" s="1" t="s">
        <v>48</v>
      </c>
      <c r="O125" s="1">
        <v>0</v>
      </c>
      <c r="P125" s="1">
        <v>0</v>
      </c>
      <c r="Q125" s="1">
        <v>0</v>
      </c>
      <c r="R125" s="1" t="s">
        <v>48</v>
      </c>
      <c r="S125" s="1">
        <v>0</v>
      </c>
      <c r="T125" s="1">
        <v>0</v>
      </c>
      <c r="U125" s="1" t="s">
        <v>48</v>
      </c>
    </row>
    <row r="126" spans="1:21" s="1" customFormat="1">
      <c r="A126" s="4">
        <v>45477</v>
      </c>
      <c r="B126" s="1" t="s">
        <v>48</v>
      </c>
      <c r="C126" s="1">
        <v>0</v>
      </c>
      <c r="D126" s="1">
        <v>0</v>
      </c>
      <c r="E126" s="1">
        <v>0</v>
      </c>
      <c r="F126" s="1" t="s">
        <v>48</v>
      </c>
      <c r="G126" s="1">
        <v>0</v>
      </c>
      <c r="H126" s="1">
        <v>0</v>
      </c>
      <c r="I126" s="1">
        <v>0</v>
      </c>
      <c r="J126" s="1" t="s">
        <v>48</v>
      </c>
      <c r="K126" s="1">
        <v>0</v>
      </c>
      <c r="L126" s="1">
        <v>0</v>
      </c>
      <c r="M126" s="1">
        <v>0</v>
      </c>
      <c r="N126" s="1" t="s">
        <v>48</v>
      </c>
      <c r="O126" s="1">
        <v>0</v>
      </c>
      <c r="P126" s="1">
        <v>0</v>
      </c>
      <c r="Q126" s="1">
        <v>0</v>
      </c>
      <c r="R126" s="1" t="s">
        <v>48</v>
      </c>
      <c r="S126" s="1">
        <v>0</v>
      </c>
      <c r="T126" s="1">
        <v>0</v>
      </c>
      <c r="U126" s="1">
        <v>0</v>
      </c>
    </row>
    <row r="127" spans="1:21" s="1" customFormat="1">
      <c r="A127" s="4">
        <v>45478</v>
      </c>
      <c r="B127" s="1" t="s">
        <v>48</v>
      </c>
      <c r="C127" s="1">
        <v>0</v>
      </c>
      <c r="D127" s="1">
        <v>0</v>
      </c>
      <c r="E127" s="1">
        <v>0</v>
      </c>
      <c r="F127" s="1" t="s">
        <v>48</v>
      </c>
      <c r="G127" s="1">
        <v>0</v>
      </c>
      <c r="H127" s="1">
        <v>0</v>
      </c>
      <c r="I127" s="1">
        <v>0</v>
      </c>
      <c r="J127" s="1" t="s">
        <v>48</v>
      </c>
      <c r="K127" s="1">
        <v>0</v>
      </c>
      <c r="L127" s="1">
        <v>0</v>
      </c>
      <c r="M127" s="1">
        <v>0</v>
      </c>
      <c r="N127" s="1" t="s">
        <v>48</v>
      </c>
      <c r="O127" s="1" t="s">
        <v>48</v>
      </c>
      <c r="P127" s="1">
        <v>0</v>
      </c>
      <c r="Q127" s="1">
        <v>0</v>
      </c>
      <c r="R127" s="1" t="s">
        <v>48</v>
      </c>
      <c r="S127" s="1">
        <v>0</v>
      </c>
      <c r="T127" s="1">
        <v>0</v>
      </c>
      <c r="U127" s="1">
        <v>0</v>
      </c>
    </row>
    <row r="128" spans="1:21" s="1" customFormat="1">
      <c r="A128" s="4">
        <v>45481</v>
      </c>
      <c r="B128" s="1" t="s">
        <v>48</v>
      </c>
      <c r="C128" s="1">
        <v>0</v>
      </c>
      <c r="D128" s="1">
        <v>0</v>
      </c>
      <c r="E128" s="1">
        <v>0</v>
      </c>
      <c r="F128" s="1" t="s">
        <v>48</v>
      </c>
      <c r="G128" s="1">
        <v>0</v>
      </c>
      <c r="H128" s="1">
        <v>0</v>
      </c>
      <c r="I128" s="1">
        <v>0</v>
      </c>
      <c r="J128" s="1" t="s">
        <v>48</v>
      </c>
      <c r="K128" s="1">
        <v>0</v>
      </c>
      <c r="L128" s="1">
        <v>0</v>
      </c>
      <c r="M128" s="1">
        <v>0</v>
      </c>
      <c r="N128" s="1" t="s">
        <v>48</v>
      </c>
      <c r="O128" s="1">
        <v>0</v>
      </c>
      <c r="P128" s="1" t="s">
        <v>48</v>
      </c>
      <c r="Q128" s="1">
        <v>0</v>
      </c>
      <c r="R128" s="1" t="s">
        <v>48</v>
      </c>
      <c r="S128" s="1" t="s">
        <v>48</v>
      </c>
      <c r="T128" s="1">
        <v>0</v>
      </c>
      <c r="U128" s="1">
        <v>0</v>
      </c>
    </row>
    <row r="129" spans="1:21" s="1" customFormat="1">
      <c r="A129" s="4">
        <v>45482</v>
      </c>
      <c r="B129" s="1" t="s">
        <v>48</v>
      </c>
      <c r="C129" s="1">
        <v>0</v>
      </c>
      <c r="D129" s="1">
        <v>0</v>
      </c>
      <c r="E129" s="1">
        <v>0</v>
      </c>
      <c r="F129" s="1" t="s">
        <v>48</v>
      </c>
      <c r="G129" s="1">
        <v>0</v>
      </c>
      <c r="H129" s="1">
        <v>0</v>
      </c>
      <c r="I129" s="1">
        <v>0</v>
      </c>
      <c r="J129" s="1" t="s">
        <v>48</v>
      </c>
      <c r="K129" s="1">
        <v>0</v>
      </c>
      <c r="L129" s="1">
        <v>0</v>
      </c>
      <c r="M129" s="1">
        <v>0</v>
      </c>
      <c r="N129" s="1" t="s">
        <v>48</v>
      </c>
      <c r="O129" s="1">
        <v>0</v>
      </c>
      <c r="P129" s="1">
        <v>0</v>
      </c>
      <c r="Q129" s="1" t="s">
        <v>48</v>
      </c>
      <c r="R129" s="1" t="s">
        <v>48</v>
      </c>
      <c r="S129" s="1">
        <v>0</v>
      </c>
      <c r="T129" s="1" t="s">
        <v>48</v>
      </c>
      <c r="U129" s="1">
        <v>0</v>
      </c>
    </row>
    <row r="130" spans="1:21" s="1" customFormat="1">
      <c r="A130" s="4">
        <v>45483</v>
      </c>
      <c r="B130" s="1" t="s">
        <v>48</v>
      </c>
      <c r="C130" s="1">
        <v>0</v>
      </c>
      <c r="D130" s="1">
        <v>0</v>
      </c>
      <c r="E130" s="1">
        <v>0</v>
      </c>
      <c r="F130" s="1" t="s">
        <v>48</v>
      </c>
      <c r="G130" s="1">
        <v>0</v>
      </c>
      <c r="H130" s="1">
        <v>0</v>
      </c>
      <c r="I130" s="1">
        <v>0</v>
      </c>
      <c r="J130" s="1" t="s">
        <v>48</v>
      </c>
      <c r="K130" s="1">
        <v>0</v>
      </c>
      <c r="L130" s="1">
        <v>0</v>
      </c>
      <c r="M130" s="1">
        <v>0</v>
      </c>
      <c r="N130" s="1" t="s">
        <v>48</v>
      </c>
      <c r="O130" s="1">
        <v>0</v>
      </c>
      <c r="P130" s="1">
        <v>0</v>
      </c>
      <c r="Q130" s="1">
        <v>0</v>
      </c>
      <c r="R130" s="1" t="s">
        <v>48</v>
      </c>
      <c r="S130" s="1">
        <v>0</v>
      </c>
      <c r="T130" s="1">
        <v>0</v>
      </c>
      <c r="U130" s="1" t="s">
        <v>48</v>
      </c>
    </row>
    <row r="131" spans="1:21" s="1" customFormat="1">
      <c r="A131" s="4">
        <v>45484</v>
      </c>
      <c r="B131" s="1" t="s">
        <v>48</v>
      </c>
      <c r="C131" s="1">
        <v>0</v>
      </c>
      <c r="D131" s="1">
        <v>0</v>
      </c>
      <c r="E131" s="1">
        <v>0</v>
      </c>
      <c r="F131" s="1" t="s">
        <v>48</v>
      </c>
      <c r="G131" s="1">
        <v>0</v>
      </c>
      <c r="H131" s="1">
        <v>0</v>
      </c>
      <c r="I131" s="1">
        <v>0</v>
      </c>
      <c r="J131" s="1" t="s">
        <v>48</v>
      </c>
      <c r="K131" s="1">
        <v>0</v>
      </c>
      <c r="L131" s="1">
        <v>0</v>
      </c>
      <c r="M131" s="1">
        <v>0</v>
      </c>
      <c r="N131" s="1" t="s">
        <v>48</v>
      </c>
      <c r="O131" s="1">
        <v>0</v>
      </c>
      <c r="P131" s="1">
        <v>0</v>
      </c>
      <c r="Q131" s="1">
        <v>0</v>
      </c>
      <c r="R131" s="1" t="s">
        <v>48</v>
      </c>
      <c r="S131" s="1">
        <v>0</v>
      </c>
      <c r="T131" s="1">
        <v>0</v>
      </c>
      <c r="U131" s="1">
        <v>0</v>
      </c>
    </row>
    <row r="132" spans="1:21" s="1" customFormat="1">
      <c r="A132" s="4">
        <v>45485</v>
      </c>
      <c r="B132" s="1" t="s">
        <v>48</v>
      </c>
      <c r="C132" s="1">
        <v>0</v>
      </c>
      <c r="D132" s="1">
        <v>0</v>
      </c>
      <c r="E132" s="1">
        <v>0</v>
      </c>
      <c r="F132" s="1" t="s">
        <v>48</v>
      </c>
      <c r="G132" s="1">
        <v>0</v>
      </c>
      <c r="H132" s="1">
        <v>0</v>
      </c>
      <c r="I132" s="1">
        <v>0</v>
      </c>
      <c r="J132" s="1" t="s">
        <v>48</v>
      </c>
      <c r="K132" s="1">
        <v>0</v>
      </c>
      <c r="L132" s="1">
        <v>0</v>
      </c>
      <c r="M132" s="1">
        <v>0</v>
      </c>
      <c r="N132" s="1" t="s">
        <v>48</v>
      </c>
      <c r="O132" s="1" t="s">
        <v>48</v>
      </c>
      <c r="P132" s="1" t="s">
        <v>48</v>
      </c>
      <c r="Q132" s="1">
        <v>0</v>
      </c>
      <c r="R132" s="1" t="s">
        <v>48</v>
      </c>
      <c r="S132" s="1">
        <v>0</v>
      </c>
      <c r="T132" s="1">
        <v>0</v>
      </c>
      <c r="U132" s="1">
        <v>0</v>
      </c>
    </row>
    <row r="133" spans="1:21" s="1" customFormat="1">
      <c r="A133" s="4">
        <v>45488</v>
      </c>
      <c r="B133" s="1" t="s">
        <v>48</v>
      </c>
      <c r="C133" s="1">
        <v>0</v>
      </c>
      <c r="D133" s="1">
        <v>0</v>
      </c>
      <c r="E133" s="1">
        <v>0</v>
      </c>
      <c r="F133" s="1" t="s">
        <v>48</v>
      </c>
      <c r="G133" s="1">
        <v>0</v>
      </c>
      <c r="H133" s="1">
        <v>0</v>
      </c>
      <c r="I133" s="1">
        <v>0</v>
      </c>
      <c r="J133" s="1" t="s">
        <v>48</v>
      </c>
      <c r="K133" s="1">
        <v>0</v>
      </c>
      <c r="L133" s="1">
        <v>0</v>
      </c>
      <c r="M133" s="1">
        <v>0</v>
      </c>
      <c r="N133" s="1" t="s">
        <v>48</v>
      </c>
      <c r="O133" s="1">
        <v>0</v>
      </c>
      <c r="P133" s="1">
        <v>0</v>
      </c>
      <c r="Q133" s="1" t="s">
        <v>48</v>
      </c>
      <c r="R133" s="1" t="s">
        <v>48</v>
      </c>
      <c r="S133" s="1" t="s">
        <v>48</v>
      </c>
      <c r="T133" s="1" t="s">
        <v>48</v>
      </c>
      <c r="U133" s="1">
        <v>0</v>
      </c>
    </row>
    <row r="134" spans="1:21" s="1" customFormat="1">
      <c r="A134" s="4">
        <v>45489</v>
      </c>
      <c r="B134" s="1" t="s">
        <v>48</v>
      </c>
      <c r="C134" s="1">
        <v>0</v>
      </c>
      <c r="D134" s="1">
        <v>0</v>
      </c>
      <c r="E134" s="1">
        <v>0</v>
      </c>
      <c r="F134" s="1" t="s">
        <v>48</v>
      </c>
      <c r="G134" s="1">
        <v>0</v>
      </c>
      <c r="H134" s="1">
        <v>0</v>
      </c>
      <c r="I134" s="1">
        <v>0</v>
      </c>
      <c r="J134" s="1" t="s">
        <v>48</v>
      </c>
      <c r="K134" s="1">
        <v>0</v>
      </c>
      <c r="L134" s="1">
        <v>0</v>
      </c>
      <c r="M134" s="1">
        <v>0</v>
      </c>
      <c r="N134" s="1" t="s">
        <v>48</v>
      </c>
      <c r="O134" s="1">
        <v>0</v>
      </c>
      <c r="P134" s="1">
        <v>0</v>
      </c>
      <c r="Q134" s="1">
        <v>0</v>
      </c>
      <c r="R134" s="1" t="s">
        <v>48</v>
      </c>
      <c r="S134" s="1">
        <v>0</v>
      </c>
      <c r="T134" s="1">
        <v>0</v>
      </c>
      <c r="U134" s="1" t="s">
        <v>48</v>
      </c>
    </row>
    <row r="135" spans="1:21" s="1" customFormat="1">
      <c r="A135" s="4">
        <v>45491</v>
      </c>
      <c r="B135" s="1" t="s">
        <v>48</v>
      </c>
      <c r="C135" s="1">
        <v>0</v>
      </c>
      <c r="D135" s="1">
        <v>0</v>
      </c>
      <c r="E135" s="1">
        <v>0</v>
      </c>
      <c r="F135" s="1" t="s">
        <v>48</v>
      </c>
      <c r="G135" s="1">
        <v>0</v>
      </c>
      <c r="H135" s="1">
        <v>0</v>
      </c>
      <c r="I135" s="1">
        <v>0</v>
      </c>
      <c r="J135" s="1" t="s">
        <v>48</v>
      </c>
      <c r="K135" s="1">
        <v>0</v>
      </c>
      <c r="L135" s="1">
        <v>0</v>
      </c>
      <c r="M135" s="1">
        <v>0</v>
      </c>
      <c r="N135" s="1" t="s">
        <v>48</v>
      </c>
      <c r="O135" s="1">
        <v>0</v>
      </c>
      <c r="P135" s="1">
        <v>0</v>
      </c>
      <c r="Q135" s="1">
        <v>0</v>
      </c>
      <c r="R135" s="1" t="s">
        <v>48</v>
      </c>
      <c r="S135" s="1">
        <v>0</v>
      </c>
      <c r="T135" s="1">
        <v>0</v>
      </c>
      <c r="U135" s="1">
        <v>0</v>
      </c>
    </row>
    <row r="136" spans="1:21" s="1" customFormat="1">
      <c r="A136" s="4">
        <v>45492</v>
      </c>
      <c r="B136" s="1" t="s">
        <v>48</v>
      </c>
      <c r="C136" s="1">
        <v>0</v>
      </c>
      <c r="D136" s="1">
        <v>0</v>
      </c>
      <c r="E136" s="1">
        <v>0</v>
      </c>
      <c r="F136" s="1" t="s">
        <v>48</v>
      </c>
      <c r="G136" s="1">
        <v>0</v>
      </c>
      <c r="H136" s="1">
        <v>0</v>
      </c>
      <c r="I136" s="1">
        <v>0</v>
      </c>
      <c r="J136" s="1" t="s">
        <v>48</v>
      </c>
      <c r="K136" s="1">
        <v>0</v>
      </c>
      <c r="L136" s="1">
        <v>0</v>
      </c>
      <c r="M136" s="1">
        <v>0</v>
      </c>
      <c r="N136" s="1" t="s">
        <v>48</v>
      </c>
      <c r="O136" s="1" t="s">
        <v>48</v>
      </c>
      <c r="P136" s="1">
        <v>0</v>
      </c>
      <c r="Q136" s="1">
        <v>0</v>
      </c>
      <c r="R136" s="1" t="s">
        <v>48</v>
      </c>
      <c r="S136" s="1">
        <v>0</v>
      </c>
      <c r="T136" s="1">
        <v>0</v>
      </c>
      <c r="U136" s="1">
        <v>0</v>
      </c>
    </row>
    <row r="137" spans="1:21" s="1" customFormat="1">
      <c r="A137" s="4">
        <v>45495</v>
      </c>
      <c r="B137" s="1" t="s">
        <v>48</v>
      </c>
      <c r="C137" s="1">
        <v>0</v>
      </c>
      <c r="D137" s="1">
        <v>0</v>
      </c>
      <c r="E137" s="1">
        <v>0</v>
      </c>
      <c r="F137" s="1" t="s">
        <v>48</v>
      </c>
      <c r="G137" s="1">
        <v>0</v>
      </c>
      <c r="H137" s="1">
        <v>0</v>
      </c>
      <c r="I137" s="1">
        <v>0</v>
      </c>
      <c r="J137" s="1" t="s">
        <v>48</v>
      </c>
      <c r="K137" s="1">
        <v>0</v>
      </c>
      <c r="L137" s="1">
        <v>0</v>
      </c>
      <c r="M137" s="1">
        <v>0</v>
      </c>
      <c r="N137" s="1" t="s">
        <v>48</v>
      </c>
      <c r="O137" s="1">
        <v>0</v>
      </c>
      <c r="P137" s="1" t="s">
        <v>48</v>
      </c>
      <c r="Q137" s="1">
        <v>0</v>
      </c>
      <c r="R137" s="1" t="s">
        <v>48</v>
      </c>
      <c r="S137" s="1" t="s">
        <v>48</v>
      </c>
      <c r="T137" s="1">
        <v>0</v>
      </c>
      <c r="U137" s="1">
        <v>0</v>
      </c>
    </row>
    <row r="138" spans="1:21" s="1" customFormat="1">
      <c r="A138" s="4">
        <v>45496</v>
      </c>
      <c r="B138" s="1" t="s">
        <v>48</v>
      </c>
      <c r="C138" s="1">
        <v>0</v>
      </c>
      <c r="D138" s="1">
        <v>0</v>
      </c>
      <c r="E138" s="1">
        <v>0</v>
      </c>
      <c r="F138" s="1" t="s">
        <v>48</v>
      </c>
      <c r="G138" s="1">
        <v>0</v>
      </c>
      <c r="H138" s="1">
        <v>0</v>
      </c>
      <c r="I138" s="1">
        <v>0</v>
      </c>
      <c r="J138" s="1" t="s">
        <v>48</v>
      </c>
      <c r="K138" s="1" t="s">
        <v>48</v>
      </c>
      <c r="L138" s="1">
        <v>0</v>
      </c>
      <c r="M138" s="1">
        <v>0</v>
      </c>
      <c r="N138" s="1" t="s">
        <v>48</v>
      </c>
      <c r="O138" s="1">
        <v>0</v>
      </c>
      <c r="P138" s="1">
        <v>0</v>
      </c>
      <c r="Q138" s="1" t="s">
        <v>48</v>
      </c>
      <c r="R138" s="1" t="s">
        <v>48</v>
      </c>
      <c r="S138" s="1">
        <v>0</v>
      </c>
      <c r="T138" s="1" t="s">
        <v>48</v>
      </c>
      <c r="U138" s="1">
        <v>0</v>
      </c>
    </row>
    <row r="139" spans="1:21" s="1" customFormat="1">
      <c r="A139" s="4">
        <v>45497</v>
      </c>
      <c r="B139" s="1" t="s">
        <v>48</v>
      </c>
      <c r="C139" s="1">
        <v>0</v>
      </c>
      <c r="D139" s="1">
        <v>0</v>
      </c>
      <c r="E139" s="1">
        <v>0</v>
      </c>
      <c r="F139" s="1" t="s">
        <v>48</v>
      </c>
      <c r="G139" s="1" t="s">
        <v>48</v>
      </c>
      <c r="H139" s="1">
        <v>0</v>
      </c>
      <c r="I139" s="1">
        <v>0</v>
      </c>
      <c r="J139" s="1" t="s">
        <v>48</v>
      </c>
      <c r="K139" s="1">
        <v>0</v>
      </c>
      <c r="L139" s="1" t="s">
        <v>48</v>
      </c>
      <c r="M139" s="1">
        <v>0</v>
      </c>
      <c r="N139" s="1" t="s">
        <v>48</v>
      </c>
      <c r="O139" s="1">
        <v>0</v>
      </c>
      <c r="P139" s="1">
        <v>0</v>
      </c>
      <c r="Q139" s="1">
        <v>0</v>
      </c>
      <c r="R139" s="1" t="s">
        <v>48</v>
      </c>
      <c r="S139" s="1">
        <v>0</v>
      </c>
      <c r="T139" s="1">
        <v>0</v>
      </c>
      <c r="U139" s="1" t="s">
        <v>48</v>
      </c>
    </row>
    <row r="140" spans="1:21" s="1" customFormat="1">
      <c r="A140" s="4">
        <v>45498</v>
      </c>
      <c r="B140" s="1" t="s">
        <v>48</v>
      </c>
      <c r="C140" s="1" t="s">
        <v>48</v>
      </c>
      <c r="D140" s="1">
        <v>0</v>
      </c>
      <c r="E140" s="1">
        <v>0</v>
      </c>
      <c r="F140" s="1" t="s">
        <v>48</v>
      </c>
      <c r="G140" s="1">
        <v>0</v>
      </c>
      <c r="H140" s="1" t="s">
        <v>48</v>
      </c>
      <c r="I140" s="1">
        <v>0</v>
      </c>
      <c r="J140" s="1" t="s">
        <v>48</v>
      </c>
      <c r="K140" s="1">
        <v>0</v>
      </c>
      <c r="L140" s="1">
        <v>0</v>
      </c>
      <c r="M140" s="1" t="s">
        <v>48</v>
      </c>
      <c r="N140" s="1" t="s">
        <v>48</v>
      </c>
      <c r="O140" s="1">
        <v>0</v>
      </c>
      <c r="P140" s="1">
        <v>0</v>
      </c>
      <c r="Q140" s="1">
        <v>0</v>
      </c>
      <c r="R140" s="1" t="s">
        <v>48</v>
      </c>
      <c r="S140" s="1">
        <v>0</v>
      </c>
      <c r="T140" s="1">
        <v>0</v>
      </c>
      <c r="U140" s="1">
        <v>0</v>
      </c>
    </row>
    <row r="141" spans="1:21" s="1" customFormat="1">
      <c r="A141" s="4">
        <v>45499</v>
      </c>
      <c r="B141" s="1" t="s">
        <v>48</v>
      </c>
      <c r="C141" s="1">
        <v>0</v>
      </c>
      <c r="D141" s="1" t="s">
        <v>48</v>
      </c>
      <c r="E141" s="1">
        <v>0</v>
      </c>
      <c r="F141" s="1" t="s">
        <v>48</v>
      </c>
      <c r="G141" s="1">
        <v>0</v>
      </c>
      <c r="H141" s="1">
        <v>0</v>
      </c>
      <c r="I141" s="1" t="s">
        <v>48</v>
      </c>
      <c r="J141" s="1" t="s">
        <v>48</v>
      </c>
      <c r="K141" s="1">
        <v>0</v>
      </c>
      <c r="L141" s="1">
        <v>0</v>
      </c>
      <c r="M141" s="1">
        <v>0</v>
      </c>
      <c r="N141" s="1" t="s">
        <v>48</v>
      </c>
      <c r="O141" s="1" t="s">
        <v>48</v>
      </c>
      <c r="P141" s="1">
        <v>0</v>
      </c>
      <c r="Q141" s="1">
        <v>0</v>
      </c>
      <c r="R141" s="1" t="s">
        <v>48</v>
      </c>
      <c r="S141" s="1">
        <v>0</v>
      </c>
      <c r="T141" s="1">
        <v>0</v>
      </c>
      <c r="U141" s="1">
        <v>0</v>
      </c>
    </row>
    <row r="142" spans="1:21" s="1" customFormat="1">
      <c r="A142" s="4">
        <v>45502</v>
      </c>
      <c r="B142" s="1" t="s">
        <v>48</v>
      </c>
      <c r="C142" s="1">
        <v>0</v>
      </c>
      <c r="D142" s="1">
        <v>0</v>
      </c>
      <c r="E142" s="1" t="s">
        <v>48</v>
      </c>
      <c r="F142" s="1" t="s">
        <v>48</v>
      </c>
      <c r="G142" s="1">
        <v>0</v>
      </c>
      <c r="H142" s="1">
        <v>0</v>
      </c>
      <c r="I142" s="1">
        <v>0</v>
      </c>
      <c r="J142" s="1" t="s">
        <v>48</v>
      </c>
      <c r="K142" s="1">
        <v>0</v>
      </c>
      <c r="L142" s="1">
        <v>0</v>
      </c>
      <c r="M142" s="1">
        <v>0</v>
      </c>
      <c r="N142" s="1" t="s">
        <v>48</v>
      </c>
      <c r="O142" s="1">
        <v>0</v>
      </c>
      <c r="P142" s="1" t="s">
        <v>48</v>
      </c>
      <c r="Q142" s="1">
        <v>0</v>
      </c>
      <c r="R142" s="1" t="s">
        <v>48</v>
      </c>
      <c r="S142" s="1" t="s">
        <v>48</v>
      </c>
      <c r="T142" s="1">
        <v>0</v>
      </c>
      <c r="U142" s="1">
        <v>0</v>
      </c>
    </row>
    <row r="143" spans="1:21" s="1" customFormat="1">
      <c r="A143" s="4">
        <v>45503</v>
      </c>
      <c r="B143" s="1" t="s">
        <v>48</v>
      </c>
      <c r="C143" s="1">
        <v>0</v>
      </c>
      <c r="D143" s="1">
        <v>0</v>
      </c>
      <c r="E143" s="1">
        <v>0</v>
      </c>
      <c r="F143" s="1" t="s">
        <v>48</v>
      </c>
      <c r="G143" s="1">
        <v>0</v>
      </c>
      <c r="H143" s="1">
        <v>0</v>
      </c>
      <c r="I143" s="1">
        <v>0</v>
      </c>
      <c r="J143" s="1" t="s">
        <v>48</v>
      </c>
      <c r="K143" s="1">
        <v>0</v>
      </c>
      <c r="L143" s="1">
        <v>0</v>
      </c>
      <c r="M143" s="1">
        <v>0</v>
      </c>
      <c r="N143" s="1" t="s">
        <v>48</v>
      </c>
      <c r="O143" s="1">
        <v>0</v>
      </c>
      <c r="P143" s="1">
        <v>0</v>
      </c>
      <c r="Q143" s="1" t="s">
        <v>48</v>
      </c>
      <c r="R143" s="1" t="s">
        <v>48</v>
      </c>
      <c r="S143" s="1">
        <v>0</v>
      </c>
      <c r="T143" s="1" t="s">
        <v>48</v>
      </c>
      <c r="U143" s="1">
        <v>0</v>
      </c>
    </row>
    <row r="144" spans="1:21" s="1" customFormat="1">
      <c r="A144" s="4">
        <v>45504</v>
      </c>
      <c r="B144" s="1" t="s">
        <v>48</v>
      </c>
      <c r="C144" s="1">
        <v>0</v>
      </c>
      <c r="D144" s="1">
        <v>0</v>
      </c>
      <c r="E144" s="1">
        <v>0</v>
      </c>
      <c r="F144" s="1" t="s">
        <v>48</v>
      </c>
      <c r="G144" s="1">
        <v>0</v>
      </c>
      <c r="H144" s="1">
        <v>0</v>
      </c>
      <c r="I144" s="1">
        <v>0</v>
      </c>
      <c r="J144" s="1" t="s">
        <v>48</v>
      </c>
      <c r="K144" s="1">
        <v>0</v>
      </c>
      <c r="L144" s="1">
        <v>0</v>
      </c>
      <c r="M144" s="1">
        <v>0</v>
      </c>
      <c r="N144" s="1" t="s">
        <v>48</v>
      </c>
      <c r="O144" s="1">
        <v>0</v>
      </c>
      <c r="P144" s="1">
        <v>0</v>
      </c>
      <c r="Q144" s="1">
        <v>0</v>
      </c>
      <c r="R144" s="1" t="s">
        <v>48</v>
      </c>
      <c r="S144" s="1">
        <v>0</v>
      </c>
      <c r="T144" s="1">
        <v>0</v>
      </c>
      <c r="U144" s="1" t="s">
        <v>48</v>
      </c>
    </row>
    <row r="145" spans="1:21" s="1" customFormat="1">
      <c r="A145" s="4">
        <v>45505</v>
      </c>
      <c r="B145" s="1" t="s">
        <v>48</v>
      </c>
      <c r="C145" s="1">
        <v>0</v>
      </c>
      <c r="D145" s="1">
        <v>0</v>
      </c>
      <c r="E145" s="1">
        <v>0</v>
      </c>
      <c r="F145" s="1" t="s">
        <v>48</v>
      </c>
      <c r="G145" s="1">
        <v>0</v>
      </c>
      <c r="H145" s="1">
        <v>0</v>
      </c>
      <c r="I145" s="1">
        <v>0</v>
      </c>
      <c r="J145" s="1" t="s">
        <v>48</v>
      </c>
      <c r="K145" s="1">
        <v>0</v>
      </c>
      <c r="L145" s="1">
        <v>0</v>
      </c>
      <c r="M145" s="1">
        <v>0</v>
      </c>
      <c r="N145" s="1" t="s">
        <v>48</v>
      </c>
      <c r="O145" s="1">
        <v>0</v>
      </c>
      <c r="P145" s="1">
        <v>0</v>
      </c>
      <c r="Q145" s="1">
        <v>0</v>
      </c>
      <c r="R145" s="1" t="s">
        <v>48</v>
      </c>
      <c r="S145" s="1">
        <v>0</v>
      </c>
      <c r="T145" s="1">
        <v>0</v>
      </c>
      <c r="U145" s="1">
        <v>0</v>
      </c>
    </row>
    <row r="146" spans="1:21" s="1" customFormat="1">
      <c r="A146" s="4">
        <v>45506</v>
      </c>
      <c r="B146" s="1" t="s">
        <v>48</v>
      </c>
      <c r="C146" s="1">
        <v>0</v>
      </c>
      <c r="D146" s="1">
        <v>0</v>
      </c>
      <c r="E146" s="1">
        <v>0</v>
      </c>
      <c r="F146" s="1" t="s">
        <v>48</v>
      </c>
      <c r="G146" s="1">
        <v>0</v>
      </c>
      <c r="H146" s="1">
        <v>0</v>
      </c>
      <c r="I146" s="1">
        <v>0</v>
      </c>
      <c r="J146" s="1" t="s">
        <v>48</v>
      </c>
      <c r="K146" s="1">
        <v>0</v>
      </c>
      <c r="L146" s="1">
        <v>0</v>
      </c>
      <c r="M146" s="1">
        <v>0</v>
      </c>
      <c r="N146" s="1" t="s">
        <v>48</v>
      </c>
      <c r="O146" s="1" t="s">
        <v>48</v>
      </c>
      <c r="P146" s="1">
        <v>0</v>
      </c>
      <c r="Q146" s="1">
        <v>0</v>
      </c>
      <c r="R146" s="1" t="s">
        <v>48</v>
      </c>
      <c r="S146" s="1">
        <v>0</v>
      </c>
      <c r="T146" s="1">
        <v>0</v>
      </c>
      <c r="U146" s="1">
        <v>0</v>
      </c>
    </row>
    <row r="147" spans="1:21" s="1" customFormat="1">
      <c r="A147" s="4">
        <v>45509</v>
      </c>
      <c r="B147" s="1" t="s">
        <v>48</v>
      </c>
      <c r="C147" s="1">
        <v>0</v>
      </c>
      <c r="D147" s="1">
        <v>0</v>
      </c>
      <c r="E147" s="1">
        <v>0</v>
      </c>
      <c r="F147" s="1" t="s">
        <v>48</v>
      </c>
      <c r="G147" s="1">
        <v>0</v>
      </c>
      <c r="H147" s="1">
        <v>0</v>
      </c>
      <c r="I147" s="1">
        <v>0</v>
      </c>
      <c r="J147" s="1" t="s">
        <v>48</v>
      </c>
      <c r="K147" s="1">
        <v>0</v>
      </c>
      <c r="L147" s="1">
        <v>0</v>
      </c>
      <c r="M147" s="1">
        <v>0</v>
      </c>
      <c r="N147" s="1" t="s">
        <v>48</v>
      </c>
      <c r="O147" s="1">
        <v>0</v>
      </c>
      <c r="P147" s="1" t="s">
        <v>48</v>
      </c>
      <c r="Q147" s="1">
        <v>0</v>
      </c>
      <c r="R147" s="1" t="s">
        <v>48</v>
      </c>
      <c r="S147" s="1" t="s">
        <v>48</v>
      </c>
      <c r="T147" s="1">
        <v>0</v>
      </c>
      <c r="U147" s="1">
        <v>0</v>
      </c>
    </row>
    <row r="148" spans="1:21" s="1" customFormat="1">
      <c r="A148" s="4">
        <v>45510</v>
      </c>
      <c r="B148" s="1" t="s">
        <v>48</v>
      </c>
      <c r="C148" s="1">
        <v>0</v>
      </c>
      <c r="D148" s="1">
        <v>0</v>
      </c>
      <c r="E148" s="1">
        <v>0</v>
      </c>
      <c r="F148" s="1" t="s">
        <v>48</v>
      </c>
      <c r="G148" s="1">
        <v>0</v>
      </c>
      <c r="H148" s="1">
        <v>0</v>
      </c>
      <c r="I148" s="1">
        <v>0</v>
      </c>
      <c r="J148" s="1" t="s">
        <v>48</v>
      </c>
      <c r="K148" s="1">
        <v>0</v>
      </c>
      <c r="L148" s="1">
        <v>0</v>
      </c>
      <c r="M148" s="1">
        <v>0</v>
      </c>
      <c r="N148" s="1" t="s">
        <v>48</v>
      </c>
      <c r="O148" s="1">
        <v>0</v>
      </c>
      <c r="P148" s="1">
        <v>0</v>
      </c>
      <c r="Q148" s="1" t="s">
        <v>48</v>
      </c>
      <c r="R148" s="1" t="s">
        <v>48</v>
      </c>
      <c r="S148" s="1">
        <v>0</v>
      </c>
      <c r="T148" s="1" t="s">
        <v>48</v>
      </c>
      <c r="U148" s="1">
        <v>0</v>
      </c>
    </row>
    <row r="149" spans="1:21" s="1" customFormat="1">
      <c r="A149" s="4">
        <v>45511</v>
      </c>
      <c r="B149" s="1" t="s">
        <v>48</v>
      </c>
      <c r="C149" s="1">
        <v>0</v>
      </c>
      <c r="D149" s="1">
        <v>0</v>
      </c>
      <c r="E149" s="1">
        <v>0</v>
      </c>
      <c r="F149" s="1" t="s">
        <v>48</v>
      </c>
      <c r="G149" s="1">
        <v>0</v>
      </c>
      <c r="H149" s="1">
        <v>0</v>
      </c>
      <c r="I149" s="1">
        <v>0</v>
      </c>
      <c r="J149" s="1" t="s">
        <v>48</v>
      </c>
      <c r="K149" s="1">
        <v>0</v>
      </c>
      <c r="L149" s="1">
        <v>0</v>
      </c>
      <c r="M149" s="1">
        <v>0</v>
      </c>
      <c r="N149" s="1" t="s">
        <v>48</v>
      </c>
      <c r="O149" s="1">
        <v>0</v>
      </c>
      <c r="P149" s="1">
        <v>0</v>
      </c>
      <c r="Q149" s="1">
        <v>0</v>
      </c>
      <c r="R149" s="1" t="s">
        <v>48</v>
      </c>
      <c r="S149" s="1">
        <v>0</v>
      </c>
      <c r="T149" s="1">
        <v>0</v>
      </c>
      <c r="U149" s="1" t="s">
        <v>48</v>
      </c>
    </row>
    <row r="150" spans="1:21" s="1" customFormat="1">
      <c r="A150" s="4">
        <v>45512</v>
      </c>
      <c r="B150" s="1" t="s">
        <v>48</v>
      </c>
      <c r="C150" s="1">
        <v>0</v>
      </c>
      <c r="D150" s="1">
        <v>0</v>
      </c>
      <c r="E150" s="1">
        <v>0</v>
      </c>
      <c r="F150" s="1" t="s">
        <v>48</v>
      </c>
      <c r="G150" s="1">
        <v>0</v>
      </c>
      <c r="H150" s="1">
        <v>0</v>
      </c>
      <c r="I150" s="1">
        <v>0</v>
      </c>
      <c r="J150" s="1" t="s">
        <v>48</v>
      </c>
      <c r="K150" s="1">
        <v>0</v>
      </c>
      <c r="L150" s="1">
        <v>0</v>
      </c>
      <c r="M150" s="1">
        <v>0</v>
      </c>
      <c r="N150" s="1" t="s">
        <v>48</v>
      </c>
      <c r="O150" s="1">
        <v>0</v>
      </c>
      <c r="P150" s="1">
        <v>0</v>
      </c>
      <c r="Q150" s="1">
        <v>0</v>
      </c>
      <c r="R150" s="1" t="s">
        <v>48</v>
      </c>
      <c r="S150" s="1">
        <v>0</v>
      </c>
      <c r="T150" s="1">
        <v>0</v>
      </c>
      <c r="U150" s="1">
        <v>0</v>
      </c>
    </row>
    <row r="151" spans="1:21" s="1" customFormat="1">
      <c r="A151" s="4">
        <v>45513</v>
      </c>
      <c r="B151" s="1" t="s">
        <v>48</v>
      </c>
      <c r="C151" s="1">
        <v>0</v>
      </c>
      <c r="D151" s="1">
        <v>0</v>
      </c>
      <c r="E151" s="1">
        <v>0</v>
      </c>
      <c r="F151" s="1" t="s">
        <v>48</v>
      </c>
      <c r="G151" s="1">
        <v>0</v>
      </c>
      <c r="H151" s="1">
        <v>0</v>
      </c>
      <c r="I151" s="1">
        <v>0</v>
      </c>
      <c r="J151" s="1" t="s">
        <v>48</v>
      </c>
      <c r="K151" s="1">
        <v>0</v>
      </c>
      <c r="L151" s="1">
        <v>0</v>
      </c>
      <c r="M151" s="1">
        <v>0</v>
      </c>
      <c r="N151" s="1" t="s">
        <v>48</v>
      </c>
      <c r="O151" s="1" t="s">
        <v>48</v>
      </c>
      <c r="P151" s="1" t="s">
        <v>48</v>
      </c>
      <c r="Q151" s="1">
        <v>0</v>
      </c>
      <c r="R151" s="1" t="s">
        <v>61</v>
      </c>
      <c r="S151" s="1">
        <v>0</v>
      </c>
      <c r="T151" s="1">
        <v>0</v>
      </c>
      <c r="U151" s="1">
        <v>0</v>
      </c>
    </row>
    <row r="152" spans="1:21" s="1" customFormat="1">
      <c r="A152" s="4">
        <v>45516</v>
      </c>
      <c r="B152" s="1" t="s">
        <v>48</v>
      </c>
      <c r="C152" s="1">
        <v>0</v>
      </c>
      <c r="D152" s="1">
        <v>0</v>
      </c>
      <c r="E152" s="1">
        <v>0</v>
      </c>
      <c r="F152" s="1" t="s">
        <v>48</v>
      </c>
      <c r="G152" s="1">
        <v>0</v>
      </c>
      <c r="H152" s="1">
        <v>0</v>
      </c>
      <c r="I152" s="1">
        <v>0</v>
      </c>
      <c r="J152" s="1" t="s">
        <v>48</v>
      </c>
      <c r="K152" s="1">
        <v>0</v>
      </c>
      <c r="L152" s="1">
        <v>0</v>
      </c>
      <c r="M152" s="1">
        <v>0</v>
      </c>
      <c r="N152" s="1" t="s">
        <v>48</v>
      </c>
      <c r="O152" s="1">
        <v>0</v>
      </c>
      <c r="P152" s="1">
        <v>0</v>
      </c>
      <c r="Q152" s="1" t="s">
        <v>48</v>
      </c>
      <c r="R152" s="1" t="s">
        <v>48</v>
      </c>
      <c r="S152" s="1" t="s">
        <v>48</v>
      </c>
      <c r="T152" s="1" t="s">
        <v>48</v>
      </c>
      <c r="U152" s="1">
        <v>0</v>
      </c>
    </row>
    <row r="153" spans="1:21" s="1" customFormat="1">
      <c r="A153" s="4">
        <v>45517</v>
      </c>
      <c r="B153" s="1" t="s">
        <v>48</v>
      </c>
      <c r="C153" s="1">
        <v>0</v>
      </c>
      <c r="D153" s="1">
        <v>0</v>
      </c>
      <c r="E153" s="1">
        <v>0</v>
      </c>
      <c r="F153" s="1" t="s">
        <v>48</v>
      </c>
      <c r="G153" s="1">
        <v>0</v>
      </c>
      <c r="H153" s="1">
        <v>0</v>
      </c>
      <c r="I153" s="1">
        <v>0</v>
      </c>
      <c r="J153" s="1" t="s">
        <v>48</v>
      </c>
      <c r="K153" s="1">
        <v>0</v>
      </c>
      <c r="L153" s="1">
        <v>0</v>
      </c>
      <c r="M153" s="1">
        <v>0</v>
      </c>
      <c r="N153" s="1" t="s">
        <v>48</v>
      </c>
      <c r="O153" s="1">
        <v>0</v>
      </c>
      <c r="P153" s="1">
        <v>0</v>
      </c>
      <c r="Q153" s="1">
        <v>0</v>
      </c>
      <c r="R153" s="1" t="s">
        <v>48</v>
      </c>
      <c r="S153" s="1">
        <v>0</v>
      </c>
      <c r="T153" s="1">
        <v>0</v>
      </c>
      <c r="U153" s="1" t="s">
        <v>48</v>
      </c>
    </row>
    <row r="154" spans="1:21" s="1" customFormat="1">
      <c r="A154" s="4">
        <v>45518</v>
      </c>
      <c r="B154" s="1" t="s">
        <v>48</v>
      </c>
      <c r="C154" s="1">
        <v>0</v>
      </c>
      <c r="D154" s="1">
        <v>0</v>
      </c>
      <c r="E154" s="1">
        <v>0</v>
      </c>
      <c r="F154" s="1" t="s">
        <v>48</v>
      </c>
      <c r="G154" s="1">
        <v>0</v>
      </c>
      <c r="H154" s="1">
        <v>0</v>
      </c>
      <c r="I154" s="1">
        <v>0</v>
      </c>
      <c r="J154" s="1" t="s">
        <v>48</v>
      </c>
      <c r="K154" s="1">
        <v>0</v>
      </c>
      <c r="L154" s="1">
        <v>0</v>
      </c>
      <c r="M154" s="1">
        <v>0</v>
      </c>
      <c r="N154" s="1" t="s">
        <v>48</v>
      </c>
      <c r="O154" s="1">
        <v>0</v>
      </c>
      <c r="P154" s="1">
        <v>0</v>
      </c>
      <c r="Q154" s="1">
        <v>0</v>
      </c>
      <c r="R154" s="1" t="s">
        <v>48</v>
      </c>
      <c r="S154" s="1">
        <v>0</v>
      </c>
      <c r="T154" s="1">
        <v>0</v>
      </c>
      <c r="U154" s="1">
        <v>0</v>
      </c>
    </row>
    <row r="155" spans="1:21" s="1" customFormat="1">
      <c r="A155" s="4">
        <v>45520</v>
      </c>
      <c r="B155" s="1" t="s">
        <v>48</v>
      </c>
      <c r="C155" s="1">
        <v>0</v>
      </c>
      <c r="D155" s="1">
        <v>0</v>
      </c>
      <c r="E155" s="1">
        <v>0</v>
      </c>
      <c r="F155" s="1" t="s">
        <v>48</v>
      </c>
      <c r="G155" s="1">
        <v>0</v>
      </c>
      <c r="H155" s="1">
        <v>0</v>
      </c>
      <c r="I155" s="1">
        <v>0</v>
      </c>
      <c r="J155" s="1" t="s">
        <v>48</v>
      </c>
      <c r="K155" s="1">
        <v>0</v>
      </c>
      <c r="L155" s="1">
        <v>0</v>
      </c>
      <c r="M155" s="1">
        <v>0</v>
      </c>
      <c r="N155" s="1" t="s">
        <v>48</v>
      </c>
      <c r="O155" s="1" t="s">
        <v>48</v>
      </c>
      <c r="P155" s="1">
        <v>0</v>
      </c>
      <c r="Q155" s="1">
        <v>0</v>
      </c>
      <c r="R155" s="1" t="s">
        <v>48</v>
      </c>
      <c r="S155" s="1">
        <v>0</v>
      </c>
      <c r="T155" s="1">
        <v>0</v>
      </c>
      <c r="U155" s="1">
        <v>0</v>
      </c>
    </row>
    <row r="156" spans="1:21" s="1" customFormat="1">
      <c r="A156" s="4">
        <v>45523</v>
      </c>
      <c r="B156" s="1" t="s">
        <v>48</v>
      </c>
      <c r="C156" s="1">
        <v>0</v>
      </c>
      <c r="D156" s="1">
        <v>0</v>
      </c>
      <c r="E156" s="1">
        <v>0</v>
      </c>
      <c r="F156" s="1" t="s">
        <v>48</v>
      </c>
      <c r="G156" s="1">
        <v>0</v>
      </c>
      <c r="H156" s="1">
        <v>0</v>
      </c>
      <c r="I156" s="1">
        <v>0</v>
      </c>
      <c r="J156" s="1" t="s">
        <v>48</v>
      </c>
      <c r="K156" s="1">
        <v>0</v>
      </c>
      <c r="L156" s="1">
        <v>0</v>
      </c>
      <c r="M156" s="1">
        <v>0</v>
      </c>
      <c r="N156" s="1" t="s">
        <v>48</v>
      </c>
      <c r="O156" s="1">
        <v>0</v>
      </c>
      <c r="P156" s="1" t="s">
        <v>48</v>
      </c>
      <c r="Q156" s="1">
        <v>0</v>
      </c>
      <c r="R156" s="1" t="s">
        <v>48</v>
      </c>
      <c r="S156" s="1" t="s">
        <v>48</v>
      </c>
      <c r="T156" s="1">
        <v>0</v>
      </c>
      <c r="U156" s="1">
        <v>0</v>
      </c>
    </row>
    <row r="157" spans="1:21" s="1" customFormat="1">
      <c r="A157" s="4">
        <v>45524</v>
      </c>
      <c r="B157" s="1" t="s">
        <v>48</v>
      </c>
      <c r="C157" s="1">
        <v>0</v>
      </c>
      <c r="D157" s="1">
        <v>0</v>
      </c>
      <c r="E157" s="1">
        <v>0</v>
      </c>
      <c r="F157" s="1" t="s">
        <v>48</v>
      </c>
      <c r="G157" s="1">
        <v>0</v>
      </c>
      <c r="H157" s="1">
        <v>0</v>
      </c>
      <c r="I157" s="1">
        <v>0</v>
      </c>
      <c r="J157" s="1" t="s">
        <v>48</v>
      </c>
      <c r="K157" s="1" t="s">
        <v>48</v>
      </c>
      <c r="L157" s="1">
        <v>0</v>
      </c>
      <c r="M157" s="1">
        <v>0</v>
      </c>
      <c r="N157" s="1" t="s">
        <v>48</v>
      </c>
      <c r="O157" s="1">
        <v>0</v>
      </c>
      <c r="P157" s="1">
        <v>0</v>
      </c>
      <c r="Q157" s="1" t="s">
        <v>48</v>
      </c>
      <c r="R157" s="1" t="s">
        <v>48</v>
      </c>
      <c r="S157" s="1">
        <v>0</v>
      </c>
      <c r="T157" s="1" t="s">
        <v>48</v>
      </c>
      <c r="U157" s="1">
        <v>0</v>
      </c>
    </row>
    <row r="158" spans="1:21" s="1" customFormat="1">
      <c r="A158" s="4">
        <v>45525</v>
      </c>
      <c r="B158" s="1" t="s">
        <v>48</v>
      </c>
      <c r="C158" s="1">
        <v>0</v>
      </c>
      <c r="D158" s="1">
        <v>0</v>
      </c>
      <c r="E158" s="1">
        <v>0</v>
      </c>
      <c r="F158" s="1" t="s">
        <v>48</v>
      </c>
      <c r="G158" s="1" t="s">
        <v>48</v>
      </c>
      <c r="H158" s="1">
        <v>0</v>
      </c>
      <c r="I158" s="1">
        <v>0</v>
      </c>
      <c r="J158" s="1" t="s">
        <v>48</v>
      </c>
      <c r="K158" s="1">
        <v>0</v>
      </c>
      <c r="L158" s="1" t="s">
        <v>48</v>
      </c>
      <c r="M158" s="1">
        <v>0</v>
      </c>
      <c r="N158" s="1" t="s">
        <v>48</v>
      </c>
      <c r="O158" s="1">
        <v>0</v>
      </c>
      <c r="P158" s="1">
        <v>0</v>
      </c>
      <c r="Q158" s="1">
        <v>0</v>
      </c>
      <c r="R158" s="1" t="s">
        <v>48</v>
      </c>
      <c r="S158" s="1">
        <v>0</v>
      </c>
      <c r="T158" s="1">
        <v>0</v>
      </c>
      <c r="U158" s="1" t="s">
        <v>48</v>
      </c>
    </row>
    <row r="159" spans="1:21" s="1" customFormat="1">
      <c r="A159" s="4">
        <v>45526</v>
      </c>
      <c r="B159" s="1" t="s">
        <v>48</v>
      </c>
      <c r="C159" s="1" t="s">
        <v>48</v>
      </c>
      <c r="D159" s="1">
        <v>0</v>
      </c>
      <c r="E159" s="1">
        <v>0</v>
      </c>
      <c r="F159" s="1" t="s">
        <v>48</v>
      </c>
      <c r="G159" s="1">
        <v>0</v>
      </c>
      <c r="H159" s="1" t="s">
        <v>48</v>
      </c>
      <c r="I159" s="1">
        <v>0</v>
      </c>
      <c r="J159" s="1" t="s">
        <v>48</v>
      </c>
      <c r="K159" s="1">
        <v>0</v>
      </c>
      <c r="L159" s="1">
        <v>0</v>
      </c>
      <c r="M159" s="1" t="s">
        <v>48</v>
      </c>
      <c r="N159" s="1" t="s">
        <v>48</v>
      </c>
      <c r="O159" s="1">
        <v>0</v>
      </c>
      <c r="P159" s="1">
        <v>0</v>
      </c>
      <c r="Q159" s="1">
        <v>0</v>
      </c>
      <c r="R159" s="1" t="s">
        <v>48</v>
      </c>
      <c r="S159" s="1">
        <v>0</v>
      </c>
      <c r="T159" s="1">
        <v>0</v>
      </c>
      <c r="U159" s="1">
        <v>0</v>
      </c>
    </row>
    <row r="160" spans="1:21" s="1" customFormat="1">
      <c r="A160" s="4">
        <v>45527</v>
      </c>
      <c r="B160" s="1" t="s">
        <v>48</v>
      </c>
      <c r="C160" s="1">
        <v>0</v>
      </c>
      <c r="D160" s="1" t="s">
        <v>48</v>
      </c>
      <c r="E160" s="1">
        <v>0</v>
      </c>
      <c r="F160" s="1" t="s">
        <v>48</v>
      </c>
      <c r="G160" s="1">
        <v>0</v>
      </c>
      <c r="H160" s="1">
        <v>0</v>
      </c>
      <c r="I160" s="1" t="s">
        <v>48</v>
      </c>
      <c r="J160" s="1" t="s">
        <v>48</v>
      </c>
      <c r="K160" s="1">
        <v>0</v>
      </c>
      <c r="L160" s="1">
        <v>0</v>
      </c>
      <c r="M160" s="1">
        <v>0</v>
      </c>
      <c r="N160" s="1" t="s">
        <v>48</v>
      </c>
      <c r="O160" s="1" t="s">
        <v>48</v>
      </c>
      <c r="P160" s="1">
        <v>0</v>
      </c>
      <c r="Q160" s="1">
        <v>0</v>
      </c>
      <c r="R160" s="1" t="s">
        <v>48</v>
      </c>
      <c r="S160" s="1">
        <v>0</v>
      </c>
      <c r="T160" s="1">
        <v>0</v>
      </c>
      <c r="U160" s="1">
        <v>0</v>
      </c>
    </row>
    <row r="161" spans="1:21" s="1" customFormat="1">
      <c r="A161" s="4">
        <v>45530</v>
      </c>
      <c r="B161" s="1" t="s">
        <v>48</v>
      </c>
      <c r="C161" s="1">
        <v>0</v>
      </c>
      <c r="D161" s="1">
        <v>0</v>
      </c>
      <c r="E161" s="1" t="s">
        <v>48</v>
      </c>
      <c r="F161" s="1" t="s">
        <v>48</v>
      </c>
      <c r="G161" s="1">
        <v>0</v>
      </c>
      <c r="H161" s="1">
        <v>0</v>
      </c>
      <c r="I161" s="1">
        <v>0</v>
      </c>
      <c r="J161" s="1" t="s">
        <v>48</v>
      </c>
      <c r="K161" s="1">
        <v>0</v>
      </c>
      <c r="L161" s="1">
        <v>0</v>
      </c>
      <c r="M161" s="1">
        <v>0</v>
      </c>
      <c r="N161" s="1" t="s">
        <v>48</v>
      </c>
      <c r="O161" s="1">
        <v>0</v>
      </c>
      <c r="P161" s="1" t="s">
        <v>48</v>
      </c>
      <c r="Q161" s="1">
        <v>0</v>
      </c>
      <c r="R161" s="1" t="s">
        <v>48</v>
      </c>
      <c r="S161" s="1" t="s">
        <v>48</v>
      </c>
      <c r="T161" s="1">
        <v>0</v>
      </c>
      <c r="U161" s="1">
        <v>0</v>
      </c>
    </row>
    <row r="162" spans="1:21" s="1" customFormat="1">
      <c r="A162" s="4">
        <v>45531</v>
      </c>
      <c r="B162" s="1" t="s">
        <v>48</v>
      </c>
      <c r="C162" s="1">
        <v>0</v>
      </c>
      <c r="D162" s="1">
        <v>0</v>
      </c>
      <c r="E162" s="1">
        <v>0</v>
      </c>
      <c r="F162" s="1" t="s">
        <v>48</v>
      </c>
      <c r="G162" s="1">
        <v>0</v>
      </c>
      <c r="H162" s="1">
        <v>0</v>
      </c>
      <c r="I162" s="1">
        <v>0</v>
      </c>
      <c r="J162" s="1" t="s">
        <v>48</v>
      </c>
      <c r="K162" s="1">
        <v>0</v>
      </c>
      <c r="L162" s="1">
        <v>0</v>
      </c>
      <c r="M162" s="1">
        <v>0</v>
      </c>
      <c r="N162" s="1" t="s">
        <v>48</v>
      </c>
      <c r="O162" s="1">
        <v>0</v>
      </c>
      <c r="P162" s="1">
        <v>0</v>
      </c>
      <c r="Q162" s="1" t="s">
        <v>48</v>
      </c>
      <c r="R162" s="1" t="s">
        <v>48</v>
      </c>
      <c r="S162" s="1">
        <v>0</v>
      </c>
      <c r="T162" s="1" t="s">
        <v>48</v>
      </c>
      <c r="U162" s="1">
        <v>0</v>
      </c>
    </row>
    <row r="163" spans="1:21" s="1" customFormat="1">
      <c r="A163" s="4">
        <v>45532</v>
      </c>
      <c r="B163" s="1" t="s">
        <v>48</v>
      </c>
      <c r="C163" s="1">
        <v>0</v>
      </c>
      <c r="D163" s="1">
        <v>0</v>
      </c>
      <c r="E163" s="1">
        <v>0</v>
      </c>
      <c r="F163" s="1" t="s">
        <v>48</v>
      </c>
      <c r="G163" s="1">
        <v>0</v>
      </c>
      <c r="H163" s="1">
        <v>0</v>
      </c>
      <c r="I163" s="1">
        <v>0</v>
      </c>
      <c r="J163" s="1" t="s">
        <v>48</v>
      </c>
      <c r="K163" s="1">
        <v>0</v>
      </c>
      <c r="L163" s="1">
        <v>0</v>
      </c>
      <c r="M163" s="1">
        <v>0</v>
      </c>
      <c r="N163" s="1" t="s">
        <v>48</v>
      </c>
      <c r="O163" s="1">
        <v>0</v>
      </c>
      <c r="P163" s="1">
        <v>0</v>
      </c>
      <c r="Q163" s="1">
        <v>0</v>
      </c>
      <c r="R163" s="1" t="s">
        <v>48</v>
      </c>
      <c r="S163" s="1">
        <v>0</v>
      </c>
      <c r="T163" s="1">
        <v>0</v>
      </c>
      <c r="U163" s="1" t="s">
        <v>48</v>
      </c>
    </row>
    <row r="164" spans="1:21" s="1" customFormat="1">
      <c r="A164" s="4">
        <v>45533</v>
      </c>
      <c r="B164" s="1" t="s">
        <v>48</v>
      </c>
      <c r="C164" s="1">
        <v>0</v>
      </c>
      <c r="D164" s="1">
        <v>0</v>
      </c>
      <c r="E164" s="1">
        <v>0</v>
      </c>
      <c r="F164" s="1" t="s">
        <v>48</v>
      </c>
      <c r="G164" s="1">
        <v>0</v>
      </c>
      <c r="H164" s="1">
        <v>0</v>
      </c>
      <c r="I164" s="1">
        <v>0</v>
      </c>
      <c r="J164" s="1" t="s">
        <v>48</v>
      </c>
      <c r="K164" s="1">
        <v>0</v>
      </c>
      <c r="L164" s="1">
        <v>0</v>
      </c>
      <c r="M164" s="1">
        <v>0</v>
      </c>
      <c r="N164" s="1" t="s">
        <v>48</v>
      </c>
      <c r="O164" s="1">
        <v>0</v>
      </c>
      <c r="P164" s="1">
        <v>0</v>
      </c>
      <c r="Q164" s="1">
        <v>0</v>
      </c>
      <c r="R164" s="1" t="s">
        <v>48</v>
      </c>
      <c r="S164" s="1">
        <v>0</v>
      </c>
      <c r="T164" s="1">
        <v>0</v>
      </c>
      <c r="U164" s="1">
        <v>0</v>
      </c>
    </row>
    <row r="165" spans="1:21" s="1" customFormat="1">
      <c r="A165" s="4">
        <v>45534</v>
      </c>
      <c r="B165" s="1" t="s">
        <v>48</v>
      </c>
      <c r="C165" s="1">
        <v>0</v>
      </c>
      <c r="D165" s="1">
        <v>0</v>
      </c>
      <c r="E165" s="1">
        <v>0</v>
      </c>
      <c r="F165" s="1" t="s">
        <v>48</v>
      </c>
      <c r="G165" s="1">
        <v>0</v>
      </c>
      <c r="H165" s="1">
        <v>0</v>
      </c>
      <c r="I165" s="1">
        <v>0</v>
      </c>
      <c r="J165" s="1" t="s">
        <v>48</v>
      </c>
      <c r="K165" s="1">
        <v>0</v>
      </c>
      <c r="L165" s="1">
        <v>0</v>
      </c>
      <c r="M165" s="1">
        <v>0</v>
      </c>
      <c r="N165" s="1" t="s">
        <v>48</v>
      </c>
      <c r="O165" s="1" t="s">
        <v>48</v>
      </c>
      <c r="P165" s="1">
        <v>0</v>
      </c>
      <c r="Q165" s="1">
        <v>0</v>
      </c>
      <c r="R165" s="1" t="s">
        <v>48</v>
      </c>
      <c r="S165" s="1">
        <v>0</v>
      </c>
      <c r="T165" s="1">
        <v>0</v>
      </c>
      <c r="U165" s="1">
        <v>0</v>
      </c>
    </row>
    <row r="166" spans="1:21" s="1" customFormat="1">
      <c r="A166" s="4">
        <v>45537</v>
      </c>
      <c r="B166" s="1" t="s">
        <v>48</v>
      </c>
      <c r="C166" s="1">
        <v>0</v>
      </c>
      <c r="D166" s="1">
        <v>0</v>
      </c>
      <c r="E166" s="1">
        <v>0</v>
      </c>
      <c r="F166" s="1" t="s">
        <v>48</v>
      </c>
      <c r="G166" s="1">
        <v>0</v>
      </c>
      <c r="H166" s="1">
        <v>0</v>
      </c>
      <c r="I166" s="1">
        <v>0</v>
      </c>
      <c r="J166" s="1" t="s">
        <v>48</v>
      </c>
      <c r="K166" s="1">
        <v>0</v>
      </c>
      <c r="L166" s="1">
        <v>0</v>
      </c>
      <c r="M166" s="1">
        <v>0</v>
      </c>
      <c r="N166" s="1" t="s">
        <v>48</v>
      </c>
      <c r="O166" s="1">
        <v>0</v>
      </c>
      <c r="P166" s="1" t="s">
        <v>48</v>
      </c>
      <c r="Q166" s="1">
        <v>0</v>
      </c>
      <c r="R166" s="1" t="s">
        <v>48</v>
      </c>
      <c r="S166" s="1" t="s">
        <v>48</v>
      </c>
      <c r="T166" s="1">
        <v>0</v>
      </c>
      <c r="U166" s="1">
        <v>0</v>
      </c>
    </row>
    <row r="167" spans="1:21" s="1" customFormat="1">
      <c r="A167" s="4">
        <v>45538</v>
      </c>
      <c r="B167" s="1" t="s">
        <v>48</v>
      </c>
      <c r="C167" s="1">
        <v>0</v>
      </c>
      <c r="D167" s="1">
        <v>0</v>
      </c>
      <c r="E167" s="1">
        <v>0</v>
      </c>
      <c r="F167" s="1" t="s">
        <v>48</v>
      </c>
      <c r="G167" s="1">
        <v>0</v>
      </c>
      <c r="H167" s="1">
        <v>0</v>
      </c>
      <c r="I167" s="1">
        <v>0</v>
      </c>
      <c r="J167" s="1" t="s">
        <v>48</v>
      </c>
      <c r="K167" s="1">
        <v>0</v>
      </c>
      <c r="L167" s="1">
        <v>0</v>
      </c>
      <c r="M167" s="1">
        <v>0</v>
      </c>
      <c r="N167" s="1" t="s">
        <v>48</v>
      </c>
      <c r="O167" s="1">
        <v>0</v>
      </c>
      <c r="P167" s="1">
        <v>0</v>
      </c>
      <c r="Q167" s="1" t="s">
        <v>48</v>
      </c>
      <c r="R167" s="1" t="s">
        <v>48</v>
      </c>
      <c r="S167" s="1">
        <v>0</v>
      </c>
      <c r="T167" s="1" t="s">
        <v>48</v>
      </c>
      <c r="U167" s="1">
        <v>0</v>
      </c>
    </row>
    <row r="168" spans="1:21" s="1" customFormat="1">
      <c r="A168" s="4">
        <v>45539</v>
      </c>
      <c r="B168" s="1" t="s">
        <v>48</v>
      </c>
      <c r="C168" s="1">
        <v>0</v>
      </c>
      <c r="D168" s="1">
        <v>0</v>
      </c>
      <c r="E168" s="1">
        <v>0</v>
      </c>
      <c r="F168" s="1" t="s">
        <v>48</v>
      </c>
      <c r="G168" s="1">
        <v>0</v>
      </c>
      <c r="H168" s="1">
        <v>0</v>
      </c>
      <c r="I168" s="1">
        <v>0</v>
      </c>
      <c r="J168" s="1" t="s">
        <v>48</v>
      </c>
      <c r="K168" s="1">
        <v>0</v>
      </c>
      <c r="L168" s="1">
        <v>0</v>
      </c>
      <c r="M168" s="1">
        <v>0</v>
      </c>
      <c r="N168" s="1" t="s">
        <v>48</v>
      </c>
      <c r="O168" s="1">
        <v>0</v>
      </c>
      <c r="P168" s="1">
        <v>0</v>
      </c>
      <c r="Q168" s="1">
        <v>0</v>
      </c>
      <c r="R168" s="1" t="s">
        <v>48</v>
      </c>
      <c r="S168" s="1">
        <v>0</v>
      </c>
      <c r="T168" s="1">
        <v>0</v>
      </c>
      <c r="U168" s="1" t="s">
        <v>48</v>
      </c>
    </row>
    <row r="169" spans="1:21" s="1" customFormat="1">
      <c r="A169" s="4">
        <v>45540</v>
      </c>
      <c r="B169" s="1" t="s">
        <v>48</v>
      </c>
      <c r="C169" s="1">
        <v>0</v>
      </c>
      <c r="D169" s="1">
        <v>0</v>
      </c>
      <c r="E169" s="1">
        <v>0</v>
      </c>
      <c r="F169" s="1" t="s">
        <v>48</v>
      </c>
      <c r="G169" s="1">
        <v>0</v>
      </c>
      <c r="H169" s="1">
        <v>0</v>
      </c>
      <c r="I169" s="1">
        <v>0</v>
      </c>
      <c r="J169" s="1" t="s">
        <v>48</v>
      </c>
      <c r="K169" s="1">
        <v>0</v>
      </c>
      <c r="L169" s="1">
        <v>0</v>
      </c>
      <c r="M169" s="1">
        <v>0</v>
      </c>
      <c r="N169" s="1" t="s">
        <v>48</v>
      </c>
      <c r="O169" s="1">
        <v>0</v>
      </c>
      <c r="P169" s="1">
        <v>0</v>
      </c>
      <c r="Q169" s="1">
        <v>0</v>
      </c>
      <c r="R169" s="1" t="s">
        <v>48</v>
      </c>
      <c r="S169" s="1">
        <v>0</v>
      </c>
      <c r="T169" s="1">
        <v>0</v>
      </c>
      <c r="U169" s="1">
        <v>0</v>
      </c>
    </row>
    <row r="170" spans="1:21" s="1" customFormat="1">
      <c r="A170" s="4">
        <v>45541</v>
      </c>
      <c r="B170" s="1" t="s">
        <v>48</v>
      </c>
      <c r="C170" s="1">
        <v>0</v>
      </c>
      <c r="D170" s="1">
        <v>0</v>
      </c>
      <c r="E170" s="1">
        <v>0</v>
      </c>
      <c r="F170" s="1" t="s">
        <v>48</v>
      </c>
      <c r="G170" s="1">
        <v>0</v>
      </c>
      <c r="H170" s="1">
        <v>0</v>
      </c>
      <c r="I170" s="1">
        <v>0</v>
      </c>
      <c r="J170" s="1" t="s">
        <v>48</v>
      </c>
      <c r="K170" s="1">
        <v>0</v>
      </c>
      <c r="L170" s="1">
        <v>0</v>
      </c>
      <c r="M170" s="1">
        <v>0</v>
      </c>
      <c r="N170" s="1" t="s">
        <v>48</v>
      </c>
      <c r="O170" s="1" t="s">
        <v>48</v>
      </c>
      <c r="P170" s="1">
        <v>0</v>
      </c>
      <c r="Q170" s="1">
        <v>0</v>
      </c>
      <c r="R170" s="1" t="s">
        <v>48</v>
      </c>
      <c r="S170" s="1">
        <v>0</v>
      </c>
      <c r="T170" s="1">
        <v>0</v>
      </c>
      <c r="U170" s="1">
        <v>0</v>
      </c>
    </row>
    <row r="171" spans="1:21" s="1" customFormat="1">
      <c r="A171" s="4">
        <v>45544</v>
      </c>
      <c r="B171" s="1" t="s">
        <v>48</v>
      </c>
      <c r="C171" s="1">
        <v>0</v>
      </c>
      <c r="D171" s="1">
        <v>0</v>
      </c>
      <c r="E171" s="1">
        <v>0</v>
      </c>
      <c r="F171" s="1" t="s">
        <v>48</v>
      </c>
      <c r="G171" s="1">
        <v>0</v>
      </c>
      <c r="H171" s="1">
        <v>0</v>
      </c>
      <c r="I171" s="1">
        <v>0</v>
      </c>
      <c r="J171" s="1" t="s">
        <v>48</v>
      </c>
      <c r="K171" s="1">
        <v>0</v>
      </c>
      <c r="L171" s="1">
        <v>0</v>
      </c>
      <c r="M171" s="1">
        <v>0</v>
      </c>
      <c r="N171" s="1" t="s">
        <v>48</v>
      </c>
      <c r="O171" s="1">
        <v>0</v>
      </c>
      <c r="P171" s="1" t="s">
        <v>48</v>
      </c>
      <c r="Q171" s="1">
        <v>0</v>
      </c>
      <c r="R171" s="1" t="s">
        <v>48</v>
      </c>
      <c r="S171" s="1" t="s">
        <v>48</v>
      </c>
      <c r="T171" s="1">
        <v>0</v>
      </c>
      <c r="U171" s="1">
        <v>0</v>
      </c>
    </row>
    <row r="172" spans="1:21" s="1" customFormat="1">
      <c r="A172" s="4">
        <v>45545</v>
      </c>
      <c r="B172" s="1" t="s">
        <v>48</v>
      </c>
      <c r="C172" s="1">
        <v>0</v>
      </c>
      <c r="D172" s="1">
        <v>0</v>
      </c>
      <c r="E172" s="1">
        <v>0</v>
      </c>
      <c r="F172" s="1" t="s">
        <v>48</v>
      </c>
      <c r="G172" s="1">
        <v>0</v>
      </c>
      <c r="H172" s="1">
        <v>0</v>
      </c>
      <c r="I172" s="1">
        <v>0</v>
      </c>
      <c r="J172" s="1" t="s">
        <v>48</v>
      </c>
      <c r="K172" s="1">
        <v>0</v>
      </c>
      <c r="L172" s="1">
        <v>0</v>
      </c>
      <c r="M172" s="1">
        <v>0</v>
      </c>
      <c r="N172" s="1" t="s">
        <v>48</v>
      </c>
      <c r="O172" s="1">
        <v>0</v>
      </c>
      <c r="P172" s="1">
        <v>0</v>
      </c>
      <c r="Q172" s="1" t="s">
        <v>48</v>
      </c>
      <c r="R172" s="1" t="s">
        <v>48</v>
      </c>
      <c r="S172" s="1">
        <v>0</v>
      </c>
      <c r="T172" s="1" t="s">
        <v>48</v>
      </c>
      <c r="U172" s="1">
        <v>0</v>
      </c>
    </row>
    <row r="173" spans="1:21" s="1" customFormat="1">
      <c r="A173" s="4">
        <v>45546</v>
      </c>
      <c r="B173" s="1" t="s">
        <v>48</v>
      </c>
      <c r="C173" s="1">
        <v>0</v>
      </c>
      <c r="D173" s="1">
        <v>0</v>
      </c>
      <c r="E173" s="1">
        <v>0</v>
      </c>
      <c r="F173" s="1" t="s">
        <v>48</v>
      </c>
      <c r="G173" s="1">
        <v>0</v>
      </c>
      <c r="H173" s="1">
        <v>0</v>
      </c>
      <c r="I173" s="1">
        <v>0</v>
      </c>
      <c r="J173" s="1" t="s">
        <v>48</v>
      </c>
      <c r="K173" s="1">
        <v>0</v>
      </c>
      <c r="L173" s="1">
        <v>0</v>
      </c>
      <c r="M173" s="1">
        <v>0</v>
      </c>
      <c r="N173" s="1" t="s">
        <v>48</v>
      </c>
      <c r="O173" s="1">
        <v>0</v>
      </c>
      <c r="P173" s="1">
        <v>0</v>
      </c>
      <c r="Q173" s="1">
        <v>0</v>
      </c>
      <c r="R173" s="1" t="s">
        <v>48</v>
      </c>
      <c r="S173" s="1">
        <v>0</v>
      </c>
      <c r="T173" s="1">
        <v>0</v>
      </c>
      <c r="U173" s="1" t="s">
        <v>48</v>
      </c>
    </row>
    <row r="174" spans="1:21" s="1" customFormat="1">
      <c r="A174" s="4">
        <v>45547</v>
      </c>
      <c r="B174" s="1" t="s">
        <v>48</v>
      </c>
      <c r="C174" s="1">
        <v>0</v>
      </c>
      <c r="D174" s="1">
        <v>0</v>
      </c>
      <c r="E174" s="1">
        <v>0</v>
      </c>
      <c r="F174" s="1" t="s">
        <v>48</v>
      </c>
      <c r="G174" s="1">
        <v>0</v>
      </c>
      <c r="H174" s="1">
        <v>0</v>
      </c>
      <c r="I174" s="1">
        <v>0</v>
      </c>
      <c r="J174" s="1" t="s">
        <v>48</v>
      </c>
      <c r="K174" s="1">
        <v>0</v>
      </c>
      <c r="L174" s="1">
        <v>0</v>
      </c>
      <c r="M174" s="1">
        <v>0</v>
      </c>
      <c r="N174" s="1" t="s">
        <v>48</v>
      </c>
      <c r="O174" s="1">
        <v>0</v>
      </c>
      <c r="P174" s="1">
        <v>0</v>
      </c>
      <c r="Q174" s="1">
        <v>0</v>
      </c>
      <c r="R174" s="1" t="s">
        <v>48</v>
      </c>
      <c r="S174" s="1">
        <v>0</v>
      </c>
      <c r="T174" s="1">
        <v>0</v>
      </c>
      <c r="U174" s="1">
        <v>0</v>
      </c>
    </row>
    <row r="175" spans="1:21" s="1" customFormat="1">
      <c r="A175" s="4">
        <v>45548</v>
      </c>
      <c r="B175" s="1" t="s">
        <v>48</v>
      </c>
      <c r="C175" s="1">
        <v>0</v>
      </c>
      <c r="D175" s="1">
        <v>0</v>
      </c>
      <c r="E175" s="1">
        <v>0</v>
      </c>
      <c r="F175" s="1" t="s">
        <v>48</v>
      </c>
      <c r="G175" s="1">
        <v>0</v>
      </c>
      <c r="H175" s="1">
        <v>0</v>
      </c>
      <c r="I175" s="1">
        <v>0</v>
      </c>
      <c r="J175" s="1" t="s">
        <v>48</v>
      </c>
      <c r="K175" s="1">
        <v>0</v>
      </c>
      <c r="L175" s="1">
        <v>0</v>
      </c>
      <c r="M175" s="1">
        <v>0</v>
      </c>
      <c r="N175" s="1" t="s">
        <v>48</v>
      </c>
      <c r="O175" s="1" t="s">
        <v>48</v>
      </c>
      <c r="P175" s="1">
        <v>0</v>
      </c>
      <c r="Q175" s="1">
        <v>0</v>
      </c>
      <c r="R175" s="1" t="s">
        <v>48</v>
      </c>
      <c r="S175" s="1">
        <v>0</v>
      </c>
      <c r="T175" s="1">
        <v>0</v>
      </c>
      <c r="U175" s="1">
        <v>0</v>
      </c>
    </row>
    <row r="176" spans="1:21" s="1" customFormat="1">
      <c r="A176" s="4">
        <v>45551</v>
      </c>
      <c r="B176" s="1" t="s">
        <v>48</v>
      </c>
      <c r="C176" s="1">
        <v>0</v>
      </c>
      <c r="D176" s="1">
        <v>0</v>
      </c>
      <c r="E176" s="1">
        <v>0</v>
      </c>
      <c r="F176" s="1" t="s">
        <v>48</v>
      </c>
      <c r="G176" s="1">
        <v>0</v>
      </c>
      <c r="H176" s="1">
        <v>0</v>
      </c>
      <c r="I176" s="1">
        <v>0</v>
      </c>
      <c r="J176" s="1" t="s">
        <v>48</v>
      </c>
      <c r="K176" s="1">
        <v>0</v>
      </c>
      <c r="L176" s="1">
        <v>0</v>
      </c>
      <c r="M176" s="1">
        <v>0</v>
      </c>
      <c r="N176" s="1" t="s">
        <v>48</v>
      </c>
      <c r="O176" s="1">
        <v>0</v>
      </c>
      <c r="P176" s="1" t="s">
        <v>48</v>
      </c>
      <c r="Q176" s="1">
        <v>0</v>
      </c>
      <c r="R176" s="1" t="s">
        <v>48</v>
      </c>
      <c r="S176" s="1" t="s">
        <v>48</v>
      </c>
      <c r="T176" s="1">
        <v>0</v>
      </c>
      <c r="U176" s="1">
        <v>0</v>
      </c>
    </row>
    <row r="177" spans="1:21" s="1" customFormat="1">
      <c r="A177" s="4">
        <v>45552</v>
      </c>
      <c r="B177" s="1" t="s">
        <v>48</v>
      </c>
      <c r="C177" s="1">
        <v>0</v>
      </c>
      <c r="D177" s="1">
        <v>0</v>
      </c>
      <c r="E177" s="1">
        <v>0</v>
      </c>
      <c r="F177" s="1" t="s">
        <v>48</v>
      </c>
      <c r="G177" s="1">
        <v>0</v>
      </c>
      <c r="H177" s="1">
        <v>0</v>
      </c>
      <c r="I177" s="1">
        <v>0</v>
      </c>
      <c r="J177" s="1" t="s">
        <v>48</v>
      </c>
      <c r="K177" s="1">
        <v>0</v>
      </c>
      <c r="L177" s="1">
        <v>0</v>
      </c>
      <c r="M177" s="1">
        <v>0</v>
      </c>
      <c r="N177" s="1" t="s">
        <v>48</v>
      </c>
      <c r="O177" s="1">
        <v>0</v>
      </c>
      <c r="P177" s="1">
        <v>0</v>
      </c>
      <c r="Q177" s="1" t="s">
        <v>48</v>
      </c>
      <c r="R177" s="1" t="s">
        <v>48</v>
      </c>
      <c r="S177" s="1">
        <v>0</v>
      </c>
      <c r="T177" s="1" t="s">
        <v>48</v>
      </c>
      <c r="U177" s="1">
        <v>0</v>
      </c>
    </row>
    <row r="178" spans="1:21" s="1" customFormat="1">
      <c r="A178" s="4">
        <v>45553</v>
      </c>
      <c r="B178" s="1" t="s">
        <v>48</v>
      </c>
      <c r="C178" s="1">
        <v>0</v>
      </c>
      <c r="D178" s="1">
        <v>0</v>
      </c>
      <c r="E178" s="1">
        <v>0</v>
      </c>
      <c r="F178" s="1" t="s">
        <v>48</v>
      </c>
      <c r="G178" s="1" t="s">
        <v>48</v>
      </c>
      <c r="H178" s="1">
        <v>0</v>
      </c>
      <c r="I178" s="1">
        <v>0</v>
      </c>
      <c r="J178" s="1" t="s">
        <v>48</v>
      </c>
      <c r="K178" s="1">
        <v>0</v>
      </c>
      <c r="L178" s="1">
        <v>0</v>
      </c>
      <c r="M178" s="1">
        <v>0</v>
      </c>
      <c r="N178" s="1" t="s">
        <v>48</v>
      </c>
      <c r="O178" s="1">
        <v>0</v>
      </c>
      <c r="P178" s="1">
        <v>0</v>
      </c>
      <c r="Q178" s="1">
        <v>0</v>
      </c>
      <c r="R178" s="1" t="s">
        <v>48</v>
      </c>
      <c r="S178" s="1">
        <v>0</v>
      </c>
      <c r="T178" s="1">
        <v>0</v>
      </c>
      <c r="U178" s="1" t="s">
        <v>48</v>
      </c>
    </row>
    <row r="179" spans="1:21" s="1" customFormat="1">
      <c r="A179" s="4">
        <v>45554</v>
      </c>
      <c r="B179" s="1" t="s">
        <v>48</v>
      </c>
      <c r="C179" s="1" t="s">
        <v>48</v>
      </c>
      <c r="D179" s="1">
        <v>0</v>
      </c>
      <c r="E179" s="1">
        <v>0</v>
      </c>
      <c r="F179" s="1" t="s">
        <v>48</v>
      </c>
      <c r="G179" s="1">
        <v>0</v>
      </c>
      <c r="H179" s="1" t="s">
        <v>48</v>
      </c>
      <c r="I179" s="1">
        <v>0</v>
      </c>
      <c r="J179" s="1" t="s">
        <v>48</v>
      </c>
      <c r="K179" s="1">
        <v>0</v>
      </c>
      <c r="L179" s="1">
        <v>0</v>
      </c>
      <c r="M179" s="1">
        <v>0</v>
      </c>
      <c r="N179" s="1" t="s">
        <v>48</v>
      </c>
      <c r="O179" s="1">
        <v>0</v>
      </c>
      <c r="P179" s="1">
        <v>0</v>
      </c>
      <c r="Q179" s="1">
        <v>0</v>
      </c>
      <c r="R179" s="1" t="s">
        <v>48</v>
      </c>
      <c r="S179" s="1">
        <v>0</v>
      </c>
      <c r="T179" s="1">
        <v>0</v>
      </c>
      <c r="U179" s="1">
        <v>0</v>
      </c>
    </row>
    <row r="180" spans="1:21" s="1" customFormat="1">
      <c r="A180" s="4">
        <v>45555</v>
      </c>
      <c r="B180" s="1" t="s">
        <v>48</v>
      </c>
      <c r="C180" s="1">
        <v>0</v>
      </c>
      <c r="D180" s="1" t="s">
        <v>48</v>
      </c>
      <c r="E180" s="1">
        <v>0</v>
      </c>
      <c r="F180" s="1" t="s">
        <v>48</v>
      </c>
      <c r="G180" s="1">
        <v>0</v>
      </c>
      <c r="H180" s="1">
        <v>0</v>
      </c>
      <c r="I180" s="1" t="s">
        <v>48</v>
      </c>
      <c r="J180" s="1" t="s">
        <v>48</v>
      </c>
      <c r="K180" s="1">
        <v>0</v>
      </c>
      <c r="L180" s="1">
        <v>0</v>
      </c>
      <c r="M180" s="1">
        <v>0</v>
      </c>
      <c r="N180" s="1" t="s">
        <v>48</v>
      </c>
      <c r="O180" s="1" t="s">
        <v>48</v>
      </c>
      <c r="P180" s="1">
        <v>0</v>
      </c>
      <c r="Q180" s="1">
        <v>0</v>
      </c>
      <c r="R180" s="1" t="s">
        <v>48</v>
      </c>
      <c r="S180" s="1">
        <v>0</v>
      </c>
      <c r="T180" s="1">
        <v>0</v>
      </c>
      <c r="U180" s="1">
        <v>0</v>
      </c>
    </row>
    <row r="181" spans="1:21" s="1" customFormat="1">
      <c r="A181" s="4">
        <v>45558</v>
      </c>
      <c r="B181" s="1" t="s">
        <v>48</v>
      </c>
      <c r="C181" s="1">
        <v>0</v>
      </c>
      <c r="D181" s="1">
        <v>0</v>
      </c>
      <c r="E181" s="1" t="s">
        <v>48</v>
      </c>
      <c r="F181" s="1" t="s">
        <v>48</v>
      </c>
      <c r="G181" s="1">
        <v>0</v>
      </c>
      <c r="H181" s="1">
        <v>0</v>
      </c>
      <c r="I181" s="1">
        <v>0</v>
      </c>
      <c r="J181" s="1" t="s">
        <v>48</v>
      </c>
      <c r="K181" s="1">
        <v>0</v>
      </c>
      <c r="L181" s="1">
        <v>0</v>
      </c>
      <c r="M181" s="1">
        <v>0</v>
      </c>
      <c r="N181" s="1" t="s">
        <v>48</v>
      </c>
      <c r="O181" s="1">
        <v>0</v>
      </c>
      <c r="P181" s="1" t="s">
        <v>48</v>
      </c>
      <c r="Q181" s="1">
        <v>0</v>
      </c>
      <c r="R181" s="1" t="s">
        <v>48</v>
      </c>
      <c r="S181" s="1" t="s">
        <v>48</v>
      </c>
      <c r="T181" s="1">
        <v>0</v>
      </c>
      <c r="U181" s="1">
        <v>0</v>
      </c>
    </row>
    <row r="182" spans="1:21" s="1" customFormat="1">
      <c r="A182" s="4">
        <v>45559</v>
      </c>
      <c r="B182" s="1" t="s">
        <v>48</v>
      </c>
      <c r="C182" s="1">
        <v>0</v>
      </c>
      <c r="D182" s="1">
        <v>0</v>
      </c>
      <c r="E182" s="1">
        <v>0</v>
      </c>
      <c r="F182" s="1" t="s">
        <v>48</v>
      </c>
      <c r="G182" s="1">
        <v>0</v>
      </c>
      <c r="H182" s="1">
        <v>0</v>
      </c>
      <c r="I182" s="1">
        <v>0</v>
      </c>
      <c r="J182" s="1" t="s">
        <v>48</v>
      </c>
      <c r="K182" s="1" t="s">
        <v>48</v>
      </c>
      <c r="L182" s="1">
        <v>0</v>
      </c>
      <c r="M182" s="1">
        <v>0</v>
      </c>
      <c r="N182" s="1" t="s">
        <v>48</v>
      </c>
      <c r="O182" s="1">
        <v>0</v>
      </c>
      <c r="P182" s="1">
        <v>0</v>
      </c>
      <c r="Q182" s="1" t="s">
        <v>48</v>
      </c>
      <c r="R182" s="1" t="s">
        <v>48</v>
      </c>
      <c r="S182" s="1">
        <v>0</v>
      </c>
      <c r="T182" s="1" t="s">
        <v>48</v>
      </c>
      <c r="U182" s="1">
        <v>0</v>
      </c>
    </row>
    <row r="183" spans="1:21" s="1" customFormat="1">
      <c r="A183" s="4">
        <v>45560</v>
      </c>
      <c r="B183" s="1" t="s">
        <v>48</v>
      </c>
      <c r="C183" s="1">
        <v>0</v>
      </c>
      <c r="D183" s="1">
        <v>0</v>
      </c>
      <c r="E183" s="1">
        <v>0</v>
      </c>
      <c r="F183" s="1" t="s">
        <v>48</v>
      </c>
      <c r="G183" s="1">
        <v>0</v>
      </c>
      <c r="H183" s="1">
        <v>0</v>
      </c>
      <c r="I183" s="1">
        <v>0</v>
      </c>
      <c r="J183" s="1" t="s">
        <v>48</v>
      </c>
      <c r="K183" s="1">
        <v>0</v>
      </c>
      <c r="L183" s="1" t="s">
        <v>48</v>
      </c>
      <c r="M183" s="1">
        <v>0</v>
      </c>
      <c r="N183" s="1" t="s">
        <v>48</v>
      </c>
      <c r="O183" s="1">
        <v>0</v>
      </c>
      <c r="P183" s="1">
        <v>0</v>
      </c>
      <c r="Q183" s="1">
        <v>0</v>
      </c>
      <c r="R183" s="1" t="s">
        <v>48</v>
      </c>
      <c r="S183" s="1">
        <v>0</v>
      </c>
      <c r="T183" s="1">
        <v>0</v>
      </c>
      <c r="U183" s="1" t="s">
        <v>48</v>
      </c>
    </row>
    <row r="184" spans="1:21" s="1" customFormat="1">
      <c r="A184" s="4">
        <v>45561</v>
      </c>
      <c r="B184" s="1" t="s">
        <v>48</v>
      </c>
      <c r="C184" s="1">
        <v>0</v>
      </c>
      <c r="D184" s="1">
        <v>0</v>
      </c>
      <c r="E184" s="1">
        <v>0</v>
      </c>
      <c r="F184" s="1" t="s">
        <v>48</v>
      </c>
      <c r="G184" s="1">
        <v>0</v>
      </c>
      <c r="H184" s="1">
        <v>0</v>
      </c>
      <c r="I184" s="1">
        <v>0</v>
      </c>
      <c r="J184" s="1" t="s">
        <v>48</v>
      </c>
      <c r="K184" s="1">
        <v>0</v>
      </c>
      <c r="L184" s="1">
        <v>0</v>
      </c>
      <c r="M184" s="1" t="s">
        <v>48</v>
      </c>
      <c r="N184" s="1" t="s">
        <v>48</v>
      </c>
      <c r="O184" s="1">
        <v>0</v>
      </c>
      <c r="P184" s="1">
        <v>0</v>
      </c>
      <c r="Q184" s="1">
        <v>0</v>
      </c>
      <c r="R184" s="1" t="s">
        <v>48</v>
      </c>
      <c r="S184" s="1">
        <v>0</v>
      </c>
      <c r="T184" s="1">
        <v>0</v>
      </c>
      <c r="U184" s="1">
        <v>0</v>
      </c>
    </row>
    <row r="185" spans="1:21" s="1" customFormat="1">
      <c r="A185" s="4">
        <v>45562</v>
      </c>
      <c r="B185" s="1" t="s">
        <v>48</v>
      </c>
      <c r="C185" s="1">
        <v>0</v>
      </c>
      <c r="D185" s="1">
        <v>0</v>
      </c>
      <c r="E185" s="1">
        <v>0</v>
      </c>
      <c r="F185" s="1" t="s">
        <v>48</v>
      </c>
      <c r="G185" s="1">
        <v>0</v>
      </c>
      <c r="H185" s="1">
        <v>0</v>
      </c>
      <c r="I185" s="1">
        <v>0</v>
      </c>
      <c r="J185" s="1" t="s">
        <v>48</v>
      </c>
      <c r="K185" s="1">
        <v>0</v>
      </c>
      <c r="L185" s="1">
        <v>0</v>
      </c>
      <c r="M185" s="1">
        <v>0</v>
      </c>
      <c r="N185" s="1" t="s">
        <v>48</v>
      </c>
      <c r="O185" s="1" t="s">
        <v>48</v>
      </c>
      <c r="P185" s="1" t="s">
        <v>48</v>
      </c>
      <c r="Q185" s="1">
        <v>0</v>
      </c>
      <c r="R185" s="1" t="s">
        <v>48</v>
      </c>
      <c r="S185" s="1">
        <v>0</v>
      </c>
      <c r="T185" s="1">
        <v>0</v>
      </c>
      <c r="U185" s="1">
        <v>0</v>
      </c>
    </row>
    <row r="186" spans="1:21" s="1" customFormat="1">
      <c r="A186" s="4">
        <v>45565</v>
      </c>
      <c r="B186" s="1" t="s">
        <v>48</v>
      </c>
      <c r="C186" s="1">
        <v>0</v>
      </c>
      <c r="D186" s="1">
        <v>0</v>
      </c>
      <c r="E186" s="1">
        <v>0</v>
      </c>
      <c r="F186" s="1" t="s">
        <v>48</v>
      </c>
      <c r="G186" s="1">
        <v>0</v>
      </c>
      <c r="H186" s="1">
        <v>0</v>
      </c>
      <c r="I186" s="1">
        <v>0</v>
      </c>
      <c r="J186" s="1" t="s">
        <v>48</v>
      </c>
      <c r="K186" s="1">
        <v>0</v>
      </c>
      <c r="L186" s="1">
        <v>0</v>
      </c>
      <c r="M186" s="1">
        <v>0</v>
      </c>
      <c r="N186" s="1" t="s">
        <v>48</v>
      </c>
      <c r="O186" s="1">
        <v>0</v>
      </c>
      <c r="P186" s="1">
        <v>0</v>
      </c>
      <c r="Q186" s="1" t="s">
        <v>48</v>
      </c>
      <c r="R186" s="1" t="s">
        <v>48</v>
      </c>
      <c r="S186" s="1" t="s">
        <v>48</v>
      </c>
      <c r="T186" s="1" t="s">
        <v>48</v>
      </c>
      <c r="U186" s="1">
        <v>0</v>
      </c>
    </row>
    <row r="187" spans="1:21" s="1" customFormat="1">
      <c r="A187" s="4">
        <v>45566</v>
      </c>
      <c r="B187" s="1" t="s">
        <v>48</v>
      </c>
      <c r="C187" s="1">
        <v>0</v>
      </c>
      <c r="D187" s="1">
        <v>0</v>
      </c>
      <c r="E187" s="1">
        <v>0</v>
      </c>
      <c r="F187" s="1" t="s">
        <v>48</v>
      </c>
      <c r="G187" s="1">
        <v>0</v>
      </c>
      <c r="H187" s="1">
        <v>0</v>
      </c>
      <c r="I187" s="1">
        <v>0</v>
      </c>
      <c r="J187" s="1" t="s">
        <v>48</v>
      </c>
      <c r="K187" s="1">
        <v>0</v>
      </c>
      <c r="L187" s="1">
        <v>0</v>
      </c>
      <c r="M187" s="1">
        <v>0</v>
      </c>
      <c r="N187" s="1" t="s">
        <v>48</v>
      </c>
      <c r="O187" s="1">
        <v>0</v>
      </c>
      <c r="P187" s="1">
        <v>0</v>
      </c>
      <c r="Q187" s="1">
        <v>0</v>
      </c>
      <c r="R187" s="1" t="s">
        <v>48</v>
      </c>
      <c r="S187" s="1">
        <v>0</v>
      </c>
      <c r="T187" s="1">
        <v>0</v>
      </c>
      <c r="U187" s="1" t="s">
        <v>48</v>
      </c>
    </row>
    <row r="188" spans="1:21" s="1" customFormat="1">
      <c r="A188" s="4">
        <v>45568</v>
      </c>
      <c r="B188" s="1" t="s">
        <v>48</v>
      </c>
      <c r="C188" s="1">
        <v>0</v>
      </c>
      <c r="D188" s="1">
        <v>0</v>
      </c>
      <c r="E188" s="1">
        <v>0</v>
      </c>
      <c r="F188" s="1" t="s">
        <v>48</v>
      </c>
      <c r="G188" s="1">
        <v>0</v>
      </c>
      <c r="H188" s="1">
        <v>0</v>
      </c>
      <c r="I188" s="1">
        <v>0</v>
      </c>
      <c r="J188" s="1" t="s">
        <v>48</v>
      </c>
      <c r="K188" s="1">
        <v>0</v>
      </c>
      <c r="L188" s="1">
        <v>0</v>
      </c>
      <c r="M188" s="1">
        <v>0</v>
      </c>
      <c r="N188" s="1" t="s">
        <v>48</v>
      </c>
      <c r="O188" s="1">
        <v>0</v>
      </c>
      <c r="P188" s="1">
        <v>0</v>
      </c>
      <c r="Q188" s="1">
        <v>0</v>
      </c>
      <c r="R188" s="1" t="s">
        <v>48</v>
      </c>
      <c r="S188" s="1">
        <v>0</v>
      </c>
      <c r="T188" s="1">
        <v>0</v>
      </c>
      <c r="U188" s="1">
        <v>0</v>
      </c>
    </row>
    <row r="189" spans="1:21" s="1" customFormat="1">
      <c r="A189" s="4">
        <v>45569</v>
      </c>
      <c r="B189" s="1" t="s">
        <v>48</v>
      </c>
      <c r="C189" s="1">
        <v>0</v>
      </c>
      <c r="D189" s="1">
        <v>0</v>
      </c>
      <c r="E189" s="1">
        <v>0</v>
      </c>
      <c r="F189" s="1" t="s">
        <v>48</v>
      </c>
      <c r="G189" s="1">
        <v>0</v>
      </c>
      <c r="H189" s="1">
        <v>0</v>
      </c>
      <c r="I189" s="1">
        <v>0</v>
      </c>
      <c r="J189" s="1" t="s">
        <v>48</v>
      </c>
      <c r="K189" s="1">
        <v>0</v>
      </c>
      <c r="L189" s="1">
        <v>0</v>
      </c>
      <c r="M189" s="1">
        <v>0</v>
      </c>
      <c r="N189" s="1" t="s">
        <v>48</v>
      </c>
      <c r="O189" s="1" t="s">
        <v>48</v>
      </c>
      <c r="P189" s="1">
        <v>0</v>
      </c>
      <c r="Q189" s="1">
        <v>0</v>
      </c>
      <c r="R189" s="1" t="s">
        <v>62</v>
      </c>
      <c r="S189" s="1">
        <v>0</v>
      </c>
      <c r="T189" s="1">
        <v>0</v>
      </c>
      <c r="U189" s="1">
        <v>0</v>
      </c>
    </row>
    <row r="190" spans="1:21" s="1" customFormat="1">
      <c r="A190" s="4">
        <v>45572</v>
      </c>
      <c r="B190" s="1" t="s">
        <v>48</v>
      </c>
      <c r="C190" s="1">
        <v>0</v>
      </c>
      <c r="D190" s="1">
        <v>0</v>
      </c>
      <c r="E190" s="1">
        <v>0</v>
      </c>
      <c r="F190" s="1" t="s">
        <v>48</v>
      </c>
      <c r="G190" s="1">
        <v>0</v>
      </c>
      <c r="H190" s="1">
        <v>0</v>
      </c>
      <c r="I190" s="1">
        <v>0</v>
      </c>
      <c r="J190" s="1" t="s">
        <v>48</v>
      </c>
      <c r="K190" s="1">
        <v>0</v>
      </c>
      <c r="L190" s="1">
        <v>0</v>
      </c>
      <c r="M190" s="1">
        <v>0</v>
      </c>
      <c r="N190" s="1" t="s">
        <v>48</v>
      </c>
      <c r="O190" s="1">
        <v>0</v>
      </c>
      <c r="P190" s="1" t="s">
        <v>48</v>
      </c>
      <c r="Q190" s="1">
        <v>0</v>
      </c>
      <c r="R190" s="1" t="s">
        <v>48</v>
      </c>
      <c r="S190" s="1" t="s">
        <v>48</v>
      </c>
      <c r="T190" s="1">
        <v>0</v>
      </c>
      <c r="U190" s="1">
        <v>0</v>
      </c>
    </row>
    <row r="191" spans="1:21" s="1" customFormat="1">
      <c r="A191" s="4">
        <v>45573</v>
      </c>
      <c r="B191" s="1" t="s">
        <v>48</v>
      </c>
      <c r="C191" s="1">
        <v>0</v>
      </c>
      <c r="D191" s="1">
        <v>0</v>
      </c>
      <c r="E191" s="1">
        <v>0</v>
      </c>
      <c r="F191" s="1" t="s">
        <v>48</v>
      </c>
      <c r="G191" s="1">
        <v>0</v>
      </c>
      <c r="H191" s="1">
        <v>0</v>
      </c>
      <c r="I191" s="1">
        <v>0</v>
      </c>
      <c r="J191" s="1" t="s">
        <v>48</v>
      </c>
      <c r="K191" s="1">
        <v>0</v>
      </c>
      <c r="L191" s="1">
        <v>0</v>
      </c>
      <c r="M191" s="1">
        <v>0</v>
      </c>
      <c r="N191" s="1" t="s">
        <v>48</v>
      </c>
      <c r="O191" s="1">
        <v>0</v>
      </c>
      <c r="P191" s="1">
        <v>0</v>
      </c>
      <c r="Q191" s="1" t="s">
        <v>48</v>
      </c>
      <c r="R191" s="1" t="s">
        <v>48</v>
      </c>
      <c r="S191" s="1">
        <v>0</v>
      </c>
      <c r="T191" s="1" t="s">
        <v>48</v>
      </c>
      <c r="U191" s="1">
        <v>0</v>
      </c>
    </row>
    <row r="192" spans="1:21" s="1" customFormat="1">
      <c r="A192" s="4">
        <v>45574</v>
      </c>
      <c r="B192" s="1" t="s">
        <v>48</v>
      </c>
      <c r="C192" s="1">
        <v>0</v>
      </c>
      <c r="D192" s="1">
        <v>0</v>
      </c>
      <c r="E192" s="1">
        <v>0</v>
      </c>
      <c r="F192" s="1" t="s">
        <v>48</v>
      </c>
      <c r="G192" s="1">
        <v>0</v>
      </c>
      <c r="H192" s="1">
        <v>0</v>
      </c>
      <c r="I192" s="1">
        <v>0</v>
      </c>
      <c r="J192" s="1" t="s">
        <v>48</v>
      </c>
      <c r="K192" s="1">
        <v>0</v>
      </c>
      <c r="L192" s="1">
        <v>0</v>
      </c>
      <c r="M192" s="1">
        <v>0</v>
      </c>
      <c r="N192" s="1" t="s">
        <v>48</v>
      </c>
      <c r="O192" s="1">
        <v>0</v>
      </c>
      <c r="P192" s="1">
        <v>0</v>
      </c>
      <c r="Q192" s="1">
        <v>0</v>
      </c>
      <c r="R192" s="1" t="s">
        <v>48</v>
      </c>
      <c r="S192" s="1">
        <v>0</v>
      </c>
      <c r="T192" s="1">
        <v>0</v>
      </c>
      <c r="U192" s="1" t="s">
        <v>48</v>
      </c>
    </row>
    <row r="193" spans="1:21" s="1" customFormat="1">
      <c r="A193" s="4">
        <v>45575</v>
      </c>
      <c r="B193" s="1" t="s">
        <v>48</v>
      </c>
      <c r="C193" s="1">
        <v>0</v>
      </c>
      <c r="D193" s="1">
        <v>0</v>
      </c>
      <c r="E193" s="1">
        <v>0</v>
      </c>
      <c r="F193" s="1" t="s">
        <v>48</v>
      </c>
      <c r="G193" s="1">
        <v>0</v>
      </c>
      <c r="H193" s="1">
        <v>0</v>
      </c>
      <c r="I193" s="1">
        <v>0</v>
      </c>
      <c r="J193" s="1" t="s">
        <v>48</v>
      </c>
      <c r="K193" s="1">
        <v>0</v>
      </c>
      <c r="L193" s="1">
        <v>0</v>
      </c>
      <c r="M193" s="1">
        <v>0</v>
      </c>
      <c r="N193" s="1" t="s">
        <v>48</v>
      </c>
      <c r="O193" s="1">
        <v>0</v>
      </c>
      <c r="P193" s="1">
        <v>0</v>
      </c>
      <c r="Q193" s="1">
        <v>0</v>
      </c>
      <c r="R193" s="1" t="s">
        <v>48</v>
      </c>
      <c r="S193" s="1">
        <v>0</v>
      </c>
      <c r="T193" s="1">
        <v>0</v>
      </c>
      <c r="U193" s="1">
        <v>0</v>
      </c>
    </row>
    <row r="194" spans="1:21" s="1" customFormat="1">
      <c r="A194" s="4">
        <v>45576</v>
      </c>
      <c r="B194" s="1" t="s">
        <v>48</v>
      </c>
      <c r="C194" s="1">
        <v>0</v>
      </c>
      <c r="D194" s="1">
        <v>0</v>
      </c>
      <c r="E194" s="1">
        <v>0</v>
      </c>
      <c r="F194" s="1" t="s">
        <v>48</v>
      </c>
      <c r="G194" s="1">
        <v>0</v>
      </c>
      <c r="H194" s="1">
        <v>0</v>
      </c>
      <c r="I194" s="1">
        <v>0</v>
      </c>
      <c r="J194" s="1" t="s">
        <v>48</v>
      </c>
      <c r="K194" s="1">
        <v>0</v>
      </c>
      <c r="L194" s="1">
        <v>0</v>
      </c>
      <c r="M194" s="1">
        <v>0</v>
      </c>
      <c r="N194" s="1" t="s">
        <v>48</v>
      </c>
      <c r="O194" s="1" t="s">
        <v>48</v>
      </c>
      <c r="P194" s="1">
        <v>0</v>
      </c>
      <c r="Q194" s="1">
        <v>0</v>
      </c>
      <c r="R194" s="1" t="s">
        <v>63</v>
      </c>
      <c r="S194" s="1">
        <v>0</v>
      </c>
      <c r="T194" s="1">
        <v>0</v>
      </c>
      <c r="U194" s="1">
        <v>0</v>
      </c>
    </row>
    <row r="195" spans="1:21" s="1" customFormat="1">
      <c r="A195" s="4">
        <v>45579</v>
      </c>
      <c r="B195" s="1" t="s">
        <v>48</v>
      </c>
      <c r="C195" s="1">
        <v>0</v>
      </c>
      <c r="D195" s="1">
        <v>0</v>
      </c>
      <c r="E195" s="1">
        <v>0</v>
      </c>
      <c r="F195" s="1" t="s">
        <v>48</v>
      </c>
      <c r="G195" s="1">
        <v>0</v>
      </c>
      <c r="H195" s="1">
        <v>0</v>
      </c>
      <c r="I195" s="1">
        <v>0</v>
      </c>
      <c r="J195" s="1" t="s">
        <v>48</v>
      </c>
      <c r="K195" s="1">
        <v>0</v>
      </c>
      <c r="L195" s="1">
        <v>0</v>
      </c>
      <c r="M195" s="1">
        <v>0</v>
      </c>
      <c r="N195" s="1" t="s">
        <v>48</v>
      </c>
      <c r="O195" s="1">
        <v>0</v>
      </c>
      <c r="P195" s="1" t="s">
        <v>48</v>
      </c>
      <c r="Q195" s="1">
        <v>0</v>
      </c>
      <c r="R195" s="1" t="s">
        <v>48</v>
      </c>
      <c r="S195" s="1" t="s">
        <v>48</v>
      </c>
      <c r="T195" s="1">
        <v>0</v>
      </c>
      <c r="U195" s="1">
        <v>0</v>
      </c>
    </row>
    <row r="196" spans="1:21" s="1" customFormat="1">
      <c r="A196" s="4">
        <v>45580</v>
      </c>
      <c r="B196" s="1" t="s">
        <v>48</v>
      </c>
      <c r="C196" s="1">
        <v>0</v>
      </c>
      <c r="D196" s="1">
        <v>0</v>
      </c>
      <c r="E196" s="1">
        <v>0</v>
      </c>
      <c r="F196" s="1" t="s">
        <v>48</v>
      </c>
      <c r="G196" s="1">
        <v>0</v>
      </c>
      <c r="H196" s="1">
        <v>0</v>
      </c>
      <c r="I196" s="1">
        <v>0</v>
      </c>
      <c r="J196" s="1" t="s">
        <v>48</v>
      </c>
      <c r="K196" s="1">
        <v>0</v>
      </c>
      <c r="L196" s="1">
        <v>0</v>
      </c>
      <c r="M196" s="1">
        <v>0</v>
      </c>
      <c r="N196" s="1" t="s">
        <v>48</v>
      </c>
      <c r="O196" s="1">
        <v>0</v>
      </c>
      <c r="P196" s="1">
        <v>0</v>
      </c>
      <c r="Q196" s="1" t="s">
        <v>48</v>
      </c>
      <c r="R196" s="1" t="s">
        <v>48</v>
      </c>
      <c r="S196" s="1">
        <v>0</v>
      </c>
      <c r="T196" s="1" t="s">
        <v>48</v>
      </c>
      <c r="U196" s="1">
        <v>0</v>
      </c>
    </row>
    <row r="197" spans="1:21" s="1" customFormat="1">
      <c r="A197" s="4">
        <v>45581</v>
      </c>
      <c r="B197" s="1" t="s">
        <v>48</v>
      </c>
      <c r="C197" s="1">
        <v>0</v>
      </c>
      <c r="D197" s="1">
        <v>0</v>
      </c>
      <c r="E197" s="1">
        <v>0</v>
      </c>
      <c r="F197" s="1" t="s">
        <v>48</v>
      </c>
      <c r="G197" s="1">
        <v>0</v>
      </c>
      <c r="H197" s="1">
        <v>0</v>
      </c>
      <c r="I197" s="1">
        <v>0</v>
      </c>
      <c r="J197" s="1" t="s">
        <v>48</v>
      </c>
      <c r="K197" s="1">
        <v>0</v>
      </c>
      <c r="L197" s="1">
        <v>0</v>
      </c>
      <c r="M197" s="1">
        <v>0</v>
      </c>
      <c r="N197" s="1" t="s">
        <v>48</v>
      </c>
      <c r="O197" s="1">
        <v>0</v>
      </c>
      <c r="P197" s="1">
        <v>0</v>
      </c>
      <c r="Q197" s="1">
        <v>0</v>
      </c>
      <c r="R197" s="1" t="s">
        <v>48</v>
      </c>
      <c r="S197" s="1">
        <v>0</v>
      </c>
      <c r="T197" s="1">
        <v>0</v>
      </c>
      <c r="U197" s="1" t="s">
        <v>48</v>
      </c>
    </row>
    <row r="198" spans="1:21" s="1" customFormat="1">
      <c r="A198" s="4">
        <v>45582</v>
      </c>
      <c r="B198" s="1" t="s">
        <v>48</v>
      </c>
      <c r="C198" s="1">
        <v>0</v>
      </c>
      <c r="D198" s="1">
        <v>0</v>
      </c>
      <c r="E198" s="1">
        <v>0</v>
      </c>
      <c r="F198" s="1" t="s">
        <v>48</v>
      </c>
      <c r="G198" s="1">
        <v>0</v>
      </c>
      <c r="H198" s="1">
        <v>0</v>
      </c>
      <c r="I198" s="1">
        <v>0</v>
      </c>
      <c r="J198" s="1" t="s">
        <v>48</v>
      </c>
      <c r="K198" s="1">
        <v>0</v>
      </c>
      <c r="L198" s="1">
        <v>0</v>
      </c>
      <c r="M198" s="1">
        <v>0</v>
      </c>
      <c r="N198" s="1" t="s">
        <v>48</v>
      </c>
      <c r="O198" s="1">
        <v>0</v>
      </c>
      <c r="P198" s="1">
        <v>0</v>
      </c>
      <c r="Q198" s="1">
        <v>0</v>
      </c>
      <c r="R198" s="1" t="s">
        <v>48</v>
      </c>
      <c r="S198" s="1">
        <v>0</v>
      </c>
      <c r="T198" s="1">
        <v>0</v>
      </c>
      <c r="U198" s="1">
        <v>0</v>
      </c>
    </row>
    <row r="199" spans="1:21" s="1" customFormat="1">
      <c r="A199" s="4">
        <v>45583</v>
      </c>
      <c r="B199" s="1" t="s">
        <v>48</v>
      </c>
      <c r="C199" s="1">
        <v>0</v>
      </c>
      <c r="D199" s="1">
        <v>0</v>
      </c>
      <c r="E199" s="1">
        <v>0</v>
      </c>
      <c r="F199" s="1" t="s">
        <v>48</v>
      </c>
      <c r="G199" s="1">
        <v>0</v>
      </c>
      <c r="H199" s="1">
        <v>0</v>
      </c>
      <c r="I199" s="1">
        <v>0</v>
      </c>
      <c r="J199" s="1" t="s">
        <v>48</v>
      </c>
      <c r="K199" s="1">
        <v>0</v>
      </c>
      <c r="L199" s="1">
        <v>0</v>
      </c>
      <c r="M199" s="1">
        <v>0</v>
      </c>
      <c r="N199" s="1" t="s">
        <v>48</v>
      </c>
      <c r="O199" s="1" t="s">
        <v>48</v>
      </c>
      <c r="P199" s="1">
        <v>0</v>
      </c>
      <c r="Q199" s="1">
        <v>0</v>
      </c>
      <c r="R199" s="1" t="s">
        <v>48</v>
      </c>
      <c r="S199" s="1">
        <v>0</v>
      </c>
      <c r="T199" s="1">
        <v>0</v>
      </c>
      <c r="U199" s="1">
        <v>0</v>
      </c>
    </row>
    <row r="200" spans="1:21" s="1" customFormat="1">
      <c r="A200" s="4">
        <v>45586</v>
      </c>
      <c r="B200" s="1" t="s">
        <v>48</v>
      </c>
      <c r="C200" s="1">
        <v>0</v>
      </c>
      <c r="D200" s="1">
        <v>0</v>
      </c>
      <c r="E200" s="1">
        <v>0</v>
      </c>
      <c r="F200" s="1" t="s">
        <v>48</v>
      </c>
      <c r="G200" s="1">
        <v>0</v>
      </c>
      <c r="H200" s="1">
        <v>0</v>
      </c>
      <c r="I200" s="1">
        <v>0</v>
      </c>
      <c r="J200" s="1" t="s">
        <v>48</v>
      </c>
      <c r="K200" s="1">
        <v>0</v>
      </c>
      <c r="L200" s="1">
        <v>0</v>
      </c>
      <c r="M200" s="1">
        <v>0</v>
      </c>
      <c r="N200" s="1" t="s">
        <v>48</v>
      </c>
      <c r="O200" s="1">
        <v>0</v>
      </c>
      <c r="P200" s="1" t="s">
        <v>48</v>
      </c>
      <c r="Q200" s="1">
        <v>0</v>
      </c>
      <c r="R200" s="1" t="s">
        <v>48</v>
      </c>
      <c r="S200" s="1" t="s">
        <v>48</v>
      </c>
      <c r="T200" s="1">
        <v>0</v>
      </c>
      <c r="U200" s="1">
        <v>0</v>
      </c>
    </row>
    <row r="201" spans="1:21" s="1" customFormat="1">
      <c r="A201" s="4">
        <v>45587</v>
      </c>
      <c r="B201" s="1" t="s">
        <v>48</v>
      </c>
      <c r="C201" s="1">
        <v>0</v>
      </c>
      <c r="D201" s="1">
        <v>0</v>
      </c>
      <c r="E201" s="1">
        <v>0</v>
      </c>
      <c r="F201" s="1" t="s">
        <v>48</v>
      </c>
      <c r="G201" s="1">
        <v>0</v>
      </c>
      <c r="H201" s="1">
        <v>0</v>
      </c>
      <c r="I201" s="1">
        <v>0</v>
      </c>
      <c r="J201" s="1" t="s">
        <v>48</v>
      </c>
      <c r="K201" s="1" t="s">
        <v>48</v>
      </c>
      <c r="L201" s="1">
        <v>0</v>
      </c>
      <c r="M201" s="1">
        <v>0</v>
      </c>
      <c r="N201" s="1" t="s">
        <v>48</v>
      </c>
      <c r="O201" s="1">
        <v>0</v>
      </c>
      <c r="P201" s="1">
        <v>0</v>
      </c>
      <c r="Q201" s="1" t="s">
        <v>48</v>
      </c>
      <c r="R201" s="1" t="s">
        <v>48</v>
      </c>
      <c r="S201" s="1">
        <v>0</v>
      </c>
      <c r="T201" s="1" t="s">
        <v>48</v>
      </c>
      <c r="U201" s="1">
        <v>0</v>
      </c>
    </row>
    <row r="202" spans="1:21" s="1" customFormat="1">
      <c r="A202" s="4">
        <v>45588</v>
      </c>
      <c r="B202" s="1" t="s">
        <v>48</v>
      </c>
      <c r="C202" s="1">
        <v>0</v>
      </c>
      <c r="D202" s="1">
        <v>0</v>
      </c>
      <c r="E202" s="1">
        <v>0</v>
      </c>
      <c r="F202" s="1" t="s">
        <v>48</v>
      </c>
      <c r="G202" s="1" t="s">
        <v>48</v>
      </c>
      <c r="H202" s="1">
        <v>0</v>
      </c>
      <c r="I202" s="1">
        <v>0</v>
      </c>
      <c r="J202" s="1" t="s">
        <v>48</v>
      </c>
      <c r="K202" s="1">
        <v>0</v>
      </c>
      <c r="L202" s="1" t="s">
        <v>48</v>
      </c>
      <c r="M202" s="1">
        <v>0</v>
      </c>
      <c r="N202" s="1" t="s">
        <v>48</v>
      </c>
      <c r="O202" s="1">
        <v>0</v>
      </c>
      <c r="P202" s="1">
        <v>0</v>
      </c>
      <c r="Q202" s="1">
        <v>0</v>
      </c>
      <c r="R202" s="1" t="s">
        <v>48</v>
      </c>
      <c r="S202" s="1">
        <v>0</v>
      </c>
      <c r="T202" s="1">
        <v>0</v>
      </c>
      <c r="U202" s="1" t="s">
        <v>48</v>
      </c>
    </row>
    <row r="203" spans="1:21" s="1" customFormat="1">
      <c r="A203" s="4">
        <v>45589</v>
      </c>
      <c r="B203" s="1" t="s">
        <v>48</v>
      </c>
      <c r="C203" s="1" t="s">
        <v>48</v>
      </c>
      <c r="D203" s="1">
        <v>0</v>
      </c>
      <c r="E203" s="1">
        <v>0</v>
      </c>
      <c r="F203" s="1" t="s">
        <v>48</v>
      </c>
      <c r="G203" s="1">
        <v>0</v>
      </c>
      <c r="H203" s="1" t="s">
        <v>48</v>
      </c>
      <c r="I203" s="1">
        <v>0</v>
      </c>
      <c r="J203" s="1" t="s">
        <v>48</v>
      </c>
      <c r="K203" s="1">
        <v>0</v>
      </c>
      <c r="L203" s="1">
        <v>0</v>
      </c>
      <c r="M203" s="1" t="s">
        <v>48</v>
      </c>
      <c r="N203" s="1" t="s">
        <v>48</v>
      </c>
      <c r="O203" s="1">
        <v>0</v>
      </c>
      <c r="P203" s="1">
        <v>0</v>
      </c>
      <c r="Q203" s="1">
        <v>0</v>
      </c>
      <c r="R203" s="1" t="s">
        <v>48</v>
      </c>
      <c r="S203" s="1">
        <v>0</v>
      </c>
      <c r="T203" s="1">
        <v>0</v>
      </c>
      <c r="U203" s="1">
        <v>0</v>
      </c>
    </row>
    <row r="204" spans="1:21" s="1" customFormat="1">
      <c r="A204" s="4">
        <v>45590</v>
      </c>
      <c r="B204" s="1" t="s">
        <v>48</v>
      </c>
      <c r="C204" s="1">
        <v>0</v>
      </c>
      <c r="D204" s="1" t="s">
        <v>48</v>
      </c>
      <c r="E204" s="1">
        <v>0</v>
      </c>
      <c r="F204" s="1" t="s">
        <v>48</v>
      </c>
      <c r="G204" s="1">
        <v>0</v>
      </c>
      <c r="H204" s="1">
        <v>0</v>
      </c>
      <c r="I204" s="1" t="s">
        <v>48</v>
      </c>
      <c r="J204" s="1" t="s">
        <v>48</v>
      </c>
      <c r="K204" s="1">
        <v>0</v>
      </c>
      <c r="L204" s="1">
        <v>0</v>
      </c>
      <c r="M204" s="1">
        <v>0</v>
      </c>
      <c r="N204" s="1" t="s">
        <v>48</v>
      </c>
      <c r="O204" s="1" t="s">
        <v>48</v>
      </c>
      <c r="P204" s="1">
        <v>0</v>
      </c>
      <c r="Q204" s="1">
        <v>0</v>
      </c>
      <c r="R204" s="1" t="s">
        <v>48</v>
      </c>
      <c r="S204" s="1">
        <v>0</v>
      </c>
      <c r="T204" s="1">
        <v>0</v>
      </c>
      <c r="U204" s="1">
        <v>0</v>
      </c>
    </row>
    <row r="205" spans="1:21" s="1" customFormat="1">
      <c r="A205" s="4">
        <v>45593</v>
      </c>
      <c r="B205" s="1" t="s">
        <v>48</v>
      </c>
      <c r="C205" s="1">
        <v>0</v>
      </c>
      <c r="D205" s="1">
        <v>0</v>
      </c>
      <c r="E205" s="1" t="s">
        <v>48</v>
      </c>
      <c r="F205" s="1" t="s">
        <v>48</v>
      </c>
      <c r="G205" s="1">
        <v>0</v>
      </c>
      <c r="H205" s="1">
        <v>0</v>
      </c>
      <c r="I205" s="1">
        <v>0</v>
      </c>
      <c r="J205" s="1" t="s">
        <v>48</v>
      </c>
      <c r="K205" s="1">
        <v>0</v>
      </c>
      <c r="L205" s="1">
        <v>0</v>
      </c>
      <c r="M205" s="1">
        <v>0</v>
      </c>
      <c r="N205" s="1" t="s">
        <v>48</v>
      </c>
      <c r="O205" s="1">
        <v>0</v>
      </c>
      <c r="P205" s="1" t="s">
        <v>48</v>
      </c>
      <c r="Q205" s="1">
        <v>0</v>
      </c>
      <c r="R205" s="1" t="s">
        <v>48</v>
      </c>
      <c r="S205" s="1" t="s">
        <v>48</v>
      </c>
      <c r="T205" s="1" t="s">
        <v>48</v>
      </c>
      <c r="U205" s="1">
        <v>0</v>
      </c>
    </row>
    <row r="206" spans="1:21" s="1" customFormat="1">
      <c r="A206" s="4">
        <v>45594</v>
      </c>
      <c r="B206" s="1" t="s">
        <v>48</v>
      </c>
      <c r="C206" s="1">
        <v>0</v>
      </c>
      <c r="D206" s="1">
        <v>0</v>
      </c>
      <c r="E206" s="1">
        <v>0</v>
      </c>
      <c r="F206" s="1" t="s">
        <v>48</v>
      </c>
      <c r="G206" s="1">
        <v>0</v>
      </c>
      <c r="H206" s="1">
        <v>0</v>
      </c>
      <c r="I206" s="1">
        <v>0</v>
      </c>
      <c r="J206" s="1" t="s">
        <v>48</v>
      </c>
      <c r="K206" s="1">
        <v>0</v>
      </c>
      <c r="L206" s="1">
        <v>0</v>
      </c>
      <c r="M206" s="1">
        <v>0</v>
      </c>
      <c r="N206" s="1" t="s">
        <v>48</v>
      </c>
      <c r="O206" s="1">
        <v>0</v>
      </c>
      <c r="P206" s="1">
        <v>0</v>
      </c>
      <c r="Q206" s="1" t="s">
        <v>48</v>
      </c>
      <c r="R206" s="1" t="s">
        <v>48</v>
      </c>
      <c r="S206" s="1">
        <v>0</v>
      </c>
      <c r="T206" s="1">
        <v>0</v>
      </c>
      <c r="U206" s="1" t="s">
        <v>48</v>
      </c>
    </row>
    <row r="207" spans="1:21" s="1" customFormat="1">
      <c r="A207" s="4">
        <v>45595</v>
      </c>
      <c r="B207" s="1" t="s">
        <v>48</v>
      </c>
      <c r="C207" s="1">
        <v>0</v>
      </c>
      <c r="D207" s="1">
        <v>0</v>
      </c>
      <c r="E207" s="1">
        <v>0</v>
      </c>
      <c r="F207" s="1" t="s">
        <v>48</v>
      </c>
      <c r="G207" s="1">
        <v>0</v>
      </c>
      <c r="H207" s="1">
        <v>0</v>
      </c>
      <c r="I207" s="1">
        <v>0</v>
      </c>
      <c r="J207" s="1" t="s">
        <v>48</v>
      </c>
      <c r="K207" s="1">
        <v>0</v>
      </c>
      <c r="L207" s="1">
        <v>0</v>
      </c>
      <c r="M207" s="1">
        <v>0</v>
      </c>
      <c r="N207" s="1" t="s">
        <v>48</v>
      </c>
      <c r="O207" s="1">
        <v>0</v>
      </c>
      <c r="P207" s="1">
        <v>0</v>
      </c>
      <c r="Q207" s="1">
        <v>0</v>
      </c>
      <c r="R207" s="1" t="s">
        <v>48</v>
      </c>
      <c r="S207" s="1">
        <v>0</v>
      </c>
      <c r="T207" s="1">
        <v>0</v>
      </c>
      <c r="U207" s="1">
        <v>0</v>
      </c>
    </row>
    <row r="208" spans="1:21" s="1" customFormat="1">
      <c r="A208" s="4">
        <v>45596</v>
      </c>
      <c r="B208" s="1" t="s">
        <v>48</v>
      </c>
      <c r="C208" s="1">
        <v>0</v>
      </c>
      <c r="D208" s="1">
        <v>0</v>
      </c>
      <c r="E208" s="1">
        <v>0</v>
      </c>
      <c r="F208" s="1" t="s">
        <v>48</v>
      </c>
      <c r="G208" s="1">
        <v>0</v>
      </c>
      <c r="H208" s="1">
        <v>0</v>
      </c>
      <c r="I208" s="1">
        <v>0</v>
      </c>
      <c r="J208" s="1" t="s">
        <v>48</v>
      </c>
      <c r="K208" s="1">
        <v>0</v>
      </c>
      <c r="L208" s="1">
        <v>0</v>
      </c>
      <c r="M208" s="1">
        <v>0</v>
      </c>
      <c r="N208" s="1" t="s">
        <v>48</v>
      </c>
      <c r="O208" s="1">
        <v>0</v>
      </c>
      <c r="P208" s="1">
        <v>0</v>
      </c>
      <c r="Q208" s="1">
        <v>0</v>
      </c>
      <c r="R208" s="1" t="s">
        <v>48</v>
      </c>
      <c r="S208" s="1">
        <v>0</v>
      </c>
      <c r="T208" s="1">
        <v>0</v>
      </c>
      <c r="U208" s="1">
        <v>0</v>
      </c>
    </row>
    <row r="209" spans="1:21" s="1" customFormat="1">
      <c r="A209" s="4">
        <v>45600</v>
      </c>
      <c r="B209" s="1" t="s">
        <v>48</v>
      </c>
      <c r="C209" s="1">
        <v>0</v>
      </c>
      <c r="D209" s="1">
        <v>0</v>
      </c>
      <c r="E209" s="1">
        <v>0</v>
      </c>
      <c r="F209" s="1" t="s">
        <v>48</v>
      </c>
      <c r="G209" s="1">
        <v>0</v>
      </c>
      <c r="H209" s="1">
        <v>0</v>
      </c>
      <c r="I209" s="1">
        <v>0</v>
      </c>
      <c r="J209" s="1" t="s">
        <v>48</v>
      </c>
      <c r="K209" s="1">
        <v>0</v>
      </c>
      <c r="L209" s="1">
        <v>0</v>
      </c>
      <c r="M209" s="1">
        <v>0</v>
      </c>
      <c r="N209" s="1" t="s">
        <v>48</v>
      </c>
      <c r="O209" s="1" t="s">
        <v>48</v>
      </c>
      <c r="P209" s="1" t="s">
        <v>48</v>
      </c>
      <c r="Q209" s="1">
        <v>0</v>
      </c>
      <c r="R209" s="1" t="s">
        <v>48</v>
      </c>
      <c r="S209" s="1" t="s">
        <v>48</v>
      </c>
      <c r="T209" s="1">
        <v>0</v>
      </c>
      <c r="U209" s="1">
        <v>0</v>
      </c>
    </row>
    <row r="210" spans="1:21" s="1" customFormat="1">
      <c r="A210" s="4">
        <v>45601</v>
      </c>
      <c r="B210" s="1" t="s">
        <v>48</v>
      </c>
      <c r="C210" s="1">
        <v>0</v>
      </c>
      <c r="D210" s="1">
        <v>0</v>
      </c>
      <c r="E210" s="1">
        <v>0</v>
      </c>
      <c r="F210" s="1" t="s">
        <v>48</v>
      </c>
      <c r="G210" s="1">
        <v>0</v>
      </c>
      <c r="H210" s="1">
        <v>0</v>
      </c>
      <c r="I210" s="1">
        <v>0</v>
      </c>
      <c r="J210" s="1" t="s">
        <v>48</v>
      </c>
      <c r="K210" s="1">
        <v>0</v>
      </c>
      <c r="L210" s="1">
        <v>0</v>
      </c>
      <c r="M210" s="1">
        <v>0</v>
      </c>
      <c r="N210" s="1" t="s">
        <v>48</v>
      </c>
      <c r="O210" s="1">
        <v>0</v>
      </c>
      <c r="P210" s="1">
        <v>0</v>
      </c>
      <c r="Q210" s="1" t="s">
        <v>48</v>
      </c>
      <c r="R210" s="1" t="s">
        <v>48</v>
      </c>
      <c r="S210" s="1">
        <v>0</v>
      </c>
      <c r="T210" s="1" t="s">
        <v>48</v>
      </c>
      <c r="U210" s="1">
        <v>0</v>
      </c>
    </row>
    <row r="211" spans="1:21" s="1" customFormat="1">
      <c r="A211" s="4">
        <v>45602</v>
      </c>
      <c r="B211" s="1" t="s">
        <v>48</v>
      </c>
      <c r="C211" s="1">
        <v>0</v>
      </c>
      <c r="D211" s="1">
        <v>0</v>
      </c>
      <c r="E211" s="1">
        <v>0</v>
      </c>
      <c r="F211" s="1" t="s">
        <v>48</v>
      </c>
      <c r="G211" s="1">
        <v>0</v>
      </c>
      <c r="H211" s="1">
        <v>0</v>
      </c>
      <c r="I211" s="1">
        <v>0</v>
      </c>
      <c r="J211" s="1" t="s">
        <v>48</v>
      </c>
      <c r="K211" s="1">
        <v>0</v>
      </c>
      <c r="L211" s="1">
        <v>0</v>
      </c>
      <c r="M211" s="1">
        <v>0</v>
      </c>
      <c r="N211" s="1" t="s">
        <v>48</v>
      </c>
      <c r="O211" s="1">
        <v>0</v>
      </c>
      <c r="P211" s="1">
        <v>0</v>
      </c>
      <c r="Q211" s="1">
        <v>0</v>
      </c>
      <c r="R211" s="1" t="s">
        <v>48</v>
      </c>
      <c r="S211" s="1">
        <v>0</v>
      </c>
      <c r="T211" s="1">
        <v>0</v>
      </c>
      <c r="U211" s="1" t="s">
        <v>48</v>
      </c>
    </row>
    <row r="212" spans="1:21" s="1" customFormat="1">
      <c r="A212" s="4">
        <v>45603</v>
      </c>
      <c r="B212" s="1" t="s">
        <v>48</v>
      </c>
      <c r="C212" s="1">
        <v>0</v>
      </c>
      <c r="D212" s="1">
        <v>0</v>
      </c>
      <c r="E212" s="1">
        <v>0</v>
      </c>
      <c r="F212" s="1" t="s">
        <v>48</v>
      </c>
      <c r="G212" s="1">
        <v>0</v>
      </c>
      <c r="H212" s="1">
        <v>0</v>
      </c>
      <c r="I212" s="1">
        <v>0</v>
      </c>
      <c r="J212" s="1" t="s">
        <v>48</v>
      </c>
      <c r="K212" s="1">
        <v>0</v>
      </c>
      <c r="L212" s="1">
        <v>0</v>
      </c>
      <c r="M212" s="1">
        <v>0</v>
      </c>
      <c r="N212" s="1" t="s">
        <v>48</v>
      </c>
      <c r="O212" s="1">
        <v>0</v>
      </c>
      <c r="P212" s="1">
        <v>0</v>
      </c>
      <c r="Q212" s="1">
        <v>0</v>
      </c>
      <c r="R212" s="1" t="s">
        <v>48</v>
      </c>
      <c r="S212" s="1">
        <v>0</v>
      </c>
      <c r="T212" s="1">
        <v>0</v>
      </c>
      <c r="U212" s="1">
        <v>0</v>
      </c>
    </row>
    <row r="213" spans="1:21" s="1" customFormat="1">
      <c r="A213" s="4">
        <v>45604</v>
      </c>
      <c r="B213" s="1" t="s">
        <v>48</v>
      </c>
      <c r="C213" s="1">
        <v>0</v>
      </c>
      <c r="D213" s="1">
        <v>0</v>
      </c>
      <c r="E213" s="1">
        <v>0</v>
      </c>
      <c r="F213" s="1" t="s">
        <v>48</v>
      </c>
      <c r="G213" s="1">
        <v>0</v>
      </c>
      <c r="H213" s="1">
        <v>0</v>
      </c>
      <c r="I213" s="1">
        <v>0</v>
      </c>
      <c r="J213" s="1" t="s">
        <v>48</v>
      </c>
      <c r="K213" s="1">
        <v>0</v>
      </c>
      <c r="L213" s="1">
        <v>0</v>
      </c>
      <c r="M213" s="1">
        <v>0</v>
      </c>
      <c r="N213" s="1" t="s">
        <v>48</v>
      </c>
      <c r="O213" s="1" t="s">
        <v>48</v>
      </c>
      <c r="P213" s="1">
        <v>0</v>
      </c>
      <c r="Q213" s="1">
        <v>0</v>
      </c>
      <c r="R213" s="1" t="s">
        <v>48</v>
      </c>
      <c r="S213" s="1">
        <v>0</v>
      </c>
      <c r="T213" s="1">
        <v>0</v>
      </c>
      <c r="U213" s="1">
        <v>0</v>
      </c>
    </row>
    <row r="214" spans="1:21" s="1" customFormat="1">
      <c r="A214" s="4">
        <v>45607</v>
      </c>
      <c r="B214" s="1" t="s">
        <v>48</v>
      </c>
      <c r="C214" s="1">
        <v>0</v>
      </c>
      <c r="D214" s="1">
        <v>0</v>
      </c>
      <c r="E214" s="1">
        <v>0</v>
      </c>
      <c r="F214" s="1" t="s">
        <v>48</v>
      </c>
      <c r="G214" s="1">
        <v>0</v>
      </c>
      <c r="H214" s="1">
        <v>0</v>
      </c>
      <c r="I214" s="1">
        <v>0</v>
      </c>
      <c r="J214" s="1" t="s">
        <v>48</v>
      </c>
      <c r="K214" s="1">
        <v>0</v>
      </c>
      <c r="L214" s="1">
        <v>0</v>
      </c>
      <c r="M214" s="1">
        <v>0</v>
      </c>
      <c r="N214" s="1" t="s">
        <v>48</v>
      </c>
      <c r="O214" s="1">
        <v>0</v>
      </c>
      <c r="P214" s="1" t="s">
        <v>48</v>
      </c>
      <c r="Q214" s="1">
        <v>0</v>
      </c>
      <c r="R214" s="1" t="s">
        <v>48</v>
      </c>
      <c r="S214" s="1" t="s">
        <v>48</v>
      </c>
      <c r="T214" s="1" t="s">
        <v>48</v>
      </c>
      <c r="U214" s="1">
        <v>0</v>
      </c>
    </row>
    <row r="215" spans="1:21" s="1" customFormat="1">
      <c r="A215" s="4">
        <v>45608</v>
      </c>
      <c r="B215" s="1" t="s">
        <v>48</v>
      </c>
      <c r="C215" s="1">
        <v>0</v>
      </c>
      <c r="D215" s="1">
        <v>0</v>
      </c>
      <c r="E215" s="1">
        <v>0</v>
      </c>
      <c r="F215" s="1" t="s">
        <v>48</v>
      </c>
      <c r="G215" s="1">
        <v>0</v>
      </c>
      <c r="H215" s="1">
        <v>0</v>
      </c>
      <c r="I215" s="1">
        <v>0</v>
      </c>
      <c r="J215" s="1" t="s">
        <v>48</v>
      </c>
      <c r="K215" s="1">
        <v>0</v>
      </c>
      <c r="L215" s="1">
        <v>0</v>
      </c>
      <c r="M215" s="1">
        <v>0</v>
      </c>
      <c r="N215" s="1" t="s">
        <v>48</v>
      </c>
      <c r="O215" s="1">
        <v>0</v>
      </c>
      <c r="P215" s="1">
        <v>0</v>
      </c>
      <c r="Q215" s="1" t="s">
        <v>48</v>
      </c>
      <c r="R215" s="1" t="s">
        <v>48</v>
      </c>
      <c r="S215" s="1">
        <v>0</v>
      </c>
      <c r="T215" s="1">
        <v>0</v>
      </c>
      <c r="U215" s="1" t="s">
        <v>48</v>
      </c>
    </row>
    <row r="216" spans="1:21" s="1" customFormat="1">
      <c r="A216" s="4">
        <v>45609</v>
      </c>
      <c r="B216" s="1" t="s">
        <v>48</v>
      </c>
      <c r="C216" s="1">
        <v>0</v>
      </c>
      <c r="D216" s="1">
        <v>0</v>
      </c>
      <c r="E216" s="1">
        <v>0</v>
      </c>
      <c r="F216" s="1" t="s">
        <v>48</v>
      </c>
      <c r="G216" s="1">
        <v>0</v>
      </c>
      <c r="H216" s="1">
        <v>0</v>
      </c>
      <c r="I216" s="1">
        <v>0</v>
      </c>
      <c r="J216" s="1" t="s">
        <v>48</v>
      </c>
      <c r="K216" s="1">
        <v>0</v>
      </c>
      <c r="L216" s="1">
        <v>0</v>
      </c>
      <c r="M216" s="1">
        <v>0</v>
      </c>
      <c r="N216" s="1" t="s">
        <v>48</v>
      </c>
      <c r="O216" s="1">
        <v>0</v>
      </c>
      <c r="P216" s="1">
        <v>0</v>
      </c>
      <c r="Q216" s="1">
        <v>0</v>
      </c>
      <c r="R216" s="1" t="s">
        <v>48</v>
      </c>
      <c r="S216" s="1">
        <v>0</v>
      </c>
      <c r="T216" s="1">
        <v>0</v>
      </c>
      <c r="U216" s="1">
        <v>0</v>
      </c>
    </row>
    <row r="217" spans="1:21" s="1" customFormat="1">
      <c r="A217" s="4">
        <v>45610</v>
      </c>
      <c r="B217" s="1" t="s">
        <v>48</v>
      </c>
      <c r="C217" s="1">
        <v>0</v>
      </c>
      <c r="D217" s="1">
        <v>0</v>
      </c>
      <c r="E217" s="1">
        <v>0</v>
      </c>
      <c r="F217" s="1" t="s">
        <v>48</v>
      </c>
      <c r="G217" s="1">
        <v>0</v>
      </c>
      <c r="H217" s="1">
        <v>0</v>
      </c>
      <c r="I217" s="1">
        <v>0</v>
      </c>
      <c r="J217" s="1" t="s">
        <v>48</v>
      </c>
      <c r="K217" s="1">
        <v>0</v>
      </c>
      <c r="L217" s="1">
        <v>0</v>
      </c>
      <c r="M217" s="1">
        <v>0</v>
      </c>
      <c r="N217" s="1" t="s">
        <v>48</v>
      </c>
      <c r="O217" s="1">
        <v>0</v>
      </c>
      <c r="P217" s="1">
        <v>0</v>
      </c>
      <c r="Q217" s="1">
        <v>0</v>
      </c>
      <c r="R217" s="1" t="s">
        <v>48</v>
      </c>
      <c r="S217" s="1">
        <v>0</v>
      </c>
      <c r="T217" s="1">
        <v>0</v>
      </c>
      <c r="U217" s="1">
        <v>0</v>
      </c>
    </row>
    <row r="218" spans="1:21" s="1" customFormat="1">
      <c r="A218" s="4">
        <v>45614</v>
      </c>
      <c r="B218" s="1" t="s">
        <v>48</v>
      </c>
      <c r="C218" s="1">
        <v>0</v>
      </c>
      <c r="D218" s="1">
        <v>0</v>
      </c>
      <c r="E218" s="1">
        <v>0</v>
      </c>
      <c r="F218" s="1" t="s">
        <v>48</v>
      </c>
      <c r="G218" s="1">
        <v>0</v>
      </c>
      <c r="H218" s="1">
        <v>0</v>
      </c>
      <c r="I218" s="1">
        <v>0</v>
      </c>
      <c r="J218" s="1" t="s">
        <v>48</v>
      </c>
      <c r="K218" s="1" t="s">
        <v>48</v>
      </c>
      <c r="L218" s="1">
        <v>0</v>
      </c>
      <c r="M218" s="1">
        <v>0</v>
      </c>
      <c r="N218" s="1" t="s">
        <v>48</v>
      </c>
      <c r="O218" s="1" t="s">
        <v>48</v>
      </c>
      <c r="P218" s="1" t="s">
        <v>48</v>
      </c>
      <c r="Q218" s="1" t="s">
        <v>48</v>
      </c>
      <c r="R218" s="1" t="s">
        <v>48</v>
      </c>
      <c r="S218" s="1" t="s">
        <v>48</v>
      </c>
      <c r="T218" s="1" t="s">
        <v>48</v>
      </c>
      <c r="U218" s="1">
        <v>0</v>
      </c>
    </row>
    <row r="219" spans="1:21" s="1" customFormat="1">
      <c r="A219" s="4">
        <v>45615</v>
      </c>
      <c r="B219" s="1" t="s">
        <v>48</v>
      </c>
      <c r="C219" s="1">
        <v>0</v>
      </c>
      <c r="D219" s="1">
        <v>0</v>
      </c>
      <c r="E219" s="1">
        <v>0</v>
      </c>
      <c r="F219" s="1" t="s">
        <v>48</v>
      </c>
      <c r="G219" s="1" t="s">
        <v>48</v>
      </c>
      <c r="H219" s="1">
        <v>0</v>
      </c>
      <c r="I219" s="1">
        <v>0</v>
      </c>
      <c r="J219" s="1" t="s">
        <v>48</v>
      </c>
      <c r="K219" s="1">
        <v>0</v>
      </c>
      <c r="L219" s="1" t="s">
        <v>48</v>
      </c>
      <c r="M219" s="1">
        <v>0</v>
      </c>
      <c r="N219" s="1" t="s">
        <v>48</v>
      </c>
      <c r="O219" s="1">
        <v>0</v>
      </c>
      <c r="P219" s="1">
        <v>0</v>
      </c>
      <c r="Q219" s="1">
        <v>0</v>
      </c>
      <c r="R219" s="1" t="s">
        <v>48</v>
      </c>
      <c r="S219" s="1">
        <v>0</v>
      </c>
      <c r="T219" s="1">
        <v>0</v>
      </c>
      <c r="U219" s="1" t="s">
        <v>48</v>
      </c>
    </row>
    <row r="220" spans="1:21" s="1" customFormat="1">
      <c r="A220" s="4">
        <v>45617</v>
      </c>
      <c r="B220" s="1" t="s">
        <v>48</v>
      </c>
      <c r="C220" s="1" t="s">
        <v>48</v>
      </c>
      <c r="D220" s="1">
        <v>0</v>
      </c>
      <c r="E220" s="1">
        <v>0</v>
      </c>
      <c r="F220" s="1" t="s">
        <v>48</v>
      </c>
      <c r="G220" s="1">
        <v>0</v>
      </c>
      <c r="H220" s="1" t="s">
        <v>48</v>
      </c>
      <c r="I220" s="1">
        <v>0</v>
      </c>
      <c r="J220" s="1" t="s">
        <v>48</v>
      </c>
      <c r="K220" s="1">
        <v>0</v>
      </c>
      <c r="L220" s="1">
        <v>0</v>
      </c>
      <c r="M220" s="1" t="s">
        <v>48</v>
      </c>
      <c r="N220" s="1" t="s">
        <v>48</v>
      </c>
      <c r="O220" s="1">
        <v>0</v>
      </c>
      <c r="P220" s="1">
        <v>0</v>
      </c>
      <c r="Q220" s="1">
        <v>0</v>
      </c>
      <c r="R220" s="1" t="s">
        <v>48</v>
      </c>
      <c r="S220" s="1">
        <v>0</v>
      </c>
      <c r="T220" s="1">
        <v>0</v>
      </c>
      <c r="U220" s="1">
        <v>0</v>
      </c>
    </row>
    <row r="221" spans="1:21" s="1" customFormat="1">
      <c r="A221" s="4">
        <v>45618</v>
      </c>
      <c r="B221" s="1" t="s">
        <v>48</v>
      </c>
      <c r="C221" s="1">
        <v>0</v>
      </c>
      <c r="D221" s="1" t="s">
        <v>48</v>
      </c>
      <c r="E221" s="1">
        <v>0</v>
      </c>
      <c r="F221" s="1" t="s">
        <v>48</v>
      </c>
      <c r="G221" s="1">
        <v>0</v>
      </c>
      <c r="H221" s="1">
        <v>0</v>
      </c>
      <c r="I221" s="1" t="s">
        <v>48</v>
      </c>
      <c r="J221" s="1" t="s">
        <v>48</v>
      </c>
      <c r="K221" s="1">
        <v>0</v>
      </c>
      <c r="L221" s="1">
        <v>0</v>
      </c>
      <c r="M221" s="1">
        <v>0</v>
      </c>
      <c r="N221" s="1" t="s">
        <v>48</v>
      </c>
      <c r="O221" s="1" t="s">
        <v>48</v>
      </c>
      <c r="P221" s="1">
        <v>0</v>
      </c>
      <c r="Q221" s="1">
        <v>0</v>
      </c>
      <c r="R221" s="1" t="s">
        <v>48</v>
      </c>
      <c r="S221" s="1">
        <v>0</v>
      </c>
      <c r="T221" s="1">
        <v>0</v>
      </c>
      <c r="U221" s="1">
        <v>0</v>
      </c>
    </row>
    <row r="222" spans="1:21" s="1" customFormat="1">
      <c r="A222" s="4">
        <v>45621</v>
      </c>
      <c r="B222" s="1" t="s">
        <v>48</v>
      </c>
      <c r="C222" s="1">
        <v>0</v>
      </c>
      <c r="D222" s="1">
        <v>0</v>
      </c>
      <c r="E222" s="1" t="s">
        <v>48</v>
      </c>
      <c r="F222" s="1" t="s">
        <v>48</v>
      </c>
      <c r="G222" s="1">
        <v>0</v>
      </c>
      <c r="H222" s="1">
        <v>0</v>
      </c>
      <c r="I222" s="1">
        <v>0</v>
      </c>
      <c r="J222" s="1" t="s">
        <v>48</v>
      </c>
      <c r="K222" s="1">
        <v>0</v>
      </c>
      <c r="L222" s="1">
        <v>0</v>
      </c>
      <c r="M222" s="1">
        <v>0</v>
      </c>
      <c r="N222" s="1" t="s">
        <v>48</v>
      </c>
      <c r="O222" s="1">
        <v>0</v>
      </c>
      <c r="P222" s="1" t="s">
        <v>48</v>
      </c>
      <c r="Q222" s="1">
        <v>0</v>
      </c>
      <c r="R222" s="1" t="s">
        <v>48</v>
      </c>
      <c r="S222" s="1" t="s">
        <v>48</v>
      </c>
      <c r="T222" s="1">
        <v>0</v>
      </c>
      <c r="U222" s="1">
        <v>0</v>
      </c>
    </row>
    <row r="223" spans="1:21" s="1" customFormat="1">
      <c r="A223" s="4">
        <v>45622</v>
      </c>
      <c r="B223" s="1" t="s">
        <v>48</v>
      </c>
      <c r="C223" s="1">
        <v>0</v>
      </c>
      <c r="D223" s="1">
        <v>0</v>
      </c>
      <c r="E223" s="1">
        <v>0</v>
      </c>
      <c r="F223" s="1" t="s">
        <v>48</v>
      </c>
      <c r="G223" s="1">
        <v>0</v>
      </c>
      <c r="H223" s="1">
        <v>0</v>
      </c>
      <c r="I223" s="1">
        <v>0</v>
      </c>
      <c r="J223" s="1" t="s">
        <v>48</v>
      </c>
      <c r="K223" s="1">
        <v>0</v>
      </c>
      <c r="L223" s="1">
        <v>0</v>
      </c>
      <c r="M223" s="1">
        <v>0</v>
      </c>
      <c r="N223" s="1" t="s">
        <v>48</v>
      </c>
      <c r="O223" s="1">
        <v>0</v>
      </c>
      <c r="P223" s="1">
        <v>0</v>
      </c>
      <c r="Q223" s="1" t="s">
        <v>48</v>
      </c>
      <c r="R223" s="1" t="s">
        <v>48</v>
      </c>
      <c r="S223" s="1">
        <v>0</v>
      </c>
      <c r="T223" s="1" t="s">
        <v>48</v>
      </c>
      <c r="U223" s="1">
        <v>0</v>
      </c>
    </row>
    <row r="224" spans="1:21" s="1" customFormat="1">
      <c r="A224" s="4">
        <v>45623</v>
      </c>
      <c r="B224" s="1" t="s">
        <v>48</v>
      </c>
      <c r="C224" s="1">
        <v>0</v>
      </c>
      <c r="D224" s="1">
        <v>0</v>
      </c>
      <c r="E224" s="1">
        <v>0</v>
      </c>
      <c r="F224" s="1" t="s">
        <v>48</v>
      </c>
      <c r="G224" s="1">
        <v>0</v>
      </c>
      <c r="H224" s="1">
        <v>0</v>
      </c>
      <c r="I224" s="1">
        <v>0</v>
      </c>
      <c r="J224" s="1" t="s">
        <v>48</v>
      </c>
      <c r="K224" s="1">
        <v>0</v>
      </c>
      <c r="L224" s="1">
        <v>0</v>
      </c>
      <c r="M224" s="1">
        <v>0</v>
      </c>
      <c r="N224" s="1" t="s">
        <v>48</v>
      </c>
      <c r="O224" s="1">
        <v>0</v>
      </c>
      <c r="P224" s="1">
        <v>0</v>
      </c>
      <c r="Q224" s="1">
        <v>0</v>
      </c>
      <c r="R224" s="1" t="s">
        <v>48</v>
      </c>
      <c r="S224" s="1">
        <v>0</v>
      </c>
      <c r="T224" s="1">
        <v>0</v>
      </c>
      <c r="U224" s="1" t="s">
        <v>48</v>
      </c>
    </row>
    <row r="225" spans="1:21" s="1" customFormat="1">
      <c r="A225" s="4">
        <v>45624</v>
      </c>
      <c r="B225" s="1" t="s">
        <v>48</v>
      </c>
      <c r="C225" s="1">
        <v>0</v>
      </c>
      <c r="D225" s="1">
        <v>0</v>
      </c>
      <c r="E225" s="1">
        <v>0</v>
      </c>
      <c r="F225" s="1" t="s">
        <v>48</v>
      </c>
      <c r="G225" s="1">
        <v>0</v>
      </c>
      <c r="H225" s="1">
        <v>0</v>
      </c>
      <c r="I225" s="1">
        <v>0</v>
      </c>
      <c r="J225" s="1" t="s">
        <v>48</v>
      </c>
      <c r="K225" s="1">
        <v>0</v>
      </c>
      <c r="L225" s="1">
        <v>0</v>
      </c>
      <c r="M225" s="1">
        <v>0</v>
      </c>
      <c r="N225" s="1" t="s">
        <v>48</v>
      </c>
      <c r="O225" s="1">
        <v>0</v>
      </c>
      <c r="P225" s="1">
        <v>0</v>
      </c>
      <c r="Q225" s="1">
        <v>0</v>
      </c>
      <c r="R225" s="1" t="s">
        <v>48</v>
      </c>
      <c r="S225" s="1">
        <v>0</v>
      </c>
      <c r="T225" s="1">
        <v>0</v>
      </c>
      <c r="U225" s="1">
        <v>0</v>
      </c>
    </row>
    <row r="226" spans="1:21" s="1" customFormat="1">
      <c r="A226" s="4">
        <v>45625</v>
      </c>
      <c r="B226" s="1" t="s">
        <v>48</v>
      </c>
      <c r="C226" s="1">
        <v>0</v>
      </c>
      <c r="D226" s="1">
        <v>0</v>
      </c>
      <c r="E226" s="1">
        <v>0</v>
      </c>
      <c r="F226" s="1" t="s">
        <v>48</v>
      </c>
      <c r="G226" s="1">
        <v>0</v>
      </c>
      <c r="H226" s="1">
        <v>0</v>
      </c>
      <c r="I226" s="1">
        <v>0</v>
      </c>
      <c r="J226" s="1" t="s">
        <v>48</v>
      </c>
      <c r="K226" s="1">
        <v>0</v>
      </c>
      <c r="L226" s="1">
        <v>0</v>
      </c>
      <c r="M226" s="1">
        <v>0</v>
      </c>
      <c r="N226" s="1" t="s">
        <v>48</v>
      </c>
      <c r="O226" s="1" t="s">
        <v>48</v>
      </c>
      <c r="P226" s="1">
        <v>0</v>
      </c>
      <c r="Q226" s="1">
        <v>0</v>
      </c>
      <c r="R226" s="1" t="s">
        <v>48</v>
      </c>
      <c r="S226" s="1">
        <v>0</v>
      </c>
      <c r="T226" s="1">
        <v>0</v>
      </c>
      <c r="U226" s="1">
        <v>0</v>
      </c>
    </row>
    <row r="227" spans="1:21" s="1" customFormat="1">
      <c r="A227" s="4">
        <v>45628</v>
      </c>
      <c r="B227" s="1" t="s">
        <v>48</v>
      </c>
      <c r="C227" s="1">
        <v>0</v>
      </c>
      <c r="D227" s="1">
        <v>0</v>
      </c>
      <c r="E227" s="1">
        <v>0</v>
      </c>
      <c r="F227" s="1" t="s">
        <v>48</v>
      </c>
      <c r="G227" s="1">
        <v>0</v>
      </c>
      <c r="H227" s="1">
        <v>0</v>
      </c>
      <c r="I227" s="1">
        <v>0</v>
      </c>
      <c r="J227" s="1" t="s">
        <v>48</v>
      </c>
      <c r="K227" s="1">
        <v>0</v>
      </c>
      <c r="L227" s="1">
        <v>0</v>
      </c>
      <c r="M227" s="1">
        <v>0</v>
      </c>
      <c r="N227" s="1" t="s">
        <v>48</v>
      </c>
      <c r="O227" s="1">
        <v>0</v>
      </c>
      <c r="P227" s="1" t="s">
        <v>48</v>
      </c>
      <c r="Q227" s="1">
        <v>0</v>
      </c>
      <c r="R227" s="1" t="s">
        <v>48</v>
      </c>
      <c r="S227" s="1" t="s">
        <v>48</v>
      </c>
      <c r="T227" s="1">
        <v>0</v>
      </c>
      <c r="U227" s="1">
        <v>0</v>
      </c>
    </row>
    <row r="228" spans="1:21" s="1" customFormat="1">
      <c r="A228" s="4">
        <v>45629</v>
      </c>
      <c r="B228" s="1" t="s">
        <v>48</v>
      </c>
      <c r="C228" s="1">
        <v>0</v>
      </c>
      <c r="D228" s="1">
        <v>0</v>
      </c>
      <c r="E228" s="1">
        <v>0</v>
      </c>
      <c r="F228" s="1" t="s">
        <v>48</v>
      </c>
      <c r="G228" s="1">
        <v>0</v>
      </c>
      <c r="H228" s="1">
        <v>0</v>
      </c>
      <c r="I228" s="1">
        <v>0</v>
      </c>
      <c r="J228" s="1" t="s">
        <v>48</v>
      </c>
      <c r="K228" s="1">
        <v>0</v>
      </c>
      <c r="L228" s="1">
        <v>0</v>
      </c>
      <c r="M228" s="1">
        <v>0</v>
      </c>
      <c r="N228" s="1" t="s">
        <v>48</v>
      </c>
      <c r="O228" s="1">
        <v>0</v>
      </c>
      <c r="P228" s="1">
        <v>0</v>
      </c>
      <c r="Q228" s="1" t="s">
        <v>48</v>
      </c>
      <c r="R228" s="1" t="s">
        <v>48</v>
      </c>
      <c r="S228" s="1">
        <v>0</v>
      </c>
      <c r="T228" s="1" t="s">
        <v>48</v>
      </c>
      <c r="U228" s="1">
        <v>0</v>
      </c>
    </row>
    <row r="229" spans="1:21" s="1" customFormat="1">
      <c r="A229" s="4">
        <v>45630</v>
      </c>
      <c r="B229" s="1" t="s">
        <v>48</v>
      </c>
      <c r="C229" s="1">
        <v>0</v>
      </c>
      <c r="D229" s="1">
        <v>0</v>
      </c>
      <c r="E229" s="1">
        <v>0</v>
      </c>
      <c r="F229" s="1" t="s">
        <v>48</v>
      </c>
      <c r="G229" s="1">
        <v>0</v>
      </c>
      <c r="H229" s="1">
        <v>0</v>
      </c>
      <c r="I229" s="1">
        <v>0</v>
      </c>
      <c r="J229" s="1" t="s">
        <v>48</v>
      </c>
      <c r="K229" s="1">
        <v>0</v>
      </c>
      <c r="L229" s="1">
        <v>0</v>
      </c>
      <c r="M229" s="1">
        <v>0</v>
      </c>
      <c r="N229" s="1" t="s">
        <v>48</v>
      </c>
      <c r="O229" s="1">
        <v>0</v>
      </c>
      <c r="P229" s="1">
        <v>0</v>
      </c>
      <c r="Q229" s="1">
        <v>0</v>
      </c>
      <c r="R229" s="1" t="s">
        <v>48</v>
      </c>
      <c r="S229" s="1">
        <v>0</v>
      </c>
      <c r="T229" s="1">
        <v>0</v>
      </c>
      <c r="U229" s="1" t="s">
        <v>48</v>
      </c>
    </row>
    <row r="230" spans="1:21" s="1" customFormat="1">
      <c r="A230" s="4">
        <v>45631</v>
      </c>
      <c r="B230" s="1" t="s">
        <v>48</v>
      </c>
      <c r="C230" s="1">
        <v>0</v>
      </c>
      <c r="D230" s="1">
        <v>0</v>
      </c>
      <c r="E230" s="1">
        <v>0</v>
      </c>
      <c r="F230" s="1" t="s">
        <v>48</v>
      </c>
      <c r="G230" s="1">
        <v>0</v>
      </c>
      <c r="H230" s="1">
        <v>0</v>
      </c>
      <c r="I230" s="1">
        <v>0</v>
      </c>
      <c r="J230" s="1" t="s">
        <v>48</v>
      </c>
      <c r="K230" s="1">
        <v>0</v>
      </c>
      <c r="L230" s="1">
        <v>0</v>
      </c>
      <c r="M230" s="1">
        <v>0</v>
      </c>
      <c r="N230" s="1" t="s">
        <v>48</v>
      </c>
      <c r="O230" s="1">
        <v>0</v>
      </c>
      <c r="P230" s="1">
        <v>0</v>
      </c>
      <c r="Q230" s="1">
        <v>0</v>
      </c>
      <c r="R230" s="1" t="s">
        <v>48</v>
      </c>
      <c r="S230" s="1">
        <v>0</v>
      </c>
      <c r="T230" s="1">
        <v>0</v>
      </c>
      <c r="U230" s="1">
        <v>0</v>
      </c>
    </row>
    <row r="231" spans="1:21" s="1" customFormat="1">
      <c r="A231" s="4">
        <v>45632</v>
      </c>
      <c r="B231" s="1" t="s">
        <v>48</v>
      </c>
      <c r="C231" s="1">
        <v>0</v>
      </c>
      <c r="D231" s="1">
        <v>0</v>
      </c>
      <c r="E231" s="1">
        <v>0</v>
      </c>
      <c r="F231" s="1" t="s">
        <v>48</v>
      </c>
      <c r="G231" s="1">
        <v>0</v>
      </c>
      <c r="H231" s="1">
        <v>0</v>
      </c>
      <c r="I231" s="1">
        <v>0</v>
      </c>
      <c r="J231" s="1" t="s">
        <v>48</v>
      </c>
      <c r="K231" s="1">
        <v>0</v>
      </c>
      <c r="L231" s="1">
        <v>0</v>
      </c>
      <c r="M231" s="1">
        <v>0</v>
      </c>
      <c r="N231" s="1" t="s">
        <v>48</v>
      </c>
      <c r="O231" s="1" t="s">
        <v>48</v>
      </c>
      <c r="P231" s="1">
        <v>0</v>
      </c>
      <c r="Q231" s="1">
        <v>0</v>
      </c>
      <c r="R231" s="1" t="s">
        <v>48</v>
      </c>
      <c r="S231" s="1">
        <v>0</v>
      </c>
      <c r="T231" s="1">
        <v>0</v>
      </c>
      <c r="U231" s="1">
        <v>0</v>
      </c>
    </row>
    <row r="232" spans="1:21" s="1" customFormat="1">
      <c r="A232" s="4">
        <v>45635</v>
      </c>
      <c r="B232" s="1" t="s">
        <v>48</v>
      </c>
      <c r="C232" s="1">
        <v>0</v>
      </c>
      <c r="D232" s="1">
        <v>0</v>
      </c>
      <c r="E232" s="1">
        <v>0</v>
      </c>
      <c r="F232" s="1" t="s">
        <v>48</v>
      </c>
      <c r="G232" s="1">
        <v>0</v>
      </c>
      <c r="H232" s="1">
        <v>0</v>
      </c>
      <c r="I232" s="1">
        <v>0</v>
      </c>
      <c r="J232" s="1" t="s">
        <v>48</v>
      </c>
      <c r="K232" s="1">
        <v>0</v>
      </c>
      <c r="L232" s="1">
        <v>0</v>
      </c>
      <c r="M232" s="1">
        <v>0</v>
      </c>
      <c r="N232" s="1" t="s">
        <v>48</v>
      </c>
      <c r="O232" s="1">
        <v>0</v>
      </c>
      <c r="P232" s="1" t="s">
        <v>48</v>
      </c>
      <c r="Q232" s="1">
        <v>0</v>
      </c>
      <c r="R232" s="1" t="s">
        <v>48</v>
      </c>
      <c r="S232" s="1" t="s">
        <v>48</v>
      </c>
      <c r="T232" s="1">
        <v>0</v>
      </c>
      <c r="U232" s="1">
        <v>0</v>
      </c>
    </row>
    <row r="233" spans="1:21" s="1" customFormat="1">
      <c r="A233" s="4">
        <v>45636</v>
      </c>
      <c r="B233" s="1" t="s">
        <v>48</v>
      </c>
      <c r="C233" s="1">
        <v>0</v>
      </c>
      <c r="D233" s="1">
        <v>0</v>
      </c>
      <c r="E233" s="1">
        <v>0</v>
      </c>
      <c r="F233" s="1" t="s">
        <v>48</v>
      </c>
      <c r="G233" s="1">
        <v>0</v>
      </c>
      <c r="H233" s="1">
        <v>0</v>
      </c>
      <c r="I233" s="1">
        <v>0</v>
      </c>
      <c r="J233" s="1" t="s">
        <v>48</v>
      </c>
      <c r="K233" s="1">
        <v>0</v>
      </c>
      <c r="L233" s="1">
        <v>0</v>
      </c>
      <c r="M233" s="1">
        <v>0</v>
      </c>
      <c r="N233" s="1" t="s">
        <v>48</v>
      </c>
      <c r="O233" s="1">
        <v>0</v>
      </c>
      <c r="P233" s="1">
        <v>0</v>
      </c>
      <c r="Q233" s="1" t="s">
        <v>48</v>
      </c>
      <c r="R233" s="1" t="s">
        <v>48</v>
      </c>
      <c r="S233" s="1">
        <v>0</v>
      </c>
      <c r="T233" s="1" t="s">
        <v>48</v>
      </c>
      <c r="U233" s="1">
        <v>0</v>
      </c>
    </row>
    <row r="234" spans="1:21" s="1" customFormat="1">
      <c r="A234" s="4">
        <v>45637</v>
      </c>
      <c r="B234" s="1" t="s">
        <v>48</v>
      </c>
      <c r="C234" s="1">
        <v>0</v>
      </c>
      <c r="D234" s="1">
        <v>0</v>
      </c>
      <c r="E234" s="1">
        <v>0</v>
      </c>
      <c r="F234" s="1" t="s">
        <v>48</v>
      </c>
      <c r="G234" s="1">
        <v>0</v>
      </c>
      <c r="H234" s="1">
        <v>0</v>
      </c>
      <c r="I234" s="1">
        <v>0</v>
      </c>
      <c r="J234" s="1" t="s">
        <v>48</v>
      </c>
      <c r="K234" s="1">
        <v>0</v>
      </c>
      <c r="L234" s="1">
        <v>0</v>
      </c>
      <c r="M234" s="1">
        <v>0</v>
      </c>
      <c r="N234" s="1" t="s">
        <v>48</v>
      </c>
      <c r="O234" s="1">
        <v>0</v>
      </c>
      <c r="P234" s="1">
        <v>0</v>
      </c>
      <c r="Q234" s="1">
        <v>0</v>
      </c>
      <c r="R234" s="1" t="s">
        <v>48</v>
      </c>
      <c r="S234" s="1">
        <v>0</v>
      </c>
      <c r="T234" s="1">
        <v>0</v>
      </c>
      <c r="U234" s="1" t="s">
        <v>48</v>
      </c>
    </row>
    <row r="235" spans="1:21" s="1" customFormat="1">
      <c r="A235" s="4">
        <v>45638</v>
      </c>
      <c r="B235" s="1" t="s">
        <v>48</v>
      </c>
      <c r="C235" s="1">
        <v>0</v>
      </c>
      <c r="D235" s="1">
        <v>0</v>
      </c>
      <c r="E235" s="1">
        <v>0</v>
      </c>
      <c r="F235" s="1" t="s">
        <v>48</v>
      </c>
      <c r="G235" s="1">
        <v>0</v>
      </c>
      <c r="H235" s="1">
        <v>0</v>
      </c>
      <c r="I235" s="1">
        <v>0</v>
      </c>
      <c r="J235" s="1" t="s">
        <v>48</v>
      </c>
      <c r="K235" s="1">
        <v>0</v>
      </c>
      <c r="L235" s="1">
        <v>0</v>
      </c>
      <c r="M235" s="1">
        <v>0</v>
      </c>
      <c r="N235" s="1" t="s">
        <v>52</v>
      </c>
      <c r="O235" s="1">
        <v>0</v>
      </c>
      <c r="P235" s="1">
        <v>0</v>
      </c>
      <c r="Q235" s="1">
        <v>0</v>
      </c>
      <c r="R235" s="1" t="s">
        <v>48</v>
      </c>
      <c r="S235" s="1">
        <v>0</v>
      </c>
      <c r="T235" s="1">
        <v>0</v>
      </c>
      <c r="U235" s="1">
        <v>0</v>
      </c>
    </row>
    <row r="236" spans="1:21" s="1" customFormat="1">
      <c r="A236" s="4">
        <v>45639</v>
      </c>
      <c r="B236" s="1" t="s">
        <v>48</v>
      </c>
      <c r="C236" s="1">
        <v>0</v>
      </c>
      <c r="D236" s="1">
        <v>0</v>
      </c>
      <c r="E236" s="1">
        <v>0</v>
      </c>
      <c r="F236" s="1" t="s">
        <v>48</v>
      </c>
      <c r="G236" s="1">
        <v>0</v>
      </c>
      <c r="H236" s="1">
        <v>0</v>
      </c>
      <c r="I236" s="1">
        <v>0</v>
      </c>
      <c r="J236" s="1" t="s">
        <v>48</v>
      </c>
      <c r="K236" s="1">
        <v>0</v>
      </c>
      <c r="L236" s="1">
        <v>0</v>
      </c>
      <c r="M236" s="1">
        <v>0</v>
      </c>
      <c r="N236" s="1" t="s">
        <v>48</v>
      </c>
      <c r="O236" s="1" t="s">
        <v>48</v>
      </c>
      <c r="P236" s="1">
        <v>0</v>
      </c>
      <c r="Q236" s="1">
        <v>0</v>
      </c>
      <c r="R236" s="1" t="s">
        <v>48</v>
      </c>
      <c r="S236" s="1">
        <v>0</v>
      </c>
      <c r="T236" s="1">
        <v>0</v>
      </c>
      <c r="U236" s="1">
        <v>0</v>
      </c>
    </row>
    <row r="237" spans="1:21" s="1" customFormat="1">
      <c r="A237" s="4">
        <v>45642</v>
      </c>
      <c r="B237" s="1" t="s">
        <v>48</v>
      </c>
      <c r="C237" s="1">
        <v>0</v>
      </c>
      <c r="D237" s="1">
        <v>0</v>
      </c>
      <c r="E237" s="1">
        <v>0</v>
      </c>
      <c r="F237" s="1" t="s">
        <v>48</v>
      </c>
      <c r="G237" s="1">
        <v>0</v>
      </c>
      <c r="H237" s="1">
        <v>0</v>
      </c>
      <c r="I237" s="1">
        <v>0</v>
      </c>
      <c r="J237" s="1" t="s">
        <v>48</v>
      </c>
      <c r="K237" s="1">
        <v>0</v>
      </c>
      <c r="L237" s="1">
        <v>0</v>
      </c>
      <c r="M237" s="1">
        <v>0</v>
      </c>
      <c r="N237" s="1" t="s">
        <v>48</v>
      </c>
      <c r="O237" s="1">
        <v>0</v>
      </c>
      <c r="P237" s="1" t="s">
        <v>48</v>
      </c>
      <c r="Q237" s="1">
        <v>0</v>
      </c>
      <c r="R237" s="1" t="s">
        <v>48</v>
      </c>
      <c r="S237" s="1" t="s">
        <v>48</v>
      </c>
      <c r="T237" s="1">
        <v>0</v>
      </c>
      <c r="U237" s="1">
        <v>0</v>
      </c>
    </row>
    <row r="238" spans="1:21" s="1" customFormat="1">
      <c r="A238" s="4">
        <v>45643</v>
      </c>
      <c r="B238" s="1" t="s">
        <v>48</v>
      </c>
      <c r="C238" s="1">
        <v>0</v>
      </c>
      <c r="D238" s="1">
        <v>0</v>
      </c>
      <c r="E238" s="1">
        <v>0</v>
      </c>
      <c r="F238" s="1" t="s">
        <v>48</v>
      </c>
      <c r="G238" s="1">
        <v>0</v>
      </c>
      <c r="H238" s="1">
        <v>0</v>
      </c>
      <c r="I238" s="1">
        <v>0</v>
      </c>
      <c r="J238" s="1" t="s">
        <v>48</v>
      </c>
      <c r="K238" s="1">
        <v>0</v>
      </c>
      <c r="L238" s="1">
        <v>0</v>
      </c>
      <c r="M238" s="1">
        <v>0</v>
      </c>
      <c r="N238" s="1" t="s">
        <v>48</v>
      </c>
      <c r="O238" s="1">
        <v>0</v>
      </c>
      <c r="P238" s="1">
        <v>0</v>
      </c>
      <c r="Q238" s="1" t="s">
        <v>48</v>
      </c>
      <c r="R238" s="1" t="s">
        <v>48</v>
      </c>
      <c r="S238" s="1">
        <v>0</v>
      </c>
      <c r="T238" s="1" t="s">
        <v>48</v>
      </c>
      <c r="U238" s="1">
        <v>0</v>
      </c>
    </row>
    <row r="239" spans="1:21" s="1" customFormat="1">
      <c r="A239" s="4">
        <v>45644</v>
      </c>
      <c r="B239" s="1" t="s">
        <v>48</v>
      </c>
      <c r="C239" s="1" t="s">
        <v>48</v>
      </c>
      <c r="D239" s="1">
        <v>0</v>
      </c>
      <c r="E239" s="1">
        <v>0</v>
      </c>
      <c r="F239" s="1" t="s">
        <v>48</v>
      </c>
      <c r="G239" s="1">
        <v>0</v>
      </c>
      <c r="H239" s="1">
        <v>0</v>
      </c>
      <c r="I239" s="1">
        <v>0</v>
      </c>
      <c r="J239" s="1" t="s">
        <v>48</v>
      </c>
      <c r="K239" s="1">
        <v>0</v>
      </c>
      <c r="L239" s="1">
        <v>0</v>
      </c>
      <c r="M239" s="1">
        <v>0</v>
      </c>
      <c r="N239" s="1" t="s">
        <v>48</v>
      </c>
      <c r="O239" s="1">
        <v>0</v>
      </c>
      <c r="P239" s="1">
        <v>0</v>
      </c>
      <c r="Q239" s="1">
        <v>0</v>
      </c>
      <c r="R239" s="1" t="s">
        <v>48</v>
      </c>
      <c r="S239" s="1">
        <v>0</v>
      </c>
      <c r="T239" s="1">
        <v>0</v>
      </c>
      <c r="U239" s="1" t="s">
        <v>48</v>
      </c>
    </row>
    <row r="240" spans="1:21" s="1" customFormat="1">
      <c r="A240" s="4">
        <v>45645</v>
      </c>
      <c r="B240" s="1" t="s">
        <v>48</v>
      </c>
      <c r="C240" s="1">
        <v>0</v>
      </c>
      <c r="D240" s="1" t="s">
        <v>48</v>
      </c>
      <c r="E240" s="1">
        <v>0</v>
      </c>
      <c r="F240" s="1" t="s">
        <v>48</v>
      </c>
      <c r="G240" s="1">
        <v>0</v>
      </c>
      <c r="H240" s="1">
        <v>0</v>
      </c>
      <c r="I240" s="1">
        <v>0</v>
      </c>
      <c r="J240" s="1" t="s">
        <v>48</v>
      </c>
      <c r="K240" s="1">
        <v>0</v>
      </c>
      <c r="L240" s="1">
        <v>0</v>
      </c>
      <c r="M240" s="1">
        <v>0</v>
      </c>
      <c r="N240" s="1" t="s">
        <v>48</v>
      </c>
      <c r="O240" s="1">
        <v>0</v>
      </c>
      <c r="P240" s="1">
        <v>0</v>
      </c>
      <c r="Q240" s="1">
        <v>0</v>
      </c>
      <c r="R240" s="1" t="s">
        <v>48</v>
      </c>
      <c r="S240" s="1">
        <v>0</v>
      </c>
      <c r="T240" s="1">
        <v>0</v>
      </c>
      <c r="U240" s="1">
        <v>0</v>
      </c>
    </row>
    <row r="241" spans="1:21" s="1" customFormat="1">
      <c r="A241" s="4">
        <v>45646</v>
      </c>
      <c r="B241" s="1" t="s">
        <v>48</v>
      </c>
      <c r="C241" s="1">
        <v>0</v>
      </c>
      <c r="D241" s="1">
        <v>0</v>
      </c>
      <c r="E241" s="1" t="s">
        <v>48</v>
      </c>
      <c r="F241" s="1" t="s">
        <v>48</v>
      </c>
      <c r="G241" s="1">
        <v>0</v>
      </c>
      <c r="H241" s="1">
        <v>0</v>
      </c>
      <c r="I241" s="1">
        <v>0</v>
      </c>
      <c r="J241" s="1" t="s">
        <v>48</v>
      </c>
      <c r="K241" s="1">
        <v>0</v>
      </c>
      <c r="L241" s="1">
        <v>0</v>
      </c>
      <c r="M241" s="1">
        <v>0</v>
      </c>
      <c r="N241" s="1" t="s">
        <v>48</v>
      </c>
      <c r="O241" s="1" t="s">
        <v>48</v>
      </c>
      <c r="P241" s="1" t="s">
        <v>48</v>
      </c>
      <c r="Q241" s="1">
        <v>0</v>
      </c>
      <c r="R241" s="1" t="s">
        <v>64</v>
      </c>
      <c r="S241" s="1">
        <v>0</v>
      </c>
      <c r="T241" s="1">
        <v>0</v>
      </c>
      <c r="U241" s="1">
        <v>0</v>
      </c>
    </row>
    <row r="242" spans="1:21" s="1" customFormat="1">
      <c r="A242" s="4">
        <v>45649</v>
      </c>
      <c r="B242" s="1" t="s">
        <v>48</v>
      </c>
      <c r="C242" s="1">
        <v>0</v>
      </c>
      <c r="D242" s="1">
        <v>0</v>
      </c>
      <c r="E242" s="1">
        <v>0</v>
      </c>
      <c r="F242" s="1" t="s">
        <v>48</v>
      </c>
      <c r="G242" s="1">
        <v>0</v>
      </c>
      <c r="H242" s="1">
        <v>0</v>
      </c>
      <c r="I242" s="1">
        <v>0</v>
      </c>
      <c r="J242" s="1" t="s">
        <v>48</v>
      </c>
      <c r="K242" s="1" t="s">
        <v>48</v>
      </c>
      <c r="L242" s="1">
        <v>0</v>
      </c>
      <c r="M242" s="1">
        <v>0</v>
      </c>
      <c r="N242" s="1" t="s">
        <v>48</v>
      </c>
      <c r="O242" s="1">
        <v>0</v>
      </c>
      <c r="P242" s="1">
        <v>0</v>
      </c>
      <c r="Q242" s="1" t="s">
        <v>48</v>
      </c>
      <c r="R242" s="1" t="s">
        <v>48</v>
      </c>
      <c r="S242" s="1" t="s">
        <v>48</v>
      </c>
      <c r="T242" s="1" t="s">
        <v>48</v>
      </c>
      <c r="U242" s="1">
        <v>0</v>
      </c>
    </row>
    <row r="243" spans="1:21" s="1" customFormat="1">
      <c r="A243" s="4">
        <v>45650</v>
      </c>
      <c r="B243" s="1" t="s">
        <v>48</v>
      </c>
      <c r="C243" s="1">
        <v>0</v>
      </c>
      <c r="D243" s="1">
        <v>0</v>
      </c>
      <c r="E243" s="1">
        <v>0</v>
      </c>
      <c r="F243" s="1" t="s">
        <v>48</v>
      </c>
      <c r="G243" s="1" t="s">
        <v>48</v>
      </c>
      <c r="H243" s="1">
        <v>0</v>
      </c>
      <c r="I243" s="1">
        <v>0</v>
      </c>
      <c r="J243" s="1" t="s">
        <v>48</v>
      </c>
      <c r="K243" s="1">
        <v>0</v>
      </c>
      <c r="L243" s="1" t="s">
        <v>48</v>
      </c>
      <c r="M243" s="1">
        <v>0</v>
      </c>
      <c r="N243" s="1" t="s">
        <v>48</v>
      </c>
      <c r="O243" s="1">
        <v>0</v>
      </c>
      <c r="P243" s="1">
        <v>0</v>
      </c>
      <c r="Q243" s="1">
        <v>0</v>
      </c>
      <c r="R243" s="1" t="s">
        <v>48</v>
      </c>
      <c r="S243" s="1">
        <v>0</v>
      </c>
      <c r="T243" s="1">
        <v>0</v>
      </c>
      <c r="U243" s="1" t="s">
        <v>48</v>
      </c>
    </row>
    <row r="244" spans="1:21" s="1" customFormat="1">
      <c r="A244" s="4">
        <v>45652</v>
      </c>
      <c r="B244" s="1" t="s">
        <v>48</v>
      </c>
      <c r="C244" s="1">
        <v>0</v>
      </c>
      <c r="D244" s="1">
        <v>0</v>
      </c>
      <c r="E244" s="1">
        <v>0</v>
      </c>
      <c r="F244" s="1" t="s">
        <v>48</v>
      </c>
      <c r="G244" s="1">
        <v>0</v>
      </c>
      <c r="H244" s="1" t="s">
        <v>48</v>
      </c>
      <c r="I244" s="1">
        <v>0</v>
      </c>
      <c r="J244" s="1" t="s">
        <v>48</v>
      </c>
      <c r="K244" s="1">
        <v>0</v>
      </c>
      <c r="L244" s="1">
        <v>0</v>
      </c>
      <c r="M244" s="1" t="s">
        <v>48</v>
      </c>
      <c r="N244" s="1" t="s">
        <v>48</v>
      </c>
      <c r="O244" s="1">
        <v>0</v>
      </c>
      <c r="P244" s="1">
        <v>0</v>
      </c>
      <c r="Q244" s="1">
        <v>0</v>
      </c>
      <c r="R244" s="1" t="s">
        <v>48</v>
      </c>
      <c r="S244" s="1">
        <v>0</v>
      </c>
      <c r="T244" s="1">
        <v>0</v>
      </c>
      <c r="U244" s="1">
        <v>0</v>
      </c>
    </row>
    <row r="245" spans="1:21" s="1" customFormat="1">
      <c r="A245" s="4">
        <v>45653</v>
      </c>
      <c r="B245" s="1" t="s">
        <v>48</v>
      </c>
      <c r="C245" s="1">
        <v>0</v>
      </c>
      <c r="D245" s="1">
        <v>0</v>
      </c>
      <c r="E245" s="1">
        <v>0</v>
      </c>
      <c r="F245" s="1" t="s">
        <v>48</v>
      </c>
      <c r="G245" s="1">
        <v>0</v>
      </c>
      <c r="H245" s="1">
        <v>0</v>
      </c>
      <c r="I245" s="1" t="s">
        <v>48</v>
      </c>
      <c r="J245" s="1" t="s">
        <v>48</v>
      </c>
      <c r="K245" s="1">
        <v>0</v>
      </c>
      <c r="L245" s="1">
        <v>0</v>
      </c>
      <c r="M245" s="1">
        <v>0</v>
      </c>
      <c r="N245" s="1" t="s">
        <v>48</v>
      </c>
      <c r="O245" s="1" t="s">
        <v>48</v>
      </c>
      <c r="P245" s="1">
        <v>0</v>
      </c>
      <c r="Q245" s="1">
        <v>0</v>
      </c>
      <c r="R245" s="1" t="s">
        <v>48</v>
      </c>
      <c r="S245" s="1">
        <v>0</v>
      </c>
      <c r="T245" s="1">
        <v>0</v>
      </c>
      <c r="U245" s="1">
        <v>0</v>
      </c>
    </row>
    <row r="246" spans="1:21" s="1" customFormat="1">
      <c r="A246" s="4">
        <v>45656</v>
      </c>
      <c r="B246" s="1" t="s">
        <v>48</v>
      </c>
      <c r="C246" s="1">
        <v>0</v>
      </c>
      <c r="D246" s="1">
        <v>0</v>
      </c>
      <c r="E246" s="1">
        <v>0</v>
      </c>
      <c r="F246" s="1" t="s">
        <v>48</v>
      </c>
      <c r="G246" s="1">
        <v>0</v>
      </c>
      <c r="H246" s="1">
        <v>0</v>
      </c>
      <c r="I246" s="1">
        <v>0</v>
      </c>
      <c r="J246" s="1" t="s">
        <v>48</v>
      </c>
      <c r="K246" s="1">
        <v>0</v>
      </c>
      <c r="L246" s="1">
        <v>0</v>
      </c>
      <c r="M246" s="1">
        <v>0</v>
      </c>
      <c r="N246" s="1" t="s">
        <v>48</v>
      </c>
      <c r="O246" s="1">
        <v>0</v>
      </c>
      <c r="P246" s="1" t="s">
        <v>48</v>
      </c>
      <c r="Q246" s="1">
        <v>0</v>
      </c>
      <c r="R246" s="1" t="s">
        <v>48</v>
      </c>
      <c r="S246" s="1" t="s">
        <v>48</v>
      </c>
      <c r="T246" s="1">
        <v>0</v>
      </c>
      <c r="U246" s="1">
        <v>0</v>
      </c>
    </row>
    <row r="247" spans="1:21" s="1" customFormat="1">
      <c r="A247" s="4">
        <v>45657</v>
      </c>
      <c r="B247" s="1" t="s">
        <v>48</v>
      </c>
      <c r="C247" s="1">
        <v>0</v>
      </c>
      <c r="D247" s="1">
        <v>0</v>
      </c>
      <c r="E247" s="1">
        <v>0</v>
      </c>
      <c r="F247" s="1" t="s">
        <v>48</v>
      </c>
      <c r="G247" s="1">
        <v>0</v>
      </c>
      <c r="H247" s="1">
        <v>0</v>
      </c>
      <c r="I247" s="1">
        <v>0</v>
      </c>
      <c r="J247" s="1" t="s">
        <v>48</v>
      </c>
      <c r="K247" s="1">
        <v>0</v>
      </c>
      <c r="L247" s="1">
        <v>0</v>
      </c>
      <c r="M247" s="1">
        <v>0</v>
      </c>
      <c r="N247" s="1" t="s">
        <v>48</v>
      </c>
      <c r="O247" s="1">
        <v>0</v>
      </c>
      <c r="P247" s="1">
        <v>0</v>
      </c>
      <c r="Q247" s="1" t="s">
        <v>48</v>
      </c>
      <c r="R247" s="1" t="s">
        <v>48</v>
      </c>
      <c r="S247" s="1">
        <v>0</v>
      </c>
      <c r="T247" s="1" t="s">
        <v>48</v>
      </c>
      <c r="U247" s="1">
        <v>0</v>
      </c>
    </row>
    <row r="248" spans="1:21" s="1" customFormat="1">
      <c r="A248" s="4">
        <v>45658</v>
      </c>
      <c r="B248" s="1" t="s">
        <v>48</v>
      </c>
      <c r="C248" s="1">
        <v>0</v>
      </c>
      <c r="D248" s="1">
        <v>0</v>
      </c>
      <c r="E248" s="1">
        <v>0</v>
      </c>
      <c r="F248" s="1" t="s">
        <v>48</v>
      </c>
      <c r="G248" s="1">
        <v>0</v>
      </c>
      <c r="H248" s="1">
        <v>0</v>
      </c>
      <c r="I248" s="1">
        <v>0</v>
      </c>
      <c r="J248" s="1" t="s">
        <v>48</v>
      </c>
      <c r="K248" s="1">
        <v>0</v>
      </c>
      <c r="L248" s="1">
        <v>0</v>
      </c>
      <c r="M248" s="1">
        <v>0</v>
      </c>
      <c r="N248" s="1" t="s">
        <v>48</v>
      </c>
      <c r="O248" s="1">
        <v>0</v>
      </c>
      <c r="P248" s="1">
        <v>0</v>
      </c>
      <c r="Q248" s="1">
        <v>0</v>
      </c>
      <c r="R248" s="1" t="s">
        <v>48</v>
      </c>
      <c r="S248" s="1">
        <v>0</v>
      </c>
      <c r="T248" s="1">
        <v>0</v>
      </c>
      <c r="U248" s="1" t="s">
        <v>48</v>
      </c>
    </row>
    <row r="249" spans="1:21" s="1" customFormat="1">
      <c r="A249" s="4">
        <v>45659</v>
      </c>
      <c r="B249" s="1" t="s">
        <v>48</v>
      </c>
      <c r="C249" s="1">
        <v>0</v>
      </c>
      <c r="D249" s="1">
        <v>0</v>
      </c>
      <c r="E249" s="1">
        <v>0</v>
      </c>
      <c r="F249" s="1" t="s">
        <v>48</v>
      </c>
      <c r="G249" s="1">
        <v>0</v>
      </c>
      <c r="H249" s="1">
        <v>0</v>
      </c>
      <c r="I249" s="1">
        <v>0</v>
      </c>
      <c r="J249" s="1" t="s">
        <v>48</v>
      </c>
      <c r="K249" s="1">
        <v>0</v>
      </c>
      <c r="L249" s="1">
        <v>0</v>
      </c>
      <c r="M249" s="1">
        <v>0</v>
      </c>
      <c r="N249" s="1" t="s">
        <v>48</v>
      </c>
      <c r="O249" s="1">
        <v>0</v>
      </c>
      <c r="P249" s="1">
        <v>0</v>
      </c>
      <c r="Q249" s="1">
        <v>0</v>
      </c>
      <c r="R249" s="1" t="s">
        <v>48</v>
      </c>
      <c r="S249" s="1">
        <v>0</v>
      </c>
      <c r="T249" s="1">
        <v>0</v>
      </c>
      <c r="U249" s="1">
        <v>0</v>
      </c>
    </row>
    <row r="250" spans="1:21" s="1" customFormat="1">
      <c r="A250" s="4">
        <v>45660</v>
      </c>
      <c r="B250" s="1" t="s">
        <v>48</v>
      </c>
      <c r="C250" s="1">
        <v>0</v>
      </c>
      <c r="D250" s="1">
        <v>0</v>
      </c>
      <c r="E250" s="1">
        <v>0</v>
      </c>
      <c r="F250" s="1" t="s">
        <v>48</v>
      </c>
      <c r="G250" s="1">
        <v>0</v>
      </c>
      <c r="H250" s="1">
        <v>0</v>
      </c>
      <c r="I250" s="1">
        <v>0</v>
      </c>
      <c r="J250" s="1" t="s">
        <v>48</v>
      </c>
      <c r="K250" s="1">
        <v>0</v>
      </c>
      <c r="L250" s="1">
        <v>0</v>
      </c>
      <c r="M250" s="1">
        <v>0</v>
      </c>
      <c r="N250" s="1" t="s">
        <v>48</v>
      </c>
      <c r="O250" s="1" t="s">
        <v>48</v>
      </c>
      <c r="P250" s="1">
        <v>0</v>
      </c>
      <c r="Q250" s="1">
        <v>0</v>
      </c>
      <c r="R250" s="1" t="s">
        <v>48</v>
      </c>
      <c r="S250" s="1">
        <v>0</v>
      </c>
      <c r="T250" s="1">
        <v>0</v>
      </c>
      <c r="U250" s="1">
        <v>0</v>
      </c>
    </row>
    <row r="251" spans="1:21" s="1" customFormat="1">
      <c r="A251" s="4">
        <v>45663</v>
      </c>
      <c r="B251" s="1" t="s">
        <v>48</v>
      </c>
      <c r="C251" s="1">
        <v>0</v>
      </c>
      <c r="D251" s="1">
        <v>0</v>
      </c>
      <c r="E251" s="1">
        <v>0</v>
      </c>
      <c r="F251" s="1" t="s">
        <v>48</v>
      </c>
      <c r="G251" s="1">
        <v>0</v>
      </c>
      <c r="H251" s="1">
        <v>0</v>
      </c>
      <c r="I251" s="1">
        <v>0</v>
      </c>
      <c r="J251" s="1" t="s">
        <v>48</v>
      </c>
      <c r="K251" s="1">
        <v>0</v>
      </c>
      <c r="L251" s="1">
        <v>0</v>
      </c>
      <c r="M251" s="1">
        <v>0</v>
      </c>
      <c r="N251" s="1" t="s">
        <v>48</v>
      </c>
      <c r="O251" s="1">
        <v>0</v>
      </c>
      <c r="P251" s="1" t="s">
        <v>48</v>
      </c>
      <c r="Q251" s="1">
        <v>0</v>
      </c>
      <c r="R251" s="1" t="s">
        <v>48</v>
      </c>
      <c r="S251" s="1" t="s">
        <v>48</v>
      </c>
      <c r="T251" s="1" t="s">
        <v>48</v>
      </c>
      <c r="U251" s="1" t="s">
        <v>48</v>
      </c>
    </row>
    <row r="252" spans="1:21" s="1" customFormat="1">
      <c r="A252" s="4">
        <v>45664</v>
      </c>
      <c r="B252" s="1" t="s">
        <v>48</v>
      </c>
      <c r="C252" s="1">
        <v>0</v>
      </c>
      <c r="D252" s="1">
        <v>0</v>
      </c>
      <c r="E252" s="1">
        <v>0</v>
      </c>
      <c r="F252" s="1" t="s">
        <v>48</v>
      </c>
      <c r="G252" s="1">
        <v>0</v>
      </c>
      <c r="H252" s="1">
        <v>0</v>
      </c>
      <c r="I252" s="1">
        <v>0</v>
      </c>
      <c r="J252" s="1" t="s">
        <v>48</v>
      </c>
      <c r="K252" s="1">
        <v>0</v>
      </c>
      <c r="L252" s="1">
        <v>0</v>
      </c>
      <c r="M252" s="1">
        <v>0</v>
      </c>
      <c r="N252" s="1" t="s">
        <v>48</v>
      </c>
      <c r="O252" s="1">
        <v>0</v>
      </c>
      <c r="P252" s="1">
        <v>0</v>
      </c>
      <c r="Q252" s="1" t="s">
        <v>48</v>
      </c>
      <c r="R252" s="1" t="s">
        <v>48</v>
      </c>
      <c r="S252" s="1">
        <v>0</v>
      </c>
      <c r="T252" s="1">
        <v>0</v>
      </c>
      <c r="U252" s="1">
        <v>0</v>
      </c>
    </row>
    <row r="253" spans="1:21" s="1" customFormat="1">
      <c r="A253" s="4">
        <v>45665</v>
      </c>
      <c r="B253" s="1" t="s">
        <v>48</v>
      </c>
      <c r="C253" s="1">
        <v>0</v>
      </c>
      <c r="D253" s="1">
        <v>0</v>
      </c>
      <c r="E253" s="1">
        <v>0</v>
      </c>
      <c r="F253" s="1" t="s">
        <v>48</v>
      </c>
      <c r="G253" s="1">
        <v>0</v>
      </c>
      <c r="H253" s="1">
        <v>0</v>
      </c>
      <c r="I253" s="1">
        <v>0</v>
      </c>
      <c r="J253" s="1" t="s">
        <v>48</v>
      </c>
      <c r="K253" s="1">
        <v>0</v>
      </c>
      <c r="L253" s="1">
        <v>0</v>
      </c>
      <c r="M253" s="1">
        <v>0</v>
      </c>
      <c r="N253" s="1" t="s">
        <v>48</v>
      </c>
      <c r="O253" s="1">
        <v>0</v>
      </c>
      <c r="P253" s="1">
        <v>0</v>
      </c>
      <c r="Q253" s="1">
        <v>0</v>
      </c>
      <c r="R253" s="1" t="s">
        <v>48</v>
      </c>
      <c r="S253" s="1" t="s">
        <v>48</v>
      </c>
      <c r="T253" s="1">
        <v>0</v>
      </c>
      <c r="U253" s="1">
        <v>0</v>
      </c>
    </row>
    <row r="254" spans="1:21" s="1" customFormat="1">
      <c r="A254" s="4">
        <v>45666</v>
      </c>
      <c r="B254" s="1" t="s">
        <v>48</v>
      </c>
      <c r="C254" s="1">
        <v>0</v>
      </c>
      <c r="D254" s="1">
        <v>0</v>
      </c>
      <c r="E254" s="1">
        <v>0</v>
      </c>
      <c r="F254" s="1" t="s">
        <v>48</v>
      </c>
      <c r="G254" s="1">
        <v>0</v>
      </c>
      <c r="H254" s="1">
        <v>0</v>
      </c>
      <c r="I254" s="1">
        <v>0</v>
      </c>
      <c r="J254" s="1" t="s">
        <v>48</v>
      </c>
      <c r="K254" s="1">
        <v>0</v>
      </c>
      <c r="L254" s="1">
        <v>0</v>
      </c>
      <c r="M254" s="1">
        <v>0</v>
      </c>
      <c r="N254" s="1" t="s">
        <v>48</v>
      </c>
      <c r="O254" s="1">
        <v>0</v>
      </c>
      <c r="P254" s="1">
        <v>0</v>
      </c>
      <c r="Q254" s="1">
        <v>0</v>
      </c>
      <c r="R254" s="1" t="s">
        <v>48</v>
      </c>
      <c r="S254" s="1">
        <v>0</v>
      </c>
      <c r="T254" s="1" t="s">
        <v>48</v>
      </c>
      <c r="U254" s="1">
        <v>0</v>
      </c>
    </row>
    <row r="255" spans="1:21" s="1" customFormat="1">
      <c r="A255" s="4">
        <v>45667</v>
      </c>
      <c r="B255" s="1" t="s">
        <v>48</v>
      </c>
      <c r="C255" s="1">
        <v>0</v>
      </c>
      <c r="D255" s="1">
        <v>0</v>
      </c>
      <c r="E255" s="1">
        <v>0</v>
      </c>
      <c r="F255" s="1" t="s">
        <v>48</v>
      </c>
      <c r="G255" s="1">
        <v>0</v>
      </c>
      <c r="H255" s="1">
        <v>0</v>
      </c>
      <c r="I255" s="1">
        <v>0</v>
      </c>
      <c r="J255" s="1" t="s">
        <v>48</v>
      </c>
      <c r="K255" s="1">
        <v>0</v>
      </c>
      <c r="L255" s="1">
        <v>0</v>
      </c>
      <c r="M255" s="1">
        <v>0</v>
      </c>
      <c r="N255" s="1" t="s">
        <v>48</v>
      </c>
      <c r="O255" s="1" t="s">
        <v>48</v>
      </c>
      <c r="P255" s="1">
        <v>0</v>
      </c>
      <c r="Q255" s="1">
        <v>0</v>
      </c>
      <c r="R255" s="1" t="s">
        <v>48</v>
      </c>
      <c r="S255" s="1">
        <v>0</v>
      </c>
      <c r="T255" s="1">
        <v>0</v>
      </c>
      <c r="U255" s="1" t="s">
        <v>48</v>
      </c>
    </row>
    <row r="256" spans="1:21" s="1" customFormat="1">
      <c r="A256" s="4">
        <v>45670</v>
      </c>
      <c r="B256" s="1" t="s">
        <v>48</v>
      </c>
      <c r="C256" s="1">
        <v>0</v>
      </c>
      <c r="D256" s="1">
        <v>0</v>
      </c>
      <c r="E256" s="1">
        <v>0</v>
      </c>
      <c r="F256" s="1" t="s">
        <v>48</v>
      </c>
      <c r="G256" s="1">
        <v>0</v>
      </c>
      <c r="H256" s="1">
        <v>0</v>
      </c>
      <c r="I256" s="1">
        <v>0</v>
      </c>
      <c r="J256" s="1" t="s">
        <v>48</v>
      </c>
      <c r="K256" s="1">
        <v>0</v>
      </c>
      <c r="L256" s="1">
        <v>0</v>
      </c>
      <c r="M256" s="1">
        <v>0</v>
      </c>
      <c r="N256" s="1" t="s">
        <v>48</v>
      </c>
      <c r="O256" s="1">
        <v>0</v>
      </c>
      <c r="P256" s="1" t="s">
        <v>48</v>
      </c>
      <c r="Q256" s="1">
        <v>0</v>
      </c>
      <c r="R256" s="1" t="s">
        <v>48</v>
      </c>
      <c r="S256" s="1">
        <v>0</v>
      </c>
      <c r="T256" s="1">
        <v>0</v>
      </c>
      <c r="U256" s="1">
        <v>0</v>
      </c>
    </row>
    <row r="257" spans="1:21" s="1" customFormat="1">
      <c r="A257" s="4">
        <v>45671</v>
      </c>
      <c r="B257" s="1" t="s">
        <v>48</v>
      </c>
      <c r="C257" s="1">
        <v>0</v>
      </c>
      <c r="D257" s="1">
        <v>0</v>
      </c>
      <c r="E257" s="1">
        <v>0</v>
      </c>
      <c r="F257" s="1" t="s">
        <v>48</v>
      </c>
      <c r="G257" s="1">
        <v>0</v>
      </c>
      <c r="H257" s="1">
        <v>0</v>
      </c>
      <c r="I257" s="1">
        <v>0</v>
      </c>
      <c r="J257" s="1" t="s">
        <v>48</v>
      </c>
      <c r="K257" s="1">
        <v>0</v>
      </c>
      <c r="L257" s="1">
        <v>0</v>
      </c>
      <c r="M257" s="1">
        <v>0</v>
      </c>
      <c r="N257" s="1" t="s">
        <v>48</v>
      </c>
      <c r="O257" s="1">
        <v>0</v>
      </c>
      <c r="P257" s="1">
        <v>0</v>
      </c>
      <c r="Q257" s="1" t="s">
        <v>48</v>
      </c>
      <c r="R257" s="1" t="s">
        <v>48</v>
      </c>
      <c r="S257" s="1">
        <v>0</v>
      </c>
      <c r="T257" s="1">
        <v>0</v>
      </c>
      <c r="U257" s="1">
        <v>0</v>
      </c>
    </row>
    <row r="258" spans="1:21" s="1" customFormat="1">
      <c r="A258" s="4">
        <v>45672</v>
      </c>
      <c r="B258" s="1" t="s">
        <v>48</v>
      </c>
      <c r="C258" s="1">
        <v>0</v>
      </c>
      <c r="D258" s="1">
        <v>0</v>
      </c>
      <c r="E258" s="1">
        <v>0</v>
      </c>
      <c r="F258" s="1" t="s">
        <v>48</v>
      </c>
      <c r="G258" s="1">
        <v>0</v>
      </c>
      <c r="H258" s="1">
        <v>0</v>
      </c>
      <c r="I258" s="1">
        <v>0</v>
      </c>
      <c r="J258" s="1" t="s">
        <v>48</v>
      </c>
      <c r="K258" s="1">
        <v>0</v>
      </c>
      <c r="L258" s="1">
        <v>0</v>
      </c>
      <c r="M258" s="1">
        <v>0</v>
      </c>
      <c r="N258" s="1" t="s">
        <v>48</v>
      </c>
      <c r="O258" s="1">
        <v>0</v>
      </c>
      <c r="P258" s="1">
        <v>0</v>
      </c>
      <c r="Q258" s="1">
        <v>0</v>
      </c>
      <c r="R258" s="1" t="s">
        <v>48</v>
      </c>
      <c r="S258" s="1" t="s">
        <v>48</v>
      </c>
      <c r="T258" s="1">
        <v>0</v>
      </c>
      <c r="U258" s="1">
        <v>0</v>
      </c>
    </row>
    <row r="259" spans="1:21" s="1" customFormat="1">
      <c r="A259" s="4">
        <v>45673</v>
      </c>
      <c r="B259" s="1" t="s">
        <v>48</v>
      </c>
      <c r="C259" s="1">
        <v>0</v>
      </c>
      <c r="D259" s="1">
        <v>0</v>
      </c>
      <c r="E259" s="1">
        <v>0</v>
      </c>
      <c r="F259" s="1" t="s">
        <v>48</v>
      </c>
      <c r="G259" s="1">
        <v>0</v>
      </c>
      <c r="H259" s="1">
        <v>0</v>
      </c>
      <c r="I259" s="1">
        <v>0</v>
      </c>
      <c r="J259" s="1" t="s">
        <v>48</v>
      </c>
      <c r="K259" s="1">
        <v>0</v>
      </c>
      <c r="L259" s="1">
        <v>0</v>
      </c>
      <c r="M259" s="1">
        <v>0</v>
      </c>
      <c r="N259" s="1" t="s">
        <v>48</v>
      </c>
      <c r="O259" s="1">
        <v>0</v>
      </c>
      <c r="P259" s="1">
        <v>0</v>
      </c>
      <c r="Q259" s="1">
        <v>0</v>
      </c>
      <c r="R259" s="1" t="s">
        <v>48</v>
      </c>
      <c r="S259" s="1">
        <v>0</v>
      </c>
      <c r="T259" s="1" t="s">
        <v>48</v>
      </c>
      <c r="U259" s="1">
        <v>0</v>
      </c>
    </row>
    <row r="260" spans="1:21" s="1" customFormat="1">
      <c r="A260" s="4">
        <v>45674</v>
      </c>
      <c r="B260" s="1" t="s">
        <v>48</v>
      </c>
      <c r="C260" s="1">
        <v>0</v>
      </c>
      <c r="D260" s="1">
        <v>0</v>
      </c>
      <c r="E260" s="1">
        <v>0</v>
      </c>
      <c r="F260" s="1" t="s">
        <v>48</v>
      </c>
      <c r="G260" s="1">
        <v>0</v>
      </c>
      <c r="H260" s="1">
        <v>0</v>
      </c>
      <c r="I260" s="1">
        <v>0</v>
      </c>
      <c r="J260" s="1" t="s">
        <v>48</v>
      </c>
      <c r="K260" s="1">
        <v>0</v>
      </c>
      <c r="L260" s="1">
        <v>0</v>
      </c>
      <c r="M260" s="1">
        <v>0</v>
      </c>
      <c r="N260" s="1" t="s">
        <v>48</v>
      </c>
      <c r="O260" s="1" t="s">
        <v>48</v>
      </c>
      <c r="P260" s="1">
        <v>0</v>
      </c>
      <c r="Q260" s="1">
        <v>0</v>
      </c>
      <c r="R260" s="1" t="s">
        <v>48</v>
      </c>
      <c r="S260" s="1">
        <v>0</v>
      </c>
      <c r="T260" s="1">
        <v>0</v>
      </c>
      <c r="U260" s="1" t="s">
        <v>48</v>
      </c>
    </row>
    <row r="261" spans="1:21" s="1" customFormat="1">
      <c r="A261" s="4">
        <v>45677</v>
      </c>
      <c r="B261" s="1" t="s">
        <v>48</v>
      </c>
      <c r="C261" s="1">
        <v>0</v>
      </c>
      <c r="D261" s="1">
        <v>0</v>
      </c>
      <c r="E261" s="1">
        <v>0</v>
      </c>
      <c r="F261" s="1" t="s">
        <v>48</v>
      </c>
      <c r="G261" s="1">
        <v>0</v>
      </c>
      <c r="H261" s="1">
        <v>0</v>
      </c>
      <c r="I261" s="1">
        <v>0</v>
      </c>
      <c r="J261" s="1" t="s">
        <v>48</v>
      </c>
      <c r="K261" s="1">
        <v>0</v>
      </c>
      <c r="L261" s="1">
        <v>0</v>
      </c>
      <c r="M261" s="1">
        <v>0</v>
      </c>
      <c r="N261" s="1" t="s">
        <v>48</v>
      </c>
      <c r="O261" s="1">
        <v>0</v>
      </c>
      <c r="P261" s="1" t="s">
        <v>48</v>
      </c>
      <c r="Q261" s="1">
        <v>0</v>
      </c>
      <c r="R261" s="1" t="s">
        <v>48</v>
      </c>
      <c r="S261" s="1">
        <v>0</v>
      </c>
      <c r="T261" s="1">
        <v>0</v>
      </c>
      <c r="U261" s="1">
        <v>0</v>
      </c>
    </row>
    <row r="262" spans="1:21" s="1" customFormat="1">
      <c r="A262" s="4">
        <v>45678</v>
      </c>
      <c r="B262" s="1" t="s">
        <v>48</v>
      </c>
      <c r="C262" s="1">
        <v>0</v>
      </c>
      <c r="D262" s="1">
        <v>0</v>
      </c>
      <c r="E262" s="1">
        <v>0</v>
      </c>
      <c r="F262" s="1" t="s">
        <v>48</v>
      </c>
      <c r="G262" s="1">
        <v>0</v>
      </c>
      <c r="H262" s="1">
        <v>0</v>
      </c>
      <c r="I262" s="1">
        <v>0</v>
      </c>
      <c r="J262" s="1" t="s">
        <v>48</v>
      </c>
      <c r="K262" s="1">
        <v>0</v>
      </c>
      <c r="L262" s="1">
        <v>0</v>
      </c>
      <c r="M262" s="1">
        <v>0</v>
      </c>
      <c r="N262" s="1" t="s">
        <v>48</v>
      </c>
      <c r="O262" s="1">
        <v>0</v>
      </c>
      <c r="P262" s="1">
        <v>0</v>
      </c>
      <c r="Q262" s="1" t="s">
        <v>48</v>
      </c>
      <c r="R262" s="1" t="s">
        <v>48</v>
      </c>
      <c r="S262" s="1">
        <v>0</v>
      </c>
      <c r="T262" s="1">
        <v>0</v>
      </c>
      <c r="U262" s="1">
        <v>0</v>
      </c>
    </row>
    <row r="263" spans="1:21" s="1" customFormat="1">
      <c r="A263" s="4">
        <v>45679</v>
      </c>
      <c r="B263" s="1" t="s">
        <v>48</v>
      </c>
      <c r="C263" s="1">
        <v>0</v>
      </c>
      <c r="D263" s="1">
        <v>0</v>
      </c>
      <c r="E263" s="1">
        <v>0</v>
      </c>
      <c r="F263" s="1" t="s">
        <v>48</v>
      </c>
      <c r="G263" s="1">
        <v>0</v>
      </c>
      <c r="H263" s="1">
        <v>0</v>
      </c>
      <c r="I263" s="1">
        <v>0</v>
      </c>
      <c r="J263" s="1" t="s">
        <v>48</v>
      </c>
      <c r="K263" s="1">
        <v>0</v>
      </c>
      <c r="L263" s="1">
        <v>0</v>
      </c>
      <c r="M263" s="1">
        <v>0</v>
      </c>
      <c r="N263" s="1" t="s">
        <v>48</v>
      </c>
      <c r="O263" s="1">
        <v>0</v>
      </c>
      <c r="P263" s="1">
        <v>0</v>
      </c>
      <c r="Q263" s="1">
        <v>0</v>
      </c>
      <c r="R263" s="1" t="s">
        <v>48</v>
      </c>
      <c r="S263" s="1" t="s">
        <v>48</v>
      </c>
      <c r="T263" s="1">
        <v>0</v>
      </c>
      <c r="U263" s="1">
        <v>0</v>
      </c>
    </row>
    <row r="264" spans="1:21" s="1" customFormat="1">
      <c r="A264" s="4">
        <v>45680</v>
      </c>
      <c r="B264" s="1" t="s">
        <v>48</v>
      </c>
      <c r="C264" s="1">
        <v>0</v>
      </c>
      <c r="D264" s="1">
        <v>0</v>
      </c>
      <c r="E264" s="1">
        <v>0</v>
      </c>
      <c r="F264" s="1" t="s">
        <v>48</v>
      </c>
      <c r="G264" s="1">
        <v>0</v>
      </c>
      <c r="H264" s="1">
        <v>0</v>
      </c>
      <c r="I264" s="1">
        <v>0</v>
      </c>
      <c r="J264" s="1" t="s">
        <v>48</v>
      </c>
      <c r="K264" s="1">
        <v>0</v>
      </c>
      <c r="L264" s="1">
        <v>0</v>
      </c>
      <c r="M264" s="1">
        <v>0</v>
      </c>
      <c r="N264" s="1" t="s">
        <v>48</v>
      </c>
      <c r="O264" s="1">
        <v>0</v>
      </c>
      <c r="P264" s="1">
        <v>0</v>
      </c>
      <c r="Q264" s="1">
        <v>0</v>
      </c>
      <c r="R264" s="1" t="s">
        <v>48</v>
      </c>
      <c r="S264" s="1">
        <v>0</v>
      </c>
      <c r="T264" s="1" t="s">
        <v>48</v>
      </c>
      <c r="U264" s="1">
        <v>0</v>
      </c>
    </row>
    <row r="265" spans="1:21" s="1" customFormat="1">
      <c r="A265" s="4">
        <v>45681</v>
      </c>
      <c r="B265" s="1" t="s">
        <v>48</v>
      </c>
      <c r="C265" s="1" t="s">
        <v>48</v>
      </c>
      <c r="D265" s="1">
        <v>0</v>
      </c>
      <c r="E265" s="1">
        <v>0</v>
      </c>
      <c r="F265" s="1" t="s">
        <v>48</v>
      </c>
      <c r="G265" s="1" t="s">
        <v>48</v>
      </c>
      <c r="H265" s="1">
        <v>0</v>
      </c>
      <c r="I265" s="1">
        <v>0</v>
      </c>
      <c r="J265" s="1" t="s">
        <v>48</v>
      </c>
      <c r="K265" s="1" t="s">
        <v>48</v>
      </c>
      <c r="L265" s="1">
        <v>0</v>
      </c>
      <c r="M265" s="1">
        <v>0</v>
      </c>
      <c r="N265" s="1" t="s">
        <v>48</v>
      </c>
      <c r="O265" s="1" t="s">
        <v>48</v>
      </c>
      <c r="P265" s="1">
        <v>0</v>
      </c>
      <c r="Q265" s="1">
        <v>0</v>
      </c>
      <c r="R265" s="1" t="s">
        <v>48</v>
      </c>
      <c r="S265" s="1">
        <v>0</v>
      </c>
      <c r="T265" s="1">
        <v>0</v>
      </c>
      <c r="U265" s="1" t="s">
        <v>48</v>
      </c>
    </row>
    <row r="266" spans="1:21" s="1" customFormat="1">
      <c r="A266" s="4">
        <v>45684</v>
      </c>
      <c r="B266" s="1" t="s">
        <v>48</v>
      </c>
      <c r="C266" s="1">
        <v>0</v>
      </c>
      <c r="D266" s="1" t="s">
        <v>48</v>
      </c>
      <c r="E266" s="1">
        <v>0</v>
      </c>
      <c r="F266" s="1" t="s">
        <v>48</v>
      </c>
      <c r="G266" s="1">
        <v>0</v>
      </c>
      <c r="H266" s="1" t="s">
        <v>48</v>
      </c>
      <c r="I266" s="1">
        <v>0</v>
      </c>
      <c r="J266" s="1" t="s">
        <v>48</v>
      </c>
      <c r="K266" s="1">
        <v>0</v>
      </c>
      <c r="L266" s="1" t="s">
        <v>48</v>
      </c>
      <c r="M266" s="1">
        <v>0</v>
      </c>
      <c r="N266" s="1" t="s">
        <v>48</v>
      </c>
      <c r="O266" s="1">
        <v>0</v>
      </c>
      <c r="P266" s="1" t="s">
        <v>48</v>
      </c>
      <c r="Q266" s="1">
        <v>0</v>
      </c>
      <c r="R266" s="1" t="s">
        <v>48</v>
      </c>
      <c r="S266" s="1">
        <v>0</v>
      </c>
      <c r="T266" s="1">
        <v>0</v>
      </c>
      <c r="U266" s="1">
        <v>0</v>
      </c>
    </row>
    <row r="267" spans="1:21" s="1" customFormat="1">
      <c r="A267" s="4">
        <v>45685</v>
      </c>
      <c r="B267" s="1" t="s">
        <v>48</v>
      </c>
      <c r="C267" s="1">
        <v>0</v>
      </c>
      <c r="D267" s="1">
        <v>0</v>
      </c>
      <c r="E267" s="1" t="s">
        <v>48</v>
      </c>
      <c r="F267" s="1" t="s">
        <v>48</v>
      </c>
      <c r="G267" s="1">
        <v>0</v>
      </c>
      <c r="H267" s="1">
        <v>0</v>
      </c>
      <c r="I267" s="1" t="s">
        <v>48</v>
      </c>
      <c r="J267" s="1" t="s">
        <v>48</v>
      </c>
      <c r="K267" s="1">
        <v>0</v>
      </c>
      <c r="L267" s="1">
        <v>0</v>
      </c>
      <c r="M267" s="1" t="s">
        <v>48</v>
      </c>
      <c r="N267" s="1" t="s">
        <v>48</v>
      </c>
      <c r="O267" s="1">
        <v>0</v>
      </c>
      <c r="P267" s="1">
        <v>0</v>
      </c>
      <c r="Q267" s="1" t="s">
        <v>48</v>
      </c>
      <c r="R267" s="1" t="s">
        <v>48</v>
      </c>
      <c r="S267" s="1">
        <v>0</v>
      </c>
      <c r="T267" s="1">
        <v>0</v>
      </c>
      <c r="U267" s="1">
        <v>0</v>
      </c>
    </row>
    <row r="268" spans="1:21" s="1" customFormat="1">
      <c r="A268" s="4">
        <v>45686</v>
      </c>
      <c r="B268" s="1" t="s">
        <v>48</v>
      </c>
      <c r="C268" s="1">
        <v>0</v>
      </c>
      <c r="D268" s="1">
        <v>0</v>
      </c>
      <c r="E268" s="1">
        <v>0</v>
      </c>
      <c r="F268" s="1" t="s">
        <v>48</v>
      </c>
      <c r="G268" s="1">
        <v>0</v>
      </c>
      <c r="H268" s="1">
        <v>0</v>
      </c>
      <c r="I268" s="1">
        <v>0</v>
      </c>
      <c r="J268" s="1" t="s">
        <v>48</v>
      </c>
      <c r="K268" s="1">
        <v>0</v>
      </c>
      <c r="L268" s="1">
        <v>0</v>
      </c>
      <c r="M268" s="1">
        <v>0</v>
      </c>
      <c r="N268" s="1" t="s">
        <v>48</v>
      </c>
      <c r="O268" s="1">
        <v>0</v>
      </c>
      <c r="P268" s="1">
        <v>0</v>
      </c>
      <c r="Q268" s="1">
        <v>0</v>
      </c>
      <c r="R268" s="1" t="s">
        <v>48</v>
      </c>
      <c r="S268" s="1">
        <v>0</v>
      </c>
      <c r="T268" s="1">
        <v>0</v>
      </c>
      <c r="U268" s="1">
        <v>0</v>
      </c>
    </row>
    <row r="269" spans="1:21" s="1" customFormat="1">
      <c r="A269" s="4">
        <v>45687</v>
      </c>
      <c r="B269" s="1" t="s">
        <v>48</v>
      </c>
      <c r="C269" s="1">
        <v>0</v>
      </c>
      <c r="D269" s="1">
        <v>0</v>
      </c>
      <c r="E269" s="1">
        <v>0</v>
      </c>
      <c r="F269" s="1" t="s">
        <v>48</v>
      </c>
      <c r="G269" s="1">
        <v>0</v>
      </c>
      <c r="H269" s="1">
        <v>0</v>
      </c>
      <c r="I269" s="1">
        <v>0</v>
      </c>
      <c r="J269" s="1" t="s">
        <v>48</v>
      </c>
      <c r="K269" s="1">
        <v>0</v>
      </c>
      <c r="L269" s="1">
        <v>0</v>
      </c>
      <c r="M269" s="1">
        <v>0</v>
      </c>
      <c r="N269" s="1" t="s">
        <v>48</v>
      </c>
      <c r="O269" s="1">
        <v>0</v>
      </c>
      <c r="P269" s="1">
        <v>0</v>
      </c>
      <c r="Q269" s="1">
        <v>0</v>
      </c>
      <c r="R269" s="1" t="s">
        <v>48</v>
      </c>
      <c r="S269" s="1" t="s">
        <v>48</v>
      </c>
      <c r="T269" s="1">
        <v>0</v>
      </c>
      <c r="U269" s="1">
        <v>0</v>
      </c>
    </row>
    <row r="270" spans="1:21" s="1" customFormat="1">
      <c r="A270" s="4">
        <v>45688</v>
      </c>
      <c r="B270" s="1" t="s">
        <v>48</v>
      </c>
      <c r="C270" s="1">
        <v>0</v>
      </c>
      <c r="D270" s="1">
        <v>0</v>
      </c>
      <c r="E270" s="1">
        <v>0</v>
      </c>
      <c r="F270" s="1" t="s">
        <v>48</v>
      </c>
      <c r="G270" s="1">
        <v>0</v>
      </c>
      <c r="H270" s="1">
        <v>0</v>
      </c>
      <c r="I270" s="1">
        <v>0</v>
      </c>
      <c r="J270" s="1" t="s">
        <v>48</v>
      </c>
      <c r="K270" s="1">
        <v>0</v>
      </c>
      <c r="L270" s="1">
        <v>0</v>
      </c>
      <c r="M270" s="1">
        <v>0</v>
      </c>
      <c r="N270" s="1" t="s">
        <v>48</v>
      </c>
      <c r="O270" s="1">
        <v>0</v>
      </c>
      <c r="P270" s="1">
        <v>0</v>
      </c>
      <c r="Q270" s="1">
        <v>0</v>
      </c>
      <c r="R270" s="1" t="s">
        <v>48</v>
      </c>
      <c r="S270" s="1">
        <v>0</v>
      </c>
      <c r="T270" s="1" t="s">
        <v>48</v>
      </c>
      <c r="U270" s="1">
        <v>0</v>
      </c>
    </row>
    <row r="271" spans="1:21" s="1" customFormat="1">
      <c r="A271" s="4">
        <v>45689</v>
      </c>
      <c r="B271" s="1" t="s">
        <v>48</v>
      </c>
      <c r="C271" s="1">
        <v>0</v>
      </c>
      <c r="D271" s="1">
        <v>0</v>
      </c>
      <c r="E271" s="1">
        <v>0</v>
      </c>
      <c r="F271" s="1" t="s">
        <v>48</v>
      </c>
      <c r="G271" s="1">
        <v>0</v>
      </c>
      <c r="H271" s="1">
        <v>0</v>
      </c>
      <c r="I271" s="1">
        <v>0</v>
      </c>
      <c r="J271" s="1" t="s">
        <v>48</v>
      </c>
      <c r="K271" s="1">
        <v>0</v>
      </c>
      <c r="L271" s="1">
        <v>0</v>
      </c>
      <c r="M271" s="1">
        <v>0</v>
      </c>
      <c r="N271" s="1" t="s">
        <v>48</v>
      </c>
      <c r="O271" s="1" t="s">
        <v>48</v>
      </c>
      <c r="P271" s="1">
        <v>0</v>
      </c>
      <c r="Q271" s="1">
        <v>0</v>
      </c>
      <c r="R271" s="1" t="s">
        <v>48</v>
      </c>
      <c r="S271" s="1">
        <v>0</v>
      </c>
      <c r="T271" s="1">
        <v>0</v>
      </c>
      <c r="U271" s="1" t="s">
        <v>48</v>
      </c>
    </row>
    <row r="272" spans="1:21" s="1" customFormat="1">
      <c r="A272" s="4">
        <v>45691</v>
      </c>
      <c r="B272" s="1" t="s">
        <v>48</v>
      </c>
      <c r="C272" s="1">
        <v>0</v>
      </c>
      <c r="D272" s="1">
        <v>0</v>
      </c>
      <c r="E272" s="1">
        <v>0</v>
      </c>
      <c r="F272" s="1" t="s">
        <v>48</v>
      </c>
      <c r="G272" s="1">
        <v>0</v>
      </c>
      <c r="H272" s="1">
        <v>0</v>
      </c>
      <c r="I272" s="1">
        <v>0</v>
      </c>
      <c r="J272" s="1" t="s">
        <v>48</v>
      </c>
      <c r="K272" s="1">
        <v>0</v>
      </c>
      <c r="L272" s="1">
        <v>0</v>
      </c>
      <c r="M272" s="1">
        <v>0</v>
      </c>
      <c r="N272" s="1" t="s">
        <v>48</v>
      </c>
      <c r="O272" s="1">
        <v>0</v>
      </c>
      <c r="P272" s="1" t="s">
        <v>48</v>
      </c>
      <c r="Q272" s="1">
        <v>0</v>
      </c>
      <c r="R272" s="1" t="s">
        <v>48</v>
      </c>
      <c r="S272" s="1">
        <v>0</v>
      </c>
      <c r="T272" s="1">
        <v>0</v>
      </c>
      <c r="U272" s="1">
        <v>0</v>
      </c>
    </row>
    <row r="273" spans="1:21" s="1" customFormat="1">
      <c r="A273" s="4">
        <v>45692</v>
      </c>
      <c r="B273" s="1" t="s">
        <v>48</v>
      </c>
      <c r="C273" s="1">
        <v>0</v>
      </c>
      <c r="D273" s="1">
        <v>0</v>
      </c>
      <c r="E273" s="1">
        <v>0</v>
      </c>
      <c r="F273" s="1" t="s">
        <v>48</v>
      </c>
      <c r="G273" s="1">
        <v>0</v>
      </c>
      <c r="H273" s="1">
        <v>0</v>
      </c>
      <c r="I273" s="1">
        <v>0</v>
      </c>
      <c r="J273" s="1" t="s">
        <v>48</v>
      </c>
      <c r="K273" s="1">
        <v>0</v>
      </c>
      <c r="L273" s="1">
        <v>0</v>
      </c>
      <c r="M273" s="1">
        <v>0</v>
      </c>
      <c r="N273" s="1" t="s">
        <v>48</v>
      </c>
      <c r="O273" s="1">
        <v>0</v>
      </c>
      <c r="P273" s="1">
        <v>0</v>
      </c>
      <c r="Q273" s="1" t="s">
        <v>48</v>
      </c>
      <c r="R273" s="1" t="s">
        <v>65</v>
      </c>
      <c r="S273" s="1">
        <v>0</v>
      </c>
      <c r="T273" s="1">
        <v>0</v>
      </c>
      <c r="U273" s="1">
        <v>0</v>
      </c>
    </row>
    <row r="274" spans="1:21" s="1" customFormat="1">
      <c r="A274" s="4">
        <v>45693</v>
      </c>
      <c r="B274" s="1" t="s">
        <v>48</v>
      </c>
      <c r="C274" s="1">
        <v>0</v>
      </c>
      <c r="D274" s="1">
        <v>0</v>
      </c>
      <c r="E274" s="1">
        <v>0</v>
      </c>
      <c r="F274" s="1" t="s">
        <v>48</v>
      </c>
      <c r="G274" s="1">
        <v>0</v>
      </c>
      <c r="H274" s="1">
        <v>0</v>
      </c>
      <c r="I274" s="1">
        <v>0</v>
      </c>
      <c r="J274" s="1" t="s">
        <v>48</v>
      </c>
      <c r="K274" s="1">
        <v>0</v>
      </c>
      <c r="L274" s="1">
        <v>0</v>
      </c>
      <c r="M274" s="1">
        <v>0</v>
      </c>
      <c r="N274" s="1" t="s">
        <v>48</v>
      </c>
      <c r="O274" s="1">
        <v>0</v>
      </c>
      <c r="P274" s="1">
        <v>0</v>
      </c>
      <c r="Q274" s="1">
        <v>0</v>
      </c>
      <c r="R274" s="1" t="s">
        <v>48</v>
      </c>
      <c r="S274" s="1" t="s">
        <v>48</v>
      </c>
      <c r="T274" s="1">
        <v>0</v>
      </c>
      <c r="U274" s="1">
        <v>0</v>
      </c>
    </row>
    <row r="275" spans="1:21" s="1" customFormat="1">
      <c r="A275" s="4">
        <v>45694</v>
      </c>
      <c r="B275" s="1" t="s">
        <v>48</v>
      </c>
      <c r="C275" s="1">
        <v>0</v>
      </c>
      <c r="D275" s="1">
        <v>0</v>
      </c>
      <c r="E275" s="1">
        <v>0</v>
      </c>
      <c r="F275" s="1" t="s">
        <v>48</v>
      </c>
      <c r="G275" s="1">
        <v>0</v>
      </c>
      <c r="H275" s="1">
        <v>0</v>
      </c>
      <c r="I275" s="1">
        <v>0</v>
      </c>
      <c r="J275" s="1" t="s">
        <v>48</v>
      </c>
      <c r="K275" s="1">
        <v>0</v>
      </c>
      <c r="L275" s="1">
        <v>0</v>
      </c>
      <c r="M275" s="1">
        <v>0</v>
      </c>
      <c r="N275" s="1" t="s">
        <v>48</v>
      </c>
      <c r="O275" s="1">
        <v>0</v>
      </c>
      <c r="P275" s="1">
        <v>0</v>
      </c>
      <c r="Q275" s="1">
        <v>0</v>
      </c>
      <c r="R275" s="1" t="s">
        <v>48</v>
      </c>
      <c r="S275" s="1">
        <v>0</v>
      </c>
      <c r="T275" s="1" t="s">
        <v>48</v>
      </c>
      <c r="U275" s="1">
        <v>0</v>
      </c>
    </row>
    <row r="276" spans="1:21" s="1" customFormat="1">
      <c r="A276" s="4">
        <v>45695</v>
      </c>
      <c r="B276" s="1" t="s">
        <v>48</v>
      </c>
      <c r="C276" s="1">
        <v>0</v>
      </c>
      <c r="D276" s="1">
        <v>0</v>
      </c>
      <c r="E276" s="1">
        <v>0</v>
      </c>
      <c r="F276" s="1" t="s">
        <v>48</v>
      </c>
      <c r="G276" s="1">
        <v>0</v>
      </c>
      <c r="H276" s="1">
        <v>0</v>
      </c>
      <c r="I276" s="1">
        <v>0</v>
      </c>
      <c r="J276" s="1" t="s">
        <v>48</v>
      </c>
      <c r="K276" s="1">
        <v>0</v>
      </c>
      <c r="L276" s="1">
        <v>0</v>
      </c>
      <c r="M276" s="1">
        <v>0</v>
      </c>
      <c r="N276" s="1" t="s">
        <v>48</v>
      </c>
      <c r="O276" s="1" t="s">
        <v>48</v>
      </c>
      <c r="P276" s="1">
        <v>0</v>
      </c>
      <c r="Q276" s="1">
        <v>0</v>
      </c>
      <c r="R276" s="1" t="s">
        <v>48</v>
      </c>
      <c r="S276" s="1">
        <v>0</v>
      </c>
      <c r="T276" s="1">
        <v>0</v>
      </c>
      <c r="U276" s="1" t="s">
        <v>48</v>
      </c>
    </row>
    <row r="277" spans="1:21" s="1" customFormat="1">
      <c r="A277" s="4">
        <v>45698</v>
      </c>
      <c r="B277" s="1" t="s">
        <v>48</v>
      </c>
      <c r="C277" s="1">
        <v>0</v>
      </c>
      <c r="D277" s="1">
        <v>0</v>
      </c>
      <c r="E277" s="1">
        <v>0</v>
      </c>
      <c r="F277" s="1" t="s">
        <v>48</v>
      </c>
      <c r="G277" s="1">
        <v>0</v>
      </c>
      <c r="H277" s="1">
        <v>0</v>
      </c>
      <c r="I277" s="1">
        <v>0</v>
      </c>
      <c r="J277" s="1" t="s">
        <v>48</v>
      </c>
      <c r="K277" s="1">
        <v>0</v>
      </c>
      <c r="L277" s="1">
        <v>0</v>
      </c>
      <c r="M277" s="1">
        <v>0</v>
      </c>
      <c r="N277" s="1" t="s">
        <v>48</v>
      </c>
      <c r="O277" s="1">
        <v>0</v>
      </c>
      <c r="P277" s="1" t="s">
        <v>48</v>
      </c>
      <c r="Q277" s="1">
        <v>0</v>
      </c>
      <c r="R277" s="1" t="s">
        <v>48</v>
      </c>
      <c r="S277" s="1">
        <v>0</v>
      </c>
      <c r="T277" s="1">
        <v>0</v>
      </c>
      <c r="U277" s="1">
        <v>0</v>
      </c>
    </row>
    <row r="278" spans="1:21" s="1" customFormat="1">
      <c r="A278" s="4">
        <v>45699</v>
      </c>
      <c r="B278" s="1" t="s">
        <v>48</v>
      </c>
      <c r="C278" s="1">
        <v>0</v>
      </c>
      <c r="D278" s="1">
        <v>0</v>
      </c>
      <c r="E278" s="1">
        <v>0</v>
      </c>
      <c r="F278" s="1" t="s">
        <v>48</v>
      </c>
      <c r="G278" s="1">
        <v>0</v>
      </c>
      <c r="H278" s="1">
        <v>0</v>
      </c>
      <c r="I278" s="1">
        <v>0</v>
      </c>
      <c r="J278" s="1" t="s">
        <v>48</v>
      </c>
      <c r="K278" s="1">
        <v>0</v>
      </c>
      <c r="L278" s="1">
        <v>0</v>
      </c>
      <c r="M278" s="1">
        <v>0</v>
      </c>
      <c r="N278" s="1" t="s">
        <v>48</v>
      </c>
      <c r="O278" s="1">
        <v>0</v>
      </c>
      <c r="P278" s="1">
        <v>0</v>
      </c>
      <c r="Q278" s="1" t="s">
        <v>48</v>
      </c>
      <c r="R278" s="1" t="s">
        <v>48</v>
      </c>
      <c r="S278" s="1">
        <v>0</v>
      </c>
      <c r="T278" s="1">
        <v>0</v>
      </c>
      <c r="U278" s="1">
        <v>0</v>
      </c>
    </row>
    <row r="279" spans="1:21" s="1" customFormat="1">
      <c r="A279" s="4">
        <v>45700</v>
      </c>
      <c r="B279" s="1" t="s">
        <v>48</v>
      </c>
      <c r="C279" s="1">
        <v>0</v>
      </c>
      <c r="D279" s="1">
        <v>0</v>
      </c>
      <c r="E279" s="1">
        <v>0</v>
      </c>
      <c r="F279" s="1" t="s">
        <v>48</v>
      </c>
      <c r="G279" s="1">
        <v>0</v>
      </c>
      <c r="H279" s="1">
        <v>0</v>
      </c>
      <c r="I279" s="1">
        <v>0</v>
      </c>
      <c r="J279" s="1" t="s">
        <v>48</v>
      </c>
      <c r="K279" s="1">
        <v>0</v>
      </c>
      <c r="L279" s="1">
        <v>0</v>
      </c>
      <c r="M279" s="1">
        <v>0</v>
      </c>
      <c r="N279" s="1" t="s">
        <v>48</v>
      </c>
      <c r="O279" s="1">
        <v>0</v>
      </c>
      <c r="P279" s="1">
        <v>0</v>
      </c>
      <c r="Q279" s="1">
        <v>0</v>
      </c>
      <c r="R279" s="1" t="s">
        <v>48</v>
      </c>
      <c r="S279" s="1" t="s">
        <v>48</v>
      </c>
      <c r="T279" s="1">
        <v>0</v>
      </c>
      <c r="U279" s="1">
        <v>0</v>
      </c>
    </row>
    <row r="280" spans="1:21" s="1" customFormat="1">
      <c r="A280" s="4">
        <v>45701</v>
      </c>
      <c r="B280" s="1" t="s">
        <v>48</v>
      </c>
      <c r="C280" s="1">
        <v>0</v>
      </c>
      <c r="D280" s="1">
        <v>0</v>
      </c>
      <c r="E280" s="1">
        <v>0</v>
      </c>
      <c r="F280" s="1" t="s">
        <v>48</v>
      </c>
      <c r="G280" s="1">
        <v>0</v>
      </c>
      <c r="H280" s="1">
        <v>0</v>
      </c>
      <c r="I280" s="1">
        <v>0</v>
      </c>
      <c r="J280" s="1" t="s">
        <v>48</v>
      </c>
      <c r="K280" s="1">
        <v>0</v>
      </c>
      <c r="L280" s="1">
        <v>0</v>
      </c>
      <c r="M280" s="1">
        <v>0</v>
      </c>
      <c r="N280" s="1" t="s">
        <v>48</v>
      </c>
      <c r="O280" s="1">
        <v>0</v>
      </c>
      <c r="P280" s="1">
        <v>0</v>
      </c>
      <c r="Q280" s="1">
        <v>0</v>
      </c>
      <c r="R280" s="1" t="s">
        <v>48</v>
      </c>
      <c r="S280" s="1">
        <v>0</v>
      </c>
      <c r="T280" s="1" t="s">
        <v>48</v>
      </c>
      <c r="U280" s="1">
        <v>0</v>
      </c>
    </row>
    <row r="281" spans="1:21" s="1" customFormat="1">
      <c r="A281" s="4">
        <v>45702</v>
      </c>
      <c r="B281" s="1" t="s">
        <v>48</v>
      </c>
      <c r="C281" s="1">
        <v>0</v>
      </c>
      <c r="D281" s="1">
        <v>0</v>
      </c>
      <c r="E281" s="1">
        <v>0</v>
      </c>
      <c r="F281" s="1" t="s">
        <v>48</v>
      </c>
      <c r="G281" s="1">
        <v>0</v>
      </c>
      <c r="H281" s="1">
        <v>0</v>
      </c>
      <c r="I281" s="1">
        <v>0</v>
      </c>
      <c r="J281" s="1" t="s">
        <v>48</v>
      </c>
      <c r="K281" s="1">
        <v>0</v>
      </c>
      <c r="L281" s="1">
        <v>0</v>
      </c>
      <c r="M281" s="1">
        <v>0</v>
      </c>
      <c r="N281" s="1" t="s">
        <v>48</v>
      </c>
      <c r="O281" s="1" t="s">
        <v>48</v>
      </c>
      <c r="P281" s="1">
        <v>0</v>
      </c>
      <c r="Q281" s="1">
        <v>0</v>
      </c>
      <c r="R281" s="1" t="s">
        <v>48</v>
      </c>
      <c r="S281" s="1">
        <v>0</v>
      </c>
      <c r="T281" s="1">
        <v>0</v>
      </c>
      <c r="U281" s="1" t="s">
        <v>48</v>
      </c>
    </row>
    <row r="282" spans="1:21" s="1" customFormat="1">
      <c r="A282" s="4">
        <v>45705</v>
      </c>
      <c r="B282" s="1" t="s">
        <v>48</v>
      </c>
      <c r="C282" s="1">
        <v>0</v>
      </c>
      <c r="D282" s="1">
        <v>0</v>
      </c>
      <c r="E282" s="1">
        <v>0</v>
      </c>
      <c r="F282" s="1" t="s">
        <v>48</v>
      </c>
      <c r="G282" s="1">
        <v>0</v>
      </c>
      <c r="H282" s="1">
        <v>0</v>
      </c>
      <c r="I282" s="1">
        <v>0</v>
      </c>
      <c r="J282" s="1" t="s">
        <v>48</v>
      </c>
      <c r="K282" s="1">
        <v>0</v>
      </c>
      <c r="L282" s="1">
        <v>0</v>
      </c>
      <c r="M282" s="1">
        <v>0</v>
      </c>
      <c r="N282" s="1" t="s">
        <v>48</v>
      </c>
      <c r="O282" s="1">
        <v>0</v>
      </c>
      <c r="P282" s="1" t="s">
        <v>48</v>
      </c>
      <c r="Q282" s="1">
        <v>0</v>
      </c>
      <c r="R282" s="1" t="s">
        <v>48</v>
      </c>
      <c r="S282" s="1">
        <v>0</v>
      </c>
      <c r="T282" s="1">
        <v>0</v>
      </c>
      <c r="U282" s="1">
        <v>0</v>
      </c>
    </row>
    <row r="283" spans="1:21" s="1" customFormat="1">
      <c r="A283" s="4">
        <v>45706</v>
      </c>
      <c r="B283" s="1" t="s">
        <v>48</v>
      </c>
      <c r="C283" s="1">
        <v>0</v>
      </c>
      <c r="D283" s="1">
        <v>0</v>
      </c>
      <c r="E283" s="1">
        <v>0</v>
      </c>
      <c r="F283" s="1" t="s">
        <v>48</v>
      </c>
      <c r="G283" s="1">
        <v>0</v>
      </c>
      <c r="H283" s="1">
        <v>0</v>
      </c>
      <c r="I283" s="1">
        <v>0</v>
      </c>
      <c r="J283" s="1" t="s">
        <v>48</v>
      </c>
      <c r="K283" s="1">
        <v>0</v>
      </c>
      <c r="L283" s="1">
        <v>0</v>
      </c>
      <c r="M283" s="1">
        <v>0</v>
      </c>
      <c r="N283" s="1" t="s">
        <v>48</v>
      </c>
      <c r="O283" s="1">
        <v>0</v>
      </c>
      <c r="P283" s="1">
        <v>0</v>
      </c>
      <c r="Q283" s="1" t="s">
        <v>48</v>
      </c>
      <c r="R283" s="1" t="s">
        <v>48</v>
      </c>
      <c r="S283" s="1">
        <v>0</v>
      </c>
      <c r="T283" s="1">
        <v>0</v>
      </c>
      <c r="U283" s="1">
        <v>0</v>
      </c>
    </row>
    <row r="284" spans="1:21" s="1" customFormat="1">
      <c r="A284" s="4">
        <v>45707</v>
      </c>
      <c r="B284" s="1" t="s">
        <v>48</v>
      </c>
      <c r="C284" s="1">
        <v>0</v>
      </c>
      <c r="D284" s="1">
        <v>0</v>
      </c>
      <c r="E284" s="1">
        <v>0</v>
      </c>
      <c r="F284" s="1" t="s">
        <v>48</v>
      </c>
      <c r="G284" s="1">
        <v>0</v>
      </c>
      <c r="H284" s="1">
        <v>0</v>
      </c>
      <c r="I284" s="1">
        <v>0</v>
      </c>
      <c r="J284" s="1" t="s">
        <v>48</v>
      </c>
      <c r="K284" s="1">
        <v>0</v>
      </c>
      <c r="L284" s="1">
        <v>0</v>
      </c>
      <c r="M284" s="1">
        <v>0</v>
      </c>
      <c r="N284" s="1" t="s">
        <v>48</v>
      </c>
      <c r="O284" s="1">
        <v>0</v>
      </c>
      <c r="P284" s="1">
        <v>0</v>
      </c>
      <c r="Q284" s="1">
        <v>0</v>
      </c>
      <c r="R284" s="1" t="s">
        <v>48</v>
      </c>
      <c r="S284" s="1" t="s">
        <v>48</v>
      </c>
      <c r="T284" s="1">
        <v>0</v>
      </c>
      <c r="U284" s="1">
        <v>0</v>
      </c>
    </row>
    <row r="285" spans="1:21" s="1" customFormat="1">
      <c r="A285" s="4">
        <v>45708</v>
      </c>
      <c r="B285" s="1" t="s">
        <v>48</v>
      </c>
      <c r="C285" s="1" t="s">
        <v>48</v>
      </c>
      <c r="D285" s="1">
        <v>0</v>
      </c>
      <c r="E285" s="1">
        <v>0</v>
      </c>
      <c r="F285" s="1" t="s">
        <v>48</v>
      </c>
      <c r="G285" s="1" t="s">
        <v>48</v>
      </c>
      <c r="H285" s="1">
        <v>0</v>
      </c>
      <c r="I285" s="1">
        <v>0</v>
      </c>
      <c r="J285" s="1" t="s">
        <v>48</v>
      </c>
      <c r="K285" s="1" t="s">
        <v>48</v>
      </c>
      <c r="L285" s="1">
        <v>0</v>
      </c>
      <c r="M285" s="1">
        <v>0</v>
      </c>
      <c r="N285" s="1" t="s">
        <v>48</v>
      </c>
      <c r="O285" s="1">
        <v>0</v>
      </c>
      <c r="P285" s="1">
        <v>0</v>
      </c>
      <c r="Q285" s="1">
        <v>0</v>
      </c>
      <c r="R285" s="1" t="s">
        <v>48</v>
      </c>
      <c r="S285" s="1">
        <v>0</v>
      </c>
      <c r="T285" s="1" t="s">
        <v>48</v>
      </c>
      <c r="U285" s="1">
        <v>0</v>
      </c>
    </row>
    <row r="286" spans="1:21" s="1" customFormat="1">
      <c r="A286" s="4">
        <v>45709</v>
      </c>
      <c r="B286" s="1" t="s">
        <v>48</v>
      </c>
      <c r="C286" s="1">
        <v>0</v>
      </c>
      <c r="D286" s="1" t="s">
        <v>48</v>
      </c>
      <c r="E286" s="1">
        <v>0</v>
      </c>
      <c r="F286" s="1" t="s">
        <v>48</v>
      </c>
      <c r="G286" s="1">
        <v>0</v>
      </c>
      <c r="H286" s="1" t="s">
        <v>48</v>
      </c>
      <c r="I286" s="1">
        <v>0</v>
      </c>
      <c r="J286" s="1" t="s">
        <v>48</v>
      </c>
      <c r="K286" s="1">
        <v>0</v>
      </c>
      <c r="L286" s="1" t="s">
        <v>48</v>
      </c>
      <c r="M286" s="1">
        <v>0</v>
      </c>
      <c r="N286" s="1" t="s">
        <v>48</v>
      </c>
      <c r="O286" s="1" t="s">
        <v>48</v>
      </c>
      <c r="P286" s="1" t="s">
        <v>48</v>
      </c>
      <c r="Q286" s="1">
        <v>0</v>
      </c>
      <c r="R286" s="1" t="s">
        <v>48</v>
      </c>
      <c r="S286" s="1">
        <v>0</v>
      </c>
      <c r="T286" s="1">
        <v>0</v>
      </c>
      <c r="U286" s="1" t="s">
        <v>48</v>
      </c>
    </row>
    <row r="287" spans="1:21" s="1" customFormat="1">
      <c r="A287" s="4">
        <v>45712</v>
      </c>
      <c r="B287" s="1" t="s">
        <v>48</v>
      </c>
      <c r="C287" s="1">
        <v>0</v>
      </c>
      <c r="D287" s="1">
        <v>0</v>
      </c>
      <c r="E287" s="1" t="s">
        <v>48</v>
      </c>
      <c r="F287" s="1" t="s">
        <v>48</v>
      </c>
      <c r="G287" s="1">
        <v>0</v>
      </c>
      <c r="H287" s="1">
        <v>0</v>
      </c>
      <c r="I287" s="1" t="s">
        <v>48</v>
      </c>
      <c r="J287" s="1" t="s">
        <v>48</v>
      </c>
      <c r="K287" s="1">
        <v>0</v>
      </c>
      <c r="L287" s="1">
        <v>0</v>
      </c>
      <c r="M287" s="1" t="s">
        <v>48</v>
      </c>
      <c r="N287" s="1" t="s">
        <v>48</v>
      </c>
      <c r="O287" s="1">
        <v>0</v>
      </c>
      <c r="P287" s="1">
        <v>0</v>
      </c>
      <c r="Q287" s="1" t="s">
        <v>48</v>
      </c>
      <c r="R287" s="1" t="s">
        <v>48</v>
      </c>
      <c r="S287" s="1">
        <v>0</v>
      </c>
      <c r="T287" s="1">
        <v>0</v>
      </c>
      <c r="U287" s="1">
        <v>0</v>
      </c>
    </row>
    <row r="288" spans="1:21" s="1" customFormat="1">
      <c r="A288" s="4">
        <v>45713</v>
      </c>
      <c r="B288" s="1" t="s">
        <v>48</v>
      </c>
      <c r="C288" s="1">
        <v>0</v>
      </c>
      <c r="D288" s="1">
        <v>0</v>
      </c>
      <c r="E288" s="1">
        <v>0</v>
      </c>
      <c r="F288" s="1" t="s">
        <v>48</v>
      </c>
      <c r="G288" s="1">
        <v>0</v>
      </c>
      <c r="H288" s="1">
        <v>0</v>
      </c>
      <c r="I288" s="1">
        <v>0</v>
      </c>
      <c r="J288" s="1" t="s">
        <v>48</v>
      </c>
      <c r="K288" s="1">
        <v>0</v>
      </c>
      <c r="L288" s="1">
        <v>0</v>
      </c>
      <c r="M288" s="1">
        <v>0</v>
      </c>
      <c r="N288" s="1" t="s">
        <v>48</v>
      </c>
      <c r="O288" s="1">
        <v>0</v>
      </c>
      <c r="P288" s="1">
        <v>0</v>
      </c>
      <c r="Q288" s="1">
        <v>0</v>
      </c>
      <c r="R288" s="1" t="s">
        <v>48</v>
      </c>
      <c r="S288" s="1">
        <v>0</v>
      </c>
      <c r="T288" s="1">
        <v>0</v>
      </c>
      <c r="U288" s="1">
        <v>0</v>
      </c>
    </row>
    <row r="289" spans="1:21" s="1" customFormat="1">
      <c r="A289" s="4">
        <v>45715</v>
      </c>
      <c r="B289" s="1" t="s">
        <v>48</v>
      </c>
      <c r="C289" s="1">
        <v>0</v>
      </c>
      <c r="D289" s="1">
        <v>0</v>
      </c>
      <c r="E289" s="1">
        <v>0</v>
      </c>
      <c r="F289" s="1" t="s">
        <v>48</v>
      </c>
      <c r="G289" s="1">
        <v>0</v>
      </c>
      <c r="H289" s="1">
        <v>0</v>
      </c>
      <c r="I289" s="1">
        <v>0</v>
      </c>
      <c r="J289" s="1" t="s">
        <v>48</v>
      </c>
      <c r="K289" s="1">
        <v>0</v>
      </c>
      <c r="L289" s="1">
        <v>0</v>
      </c>
      <c r="M289" s="1">
        <v>0</v>
      </c>
      <c r="N289" s="1" t="s">
        <v>48</v>
      </c>
      <c r="O289" s="1">
        <v>0</v>
      </c>
      <c r="P289" s="1">
        <v>0</v>
      </c>
      <c r="Q289" s="1">
        <v>0</v>
      </c>
      <c r="R289" s="1" t="s">
        <v>48</v>
      </c>
      <c r="S289" s="1" t="s">
        <v>48</v>
      </c>
      <c r="T289" s="1" t="s">
        <v>48</v>
      </c>
      <c r="U289" s="1">
        <v>0</v>
      </c>
    </row>
    <row r="290" spans="1:21" s="1" customFormat="1">
      <c r="A290" s="4">
        <v>45716</v>
      </c>
      <c r="B290" s="1" t="s">
        <v>48</v>
      </c>
      <c r="C290" s="1">
        <v>0</v>
      </c>
      <c r="D290" s="1">
        <v>0</v>
      </c>
      <c r="E290" s="1">
        <v>0</v>
      </c>
      <c r="F290" s="1" t="s">
        <v>48</v>
      </c>
      <c r="G290" s="1">
        <v>0</v>
      </c>
      <c r="H290" s="1">
        <v>0</v>
      </c>
      <c r="I290" s="1">
        <v>0</v>
      </c>
      <c r="J290" s="1" t="s">
        <v>48</v>
      </c>
      <c r="K290" s="1">
        <v>0</v>
      </c>
      <c r="L290" s="1">
        <v>0</v>
      </c>
      <c r="M290" s="1">
        <v>0</v>
      </c>
      <c r="N290" s="1" t="s">
        <v>48</v>
      </c>
      <c r="O290" s="1" t="s">
        <v>48</v>
      </c>
      <c r="P290" s="1">
        <v>0</v>
      </c>
      <c r="Q290" s="1">
        <v>0</v>
      </c>
      <c r="R290" s="1" t="s">
        <v>48</v>
      </c>
      <c r="S290" s="1">
        <v>0</v>
      </c>
      <c r="T290" s="1">
        <v>0</v>
      </c>
      <c r="U290" s="1" t="s">
        <v>48</v>
      </c>
    </row>
    <row r="291" spans="1:21" s="1" customFormat="1">
      <c r="A291" s="4">
        <v>45719</v>
      </c>
      <c r="B291" s="1" t="s">
        <v>48</v>
      </c>
      <c r="C291" s="1">
        <v>0</v>
      </c>
      <c r="D291" s="1">
        <v>0</v>
      </c>
      <c r="E291" s="1">
        <v>0</v>
      </c>
      <c r="F291" s="1" t="s">
        <v>48</v>
      </c>
      <c r="G291" s="1">
        <v>0</v>
      </c>
      <c r="H291" s="1">
        <v>0</v>
      </c>
      <c r="I291" s="1">
        <v>0</v>
      </c>
      <c r="J291" s="1" t="s">
        <v>48</v>
      </c>
      <c r="K291" s="1">
        <v>0</v>
      </c>
      <c r="L291" s="1">
        <v>0</v>
      </c>
      <c r="M291" s="1">
        <v>0</v>
      </c>
      <c r="N291" s="1" t="s">
        <v>48</v>
      </c>
      <c r="O291" s="1">
        <v>0</v>
      </c>
      <c r="P291" s="1" t="s">
        <v>48</v>
      </c>
      <c r="Q291" s="1">
        <v>0</v>
      </c>
      <c r="R291" s="1" t="s">
        <v>48</v>
      </c>
      <c r="S291" s="1">
        <v>0</v>
      </c>
      <c r="T291" s="1">
        <v>0</v>
      </c>
      <c r="U291" s="1">
        <v>0</v>
      </c>
    </row>
    <row r="292" spans="1:21" s="1" customFormat="1">
      <c r="A292" s="4">
        <v>45720</v>
      </c>
      <c r="B292" s="1" t="s">
        <v>48</v>
      </c>
      <c r="C292" s="1">
        <v>0</v>
      </c>
      <c r="D292" s="1">
        <v>0</v>
      </c>
      <c r="E292" s="1">
        <v>0</v>
      </c>
      <c r="F292" s="1" t="s">
        <v>48</v>
      </c>
      <c r="G292" s="1">
        <v>0</v>
      </c>
      <c r="H292" s="1">
        <v>0</v>
      </c>
      <c r="I292" s="1">
        <v>0</v>
      </c>
      <c r="J292" s="1" t="s">
        <v>48</v>
      </c>
      <c r="K292" s="1">
        <v>0</v>
      </c>
      <c r="L292" s="1">
        <v>0</v>
      </c>
      <c r="M292" s="1">
        <v>0</v>
      </c>
      <c r="N292" s="1" t="s">
        <v>48</v>
      </c>
      <c r="O292" s="1">
        <v>0</v>
      </c>
      <c r="P292" s="1">
        <v>0</v>
      </c>
      <c r="Q292" s="1" t="s">
        <v>48</v>
      </c>
      <c r="R292" s="1" t="s">
        <v>48</v>
      </c>
      <c r="S292" s="1">
        <v>0</v>
      </c>
      <c r="T292" s="1">
        <v>0</v>
      </c>
      <c r="U292" s="1">
        <v>0</v>
      </c>
    </row>
    <row r="293" spans="1:21" s="1" customFormat="1">
      <c r="A293" s="4">
        <v>45721</v>
      </c>
      <c r="B293" s="1" t="s">
        <v>48</v>
      </c>
      <c r="C293" s="1">
        <v>0</v>
      </c>
      <c r="D293" s="1">
        <v>0</v>
      </c>
      <c r="E293" s="1">
        <v>0</v>
      </c>
      <c r="F293" s="1" t="s">
        <v>48</v>
      </c>
      <c r="G293" s="1">
        <v>0</v>
      </c>
      <c r="H293" s="1">
        <v>0</v>
      </c>
      <c r="I293" s="1">
        <v>0</v>
      </c>
      <c r="J293" s="1" t="s">
        <v>48</v>
      </c>
      <c r="K293" s="1">
        <v>0</v>
      </c>
      <c r="L293" s="1">
        <v>0</v>
      </c>
      <c r="M293" s="1">
        <v>0</v>
      </c>
      <c r="N293" s="1" t="s">
        <v>48</v>
      </c>
      <c r="O293" s="1">
        <v>0</v>
      </c>
      <c r="P293" s="1">
        <v>0</v>
      </c>
      <c r="Q293" s="1">
        <v>0</v>
      </c>
      <c r="R293" s="1" t="s">
        <v>48</v>
      </c>
      <c r="S293" s="1" t="s">
        <v>48</v>
      </c>
      <c r="T293" s="1">
        <v>0</v>
      </c>
      <c r="U293" s="1">
        <v>0</v>
      </c>
    </row>
    <row r="294" spans="1:21" s="1" customFormat="1">
      <c r="A294" s="4">
        <v>45722</v>
      </c>
      <c r="B294" s="1" t="s">
        <v>48</v>
      </c>
      <c r="C294" s="1">
        <v>0</v>
      </c>
      <c r="D294" s="1">
        <v>0</v>
      </c>
      <c r="E294" s="1">
        <v>0</v>
      </c>
      <c r="F294" s="1" t="s">
        <v>48</v>
      </c>
      <c r="G294" s="1">
        <v>0</v>
      </c>
      <c r="H294" s="1">
        <v>0</v>
      </c>
      <c r="I294" s="1">
        <v>0</v>
      </c>
      <c r="J294" s="1" t="s">
        <v>48</v>
      </c>
      <c r="K294" s="1">
        <v>0</v>
      </c>
      <c r="L294" s="1">
        <v>0</v>
      </c>
      <c r="M294" s="1">
        <v>0</v>
      </c>
      <c r="N294" s="1" t="s">
        <v>48</v>
      </c>
      <c r="O294" s="1">
        <v>0</v>
      </c>
      <c r="P294" s="1">
        <v>0</v>
      </c>
      <c r="Q294" s="1">
        <v>0</v>
      </c>
      <c r="R294" s="1" t="s">
        <v>48</v>
      </c>
      <c r="S294" s="1">
        <v>0</v>
      </c>
      <c r="T294" s="1" t="s">
        <v>48</v>
      </c>
      <c r="U294" s="1">
        <v>0</v>
      </c>
    </row>
    <row r="295" spans="1:21" s="1" customFormat="1">
      <c r="A295" s="4">
        <v>45723</v>
      </c>
      <c r="B295" s="1" t="s">
        <v>48</v>
      </c>
      <c r="C295" s="1">
        <v>0</v>
      </c>
      <c r="D295" s="1">
        <v>0</v>
      </c>
      <c r="E295" s="1">
        <v>0</v>
      </c>
      <c r="F295" s="1" t="s">
        <v>48</v>
      </c>
      <c r="G295" s="1">
        <v>0</v>
      </c>
      <c r="H295" s="1">
        <v>0</v>
      </c>
      <c r="I295" s="1">
        <v>0</v>
      </c>
      <c r="J295" s="1" t="s">
        <v>48</v>
      </c>
      <c r="K295" s="1">
        <v>0</v>
      </c>
      <c r="L295" s="1">
        <v>0</v>
      </c>
      <c r="M295" s="1">
        <v>0</v>
      </c>
      <c r="N295" s="1" t="s">
        <v>48</v>
      </c>
      <c r="O295" s="1" t="s">
        <v>48</v>
      </c>
      <c r="P295" s="1">
        <v>0</v>
      </c>
      <c r="Q295" s="1">
        <v>0</v>
      </c>
      <c r="R295" s="1" t="s">
        <v>48</v>
      </c>
      <c r="S295" s="1">
        <v>0</v>
      </c>
      <c r="T295" s="1">
        <v>0</v>
      </c>
      <c r="U295" s="1" t="s">
        <v>48</v>
      </c>
    </row>
    <row r="296" spans="1:21" s="1" customFormat="1">
      <c r="A296" s="4">
        <v>45726</v>
      </c>
      <c r="B296" s="1" t="s">
        <v>48</v>
      </c>
      <c r="C296" s="1">
        <v>0</v>
      </c>
      <c r="D296" s="1">
        <v>0</v>
      </c>
      <c r="E296" s="1">
        <v>0</v>
      </c>
      <c r="F296" s="1" t="s">
        <v>48</v>
      </c>
      <c r="G296" s="1">
        <v>0</v>
      </c>
      <c r="H296" s="1">
        <v>0</v>
      </c>
      <c r="I296" s="1">
        <v>0</v>
      </c>
      <c r="J296" s="1" t="s">
        <v>48</v>
      </c>
      <c r="K296" s="1">
        <v>0</v>
      </c>
      <c r="L296" s="1">
        <v>0</v>
      </c>
      <c r="M296" s="1">
        <v>0</v>
      </c>
      <c r="N296" s="1" t="s">
        <v>48</v>
      </c>
      <c r="O296" s="1">
        <v>0</v>
      </c>
      <c r="P296" s="1" t="s">
        <v>48</v>
      </c>
      <c r="Q296" s="1">
        <v>0</v>
      </c>
      <c r="R296" s="1" t="s">
        <v>48</v>
      </c>
      <c r="S296" s="1">
        <v>0</v>
      </c>
      <c r="T296" s="1">
        <v>0</v>
      </c>
      <c r="U296" s="1">
        <v>0</v>
      </c>
    </row>
    <row r="297" spans="1:21" s="1" customFormat="1">
      <c r="A297" s="4">
        <v>45727</v>
      </c>
      <c r="B297" s="1" t="s">
        <v>48</v>
      </c>
      <c r="C297" s="1">
        <v>0</v>
      </c>
      <c r="D297" s="1">
        <v>0</v>
      </c>
      <c r="E297" s="1">
        <v>0</v>
      </c>
      <c r="F297" s="1" t="s">
        <v>48</v>
      </c>
      <c r="G297" s="1">
        <v>0</v>
      </c>
      <c r="H297" s="1">
        <v>0</v>
      </c>
      <c r="I297" s="1">
        <v>0</v>
      </c>
      <c r="J297" s="1" t="s">
        <v>48</v>
      </c>
      <c r="K297" s="1">
        <v>0</v>
      </c>
      <c r="L297" s="1">
        <v>0</v>
      </c>
      <c r="M297" s="1">
        <v>0</v>
      </c>
      <c r="N297" s="1" t="s">
        <v>48</v>
      </c>
      <c r="O297" s="1">
        <v>0</v>
      </c>
      <c r="P297" s="1">
        <v>0</v>
      </c>
      <c r="Q297" s="1" t="s">
        <v>48</v>
      </c>
      <c r="R297" s="1" t="s">
        <v>48</v>
      </c>
      <c r="S297" s="1">
        <v>0</v>
      </c>
      <c r="T297" s="1">
        <v>0</v>
      </c>
      <c r="U297" s="1">
        <v>0</v>
      </c>
    </row>
    <row r="298" spans="1:21" s="1" customFormat="1">
      <c r="A298" s="4">
        <v>45728</v>
      </c>
      <c r="B298" s="1" t="s">
        <v>48</v>
      </c>
      <c r="C298" s="1">
        <v>0</v>
      </c>
      <c r="D298" s="1">
        <v>0</v>
      </c>
      <c r="E298" s="1">
        <v>0</v>
      </c>
      <c r="F298" s="1" t="s">
        <v>48</v>
      </c>
      <c r="G298" s="1">
        <v>0</v>
      </c>
      <c r="H298" s="1">
        <v>0</v>
      </c>
      <c r="I298" s="1">
        <v>0</v>
      </c>
      <c r="J298" s="1" t="s">
        <v>48</v>
      </c>
      <c r="K298" s="1">
        <v>0</v>
      </c>
      <c r="L298" s="1">
        <v>0</v>
      </c>
      <c r="M298" s="1">
        <v>0</v>
      </c>
      <c r="N298" s="1" t="s">
        <v>48</v>
      </c>
      <c r="O298" s="1">
        <v>0</v>
      </c>
      <c r="P298" s="1">
        <v>0</v>
      </c>
      <c r="Q298" s="1">
        <v>0</v>
      </c>
      <c r="R298" s="1" t="s">
        <v>48</v>
      </c>
      <c r="S298" s="1" t="s">
        <v>48</v>
      </c>
      <c r="T298" s="1" t="s">
        <v>48</v>
      </c>
      <c r="U298" s="1">
        <v>0</v>
      </c>
    </row>
    <row r="299" spans="1:21" s="1" customFormat="1">
      <c r="A299" s="4">
        <v>45729</v>
      </c>
      <c r="B299" s="1" t="s">
        <v>48</v>
      </c>
      <c r="C299" s="1">
        <v>0</v>
      </c>
      <c r="D299" s="1">
        <v>0</v>
      </c>
      <c r="E299" s="1">
        <v>0</v>
      </c>
      <c r="F299" s="1" t="s">
        <v>48</v>
      </c>
      <c r="G299" s="1">
        <v>0</v>
      </c>
      <c r="H299" s="1">
        <v>0</v>
      </c>
      <c r="I299" s="1">
        <v>0</v>
      </c>
      <c r="J299" s="1" t="s">
        <v>48</v>
      </c>
      <c r="K299" s="1">
        <v>0</v>
      </c>
      <c r="L299" s="1">
        <v>0</v>
      </c>
      <c r="M299" s="1">
        <v>0</v>
      </c>
      <c r="N299" s="1" t="s">
        <v>48</v>
      </c>
      <c r="O299" s="1">
        <v>0</v>
      </c>
      <c r="P299" s="1">
        <v>0</v>
      </c>
      <c r="Q299" s="1">
        <v>0</v>
      </c>
      <c r="R299" s="1" t="s">
        <v>48</v>
      </c>
      <c r="S299" s="1">
        <v>0</v>
      </c>
      <c r="T299" s="1">
        <v>0</v>
      </c>
      <c r="U299" s="1" t="s">
        <v>48</v>
      </c>
    </row>
    <row r="300" spans="1:21" s="1" customFormat="1">
      <c r="A300" s="4">
        <v>45733</v>
      </c>
      <c r="B300" s="1" t="s">
        <v>48</v>
      </c>
      <c r="C300" s="1">
        <v>0</v>
      </c>
      <c r="D300" s="1">
        <v>0</v>
      </c>
      <c r="E300" s="1">
        <v>0</v>
      </c>
      <c r="F300" s="1" t="s">
        <v>48</v>
      </c>
      <c r="G300" s="1">
        <v>0</v>
      </c>
      <c r="H300" s="1">
        <v>0</v>
      </c>
      <c r="I300" s="1">
        <v>0</v>
      </c>
      <c r="J300" s="1" t="s">
        <v>48</v>
      </c>
      <c r="K300" s="1">
        <v>0</v>
      </c>
      <c r="L300" s="1">
        <v>0</v>
      </c>
      <c r="M300" s="1">
        <v>0</v>
      </c>
      <c r="N300" s="1" t="s">
        <v>48</v>
      </c>
      <c r="O300" s="1" t="s">
        <v>48</v>
      </c>
      <c r="P300" s="1" t="s">
        <v>48</v>
      </c>
      <c r="Q300" s="1">
        <v>0</v>
      </c>
      <c r="R300" s="1" t="s">
        <v>48</v>
      </c>
      <c r="S300" s="1">
        <v>0</v>
      </c>
      <c r="T300" s="1">
        <v>0</v>
      </c>
      <c r="U300" s="1">
        <v>0</v>
      </c>
    </row>
    <row r="301" spans="1:21" s="1" customFormat="1">
      <c r="A301" s="4">
        <v>45734</v>
      </c>
      <c r="B301" s="1" t="s">
        <v>48</v>
      </c>
      <c r="C301" s="1">
        <v>0</v>
      </c>
      <c r="D301" s="1">
        <v>0</v>
      </c>
      <c r="E301" s="1">
        <v>0</v>
      </c>
      <c r="F301" s="1" t="s">
        <v>48</v>
      </c>
      <c r="G301" s="1">
        <v>0</v>
      </c>
      <c r="H301" s="1">
        <v>0</v>
      </c>
      <c r="I301" s="1">
        <v>0</v>
      </c>
      <c r="J301" s="1" t="s">
        <v>48</v>
      </c>
      <c r="K301" s="1">
        <v>0</v>
      </c>
      <c r="L301" s="1">
        <v>0</v>
      </c>
      <c r="M301" s="1">
        <v>0</v>
      </c>
      <c r="N301" s="1" t="s">
        <v>48</v>
      </c>
      <c r="O301" s="1">
        <v>0</v>
      </c>
      <c r="P301" s="1">
        <v>0</v>
      </c>
      <c r="Q301" s="1" t="s">
        <v>48</v>
      </c>
      <c r="R301" s="1" t="s">
        <v>48</v>
      </c>
      <c r="S301" s="1">
        <v>0</v>
      </c>
      <c r="T301" s="1">
        <v>0</v>
      </c>
      <c r="U301" s="1">
        <v>0</v>
      </c>
    </row>
    <row r="302" spans="1:21" s="1" customFormat="1">
      <c r="A302" s="4">
        <v>45735</v>
      </c>
      <c r="B302" s="1" t="s">
        <v>48</v>
      </c>
      <c r="C302" s="1">
        <v>0</v>
      </c>
      <c r="D302" s="1">
        <v>0</v>
      </c>
      <c r="E302" s="1">
        <v>0</v>
      </c>
      <c r="F302" s="1" t="s">
        <v>48</v>
      </c>
      <c r="G302" s="1">
        <v>0</v>
      </c>
      <c r="H302" s="1">
        <v>0</v>
      </c>
      <c r="I302" s="1">
        <v>0</v>
      </c>
      <c r="J302" s="1" t="s">
        <v>48</v>
      </c>
      <c r="K302" s="1">
        <v>0</v>
      </c>
      <c r="L302" s="1">
        <v>0</v>
      </c>
      <c r="M302" s="1">
        <v>0</v>
      </c>
      <c r="N302" s="1" t="s">
        <v>48</v>
      </c>
      <c r="O302" s="1">
        <v>0</v>
      </c>
      <c r="P302" s="1">
        <v>0</v>
      </c>
      <c r="Q302" s="1">
        <v>0</v>
      </c>
      <c r="R302" s="1" t="s">
        <v>48</v>
      </c>
      <c r="S302" s="1" t="s">
        <v>48</v>
      </c>
      <c r="T302" s="1">
        <v>0</v>
      </c>
      <c r="U302" s="1">
        <v>0</v>
      </c>
    </row>
    <row r="303" spans="1:21" s="1" customFormat="1">
      <c r="A303" s="4">
        <v>45736</v>
      </c>
      <c r="B303" s="1" t="s">
        <v>48</v>
      </c>
      <c r="C303" s="1">
        <v>0</v>
      </c>
      <c r="D303" s="1">
        <v>0</v>
      </c>
      <c r="E303" s="1">
        <v>0</v>
      </c>
      <c r="F303" s="1" t="s">
        <v>48</v>
      </c>
      <c r="G303" s="1">
        <v>0</v>
      </c>
      <c r="H303" s="1">
        <v>0</v>
      </c>
      <c r="I303" s="1">
        <v>0</v>
      </c>
      <c r="J303" s="1" t="s">
        <v>48</v>
      </c>
      <c r="K303" s="1">
        <v>0</v>
      </c>
      <c r="L303" s="1">
        <v>0</v>
      </c>
      <c r="M303" s="1">
        <v>0</v>
      </c>
      <c r="N303" s="1" t="s">
        <v>48</v>
      </c>
      <c r="O303" s="1">
        <v>0</v>
      </c>
      <c r="P303" s="1">
        <v>0</v>
      </c>
      <c r="Q303" s="1">
        <v>0</v>
      </c>
      <c r="R303" s="1" t="s">
        <v>48</v>
      </c>
      <c r="S303" s="1">
        <v>0</v>
      </c>
      <c r="T303" s="1" t="s">
        <v>48</v>
      </c>
      <c r="U303" s="1">
        <v>0</v>
      </c>
    </row>
    <row r="304" spans="1:21" s="1" customFormat="1">
      <c r="A304" s="4">
        <v>45737</v>
      </c>
      <c r="B304" s="1" t="s">
        <v>48</v>
      </c>
      <c r="C304" s="1" t="s">
        <v>48</v>
      </c>
      <c r="D304" s="1">
        <v>0</v>
      </c>
      <c r="E304" s="1">
        <v>0</v>
      </c>
      <c r="F304" s="1" t="s">
        <v>48</v>
      </c>
      <c r="G304" s="1" t="s">
        <v>48</v>
      </c>
      <c r="H304" s="1">
        <v>0</v>
      </c>
      <c r="I304" s="1">
        <v>0</v>
      </c>
      <c r="J304" s="1" t="s">
        <v>48</v>
      </c>
      <c r="K304" s="1" t="s">
        <v>48</v>
      </c>
      <c r="L304" s="1">
        <v>0</v>
      </c>
      <c r="M304" s="1">
        <v>0</v>
      </c>
      <c r="N304" s="1" t="s">
        <v>48</v>
      </c>
      <c r="O304" s="1" t="s">
        <v>48</v>
      </c>
      <c r="P304" s="1">
        <v>0</v>
      </c>
      <c r="Q304" s="1">
        <v>0</v>
      </c>
      <c r="R304" s="1" t="s">
        <v>48</v>
      </c>
      <c r="S304" s="1">
        <v>0</v>
      </c>
      <c r="T304" s="1">
        <v>0</v>
      </c>
      <c r="U304" s="1" t="s">
        <v>48</v>
      </c>
    </row>
    <row r="305" spans="1:21" s="1" customFormat="1">
      <c r="A305" s="4">
        <v>45740</v>
      </c>
      <c r="B305" s="1" t="s">
        <v>48</v>
      </c>
      <c r="C305" s="1">
        <v>0</v>
      </c>
      <c r="D305" s="1" t="s">
        <v>48</v>
      </c>
      <c r="E305" s="1">
        <v>0</v>
      </c>
      <c r="F305" s="1" t="s">
        <v>48</v>
      </c>
      <c r="G305" s="1">
        <v>0</v>
      </c>
      <c r="H305" s="1" t="s">
        <v>48</v>
      </c>
      <c r="I305" s="1">
        <v>0</v>
      </c>
      <c r="J305" s="1" t="s">
        <v>48</v>
      </c>
      <c r="K305" s="1">
        <v>0</v>
      </c>
      <c r="L305" s="1" t="s">
        <v>48</v>
      </c>
      <c r="M305" s="1">
        <v>0</v>
      </c>
      <c r="N305" s="1" t="s">
        <v>48</v>
      </c>
      <c r="O305" s="1">
        <v>0</v>
      </c>
      <c r="P305" s="1" t="s">
        <v>48</v>
      </c>
      <c r="Q305" s="1">
        <v>0</v>
      </c>
      <c r="R305" s="1" t="s">
        <v>48</v>
      </c>
      <c r="S305" s="1">
        <v>0</v>
      </c>
      <c r="T305" s="1">
        <v>0</v>
      </c>
      <c r="U305" s="1">
        <v>0</v>
      </c>
    </row>
    <row r="306" spans="1:21" s="1" customFormat="1">
      <c r="A306" s="4">
        <v>45741</v>
      </c>
      <c r="B306" s="1" t="s">
        <v>48</v>
      </c>
      <c r="C306" s="1">
        <v>0</v>
      </c>
      <c r="D306" s="1">
        <v>0</v>
      </c>
      <c r="E306" s="1" t="s">
        <v>48</v>
      </c>
      <c r="F306" s="1" t="s">
        <v>48</v>
      </c>
      <c r="G306" s="1">
        <v>0</v>
      </c>
      <c r="H306" s="1">
        <v>0</v>
      </c>
      <c r="I306" s="1" t="s">
        <v>48</v>
      </c>
      <c r="J306" s="1" t="s">
        <v>48</v>
      </c>
      <c r="K306" s="1">
        <v>0</v>
      </c>
      <c r="L306" s="1">
        <v>0</v>
      </c>
      <c r="M306" s="1" t="s">
        <v>48</v>
      </c>
      <c r="N306" s="1" t="s">
        <v>48</v>
      </c>
      <c r="O306" s="1">
        <v>0</v>
      </c>
      <c r="P306" s="1">
        <v>0</v>
      </c>
      <c r="Q306" s="1" t="s">
        <v>48</v>
      </c>
      <c r="R306" s="1" t="s">
        <v>66</v>
      </c>
      <c r="S306" s="1">
        <v>0</v>
      </c>
      <c r="T306" s="1">
        <v>0</v>
      </c>
      <c r="U306" s="1">
        <v>0</v>
      </c>
    </row>
    <row r="307" spans="1:21" s="1" customFormat="1">
      <c r="A307" s="4">
        <v>45742</v>
      </c>
      <c r="B307" s="1" t="s">
        <v>48</v>
      </c>
      <c r="C307" s="1">
        <v>0</v>
      </c>
      <c r="D307" s="1">
        <v>0</v>
      </c>
      <c r="E307" s="1">
        <v>0</v>
      </c>
      <c r="F307" s="1" t="s">
        <v>48</v>
      </c>
      <c r="G307" s="1">
        <v>0</v>
      </c>
      <c r="H307" s="1">
        <v>0</v>
      </c>
      <c r="I307" s="1">
        <v>0</v>
      </c>
      <c r="J307" s="1" t="s">
        <v>48</v>
      </c>
      <c r="K307" s="1">
        <v>0</v>
      </c>
      <c r="L307" s="1">
        <v>0</v>
      </c>
      <c r="M307" s="1">
        <v>0</v>
      </c>
      <c r="N307" s="1" t="s">
        <v>48</v>
      </c>
      <c r="O307" s="1">
        <v>0</v>
      </c>
      <c r="P307" s="1">
        <v>0</v>
      </c>
      <c r="Q307" s="1">
        <v>0</v>
      </c>
      <c r="R307" s="1" t="s">
        <v>48</v>
      </c>
      <c r="S307" s="1" t="s">
        <v>48</v>
      </c>
      <c r="T307" s="1" t="s">
        <v>48</v>
      </c>
      <c r="U307" s="1">
        <v>0</v>
      </c>
    </row>
    <row r="308" spans="1:21" s="1" customFormat="1">
      <c r="A308" s="4">
        <v>45743</v>
      </c>
      <c r="B308" s="1" t="s">
        <v>48</v>
      </c>
      <c r="C308" s="1">
        <v>0</v>
      </c>
      <c r="D308" s="1">
        <v>0</v>
      </c>
      <c r="E308" s="1">
        <v>0</v>
      </c>
      <c r="F308" s="1" t="s">
        <v>48</v>
      </c>
      <c r="G308" s="1">
        <v>0</v>
      </c>
      <c r="H308" s="1">
        <v>0</v>
      </c>
      <c r="I308" s="1">
        <v>0</v>
      </c>
      <c r="J308" s="1" t="s">
        <v>48</v>
      </c>
      <c r="K308" s="1">
        <v>0</v>
      </c>
      <c r="L308" s="1">
        <v>0</v>
      </c>
      <c r="M308" s="1">
        <v>0</v>
      </c>
      <c r="N308" s="1" t="s">
        <v>48</v>
      </c>
      <c r="O308" s="1">
        <v>0</v>
      </c>
      <c r="P308" s="1">
        <v>0</v>
      </c>
      <c r="Q308" s="1">
        <v>0</v>
      </c>
      <c r="R308" s="1" t="s">
        <v>48</v>
      </c>
      <c r="S308" s="1">
        <v>0</v>
      </c>
      <c r="T308" s="1">
        <v>0</v>
      </c>
      <c r="U308" s="1" t="s">
        <v>48</v>
      </c>
    </row>
    <row r="309" spans="1:21" s="1" customFormat="1">
      <c r="A309" s="4">
        <v>45744</v>
      </c>
      <c r="B309" s="1" t="s">
        <v>48</v>
      </c>
      <c r="C309" s="1">
        <v>0</v>
      </c>
      <c r="D309" s="1">
        <v>0</v>
      </c>
      <c r="E309" s="1">
        <v>0</v>
      </c>
      <c r="F309" s="1" t="s">
        <v>48</v>
      </c>
      <c r="G309" s="1">
        <v>0</v>
      </c>
      <c r="H309" s="1">
        <v>0</v>
      </c>
      <c r="I309" s="1">
        <v>0</v>
      </c>
      <c r="J309" s="1" t="s">
        <v>48</v>
      </c>
      <c r="K309" s="1">
        <v>0</v>
      </c>
      <c r="L309" s="1">
        <v>0</v>
      </c>
      <c r="M309" s="1">
        <v>0</v>
      </c>
      <c r="N309" s="1" t="s">
        <v>48</v>
      </c>
      <c r="O309" s="1" t="s">
        <v>48</v>
      </c>
      <c r="P309" s="1" t="s">
        <v>48</v>
      </c>
      <c r="Q309" s="1">
        <v>0</v>
      </c>
      <c r="R309" s="1" t="s">
        <v>48</v>
      </c>
      <c r="S309" s="1">
        <v>0</v>
      </c>
      <c r="T309" s="1">
        <v>0</v>
      </c>
      <c r="U309" s="1">
        <v>0</v>
      </c>
    </row>
    <row r="310" spans="1:21" s="1" customFormat="1">
      <c r="A310" s="4">
        <v>45748</v>
      </c>
      <c r="B310" s="1" t="s">
        <v>48</v>
      </c>
      <c r="C310" s="1">
        <v>0</v>
      </c>
      <c r="D310" s="1">
        <v>0</v>
      </c>
      <c r="E310" s="1">
        <v>0</v>
      </c>
      <c r="F310" s="1" t="s">
        <v>48</v>
      </c>
      <c r="G310" s="1">
        <v>0</v>
      </c>
      <c r="H310" s="1">
        <v>0</v>
      </c>
      <c r="I310" s="1">
        <v>0</v>
      </c>
      <c r="J310" s="1" t="s">
        <v>48</v>
      </c>
      <c r="K310" s="1">
        <v>0</v>
      </c>
      <c r="L310" s="1">
        <v>0</v>
      </c>
      <c r="M310" s="1">
        <v>0</v>
      </c>
      <c r="N310" s="1" t="s">
        <v>48</v>
      </c>
      <c r="O310" s="1">
        <v>0</v>
      </c>
      <c r="P310" s="1">
        <v>0</v>
      </c>
      <c r="Q310" s="1" t="s">
        <v>48</v>
      </c>
      <c r="R310" s="1" t="s">
        <v>48</v>
      </c>
      <c r="S310" s="1">
        <v>0</v>
      </c>
      <c r="T310" s="1">
        <v>0</v>
      </c>
      <c r="U310" s="1">
        <v>0</v>
      </c>
    </row>
    <row r="311" spans="1:21" s="1" customFormat="1">
      <c r="A311" s="4">
        <v>45749</v>
      </c>
      <c r="B311" s="1" t="s">
        <v>48</v>
      </c>
      <c r="C311" s="1">
        <v>0</v>
      </c>
      <c r="D311" s="1">
        <v>0</v>
      </c>
      <c r="E311" s="1">
        <v>0</v>
      </c>
      <c r="F311" s="1" t="s">
        <v>48</v>
      </c>
      <c r="G311" s="1">
        <v>0</v>
      </c>
      <c r="H311" s="1">
        <v>0</v>
      </c>
      <c r="I311" s="1">
        <v>0</v>
      </c>
      <c r="J311" s="1" t="s">
        <v>48</v>
      </c>
      <c r="K311" s="1">
        <v>0</v>
      </c>
      <c r="L311" s="1">
        <v>0</v>
      </c>
      <c r="M311" s="1">
        <v>0</v>
      </c>
      <c r="N311" s="1" t="s">
        <v>48</v>
      </c>
      <c r="O311" s="1">
        <v>0</v>
      </c>
      <c r="P311" s="1">
        <v>0</v>
      </c>
      <c r="Q311" s="1">
        <v>0</v>
      </c>
      <c r="R311" s="1" t="s">
        <v>48</v>
      </c>
      <c r="S311" s="1" t="s">
        <v>48</v>
      </c>
      <c r="T311" s="1">
        <v>0</v>
      </c>
      <c r="U311" s="1">
        <v>0</v>
      </c>
    </row>
    <row r="312" spans="1:21" s="1" customFormat="1">
      <c r="A312" s="4">
        <v>45750</v>
      </c>
      <c r="B312" s="1" t="s">
        <v>48</v>
      </c>
      <c r="C312" s="1">
        <v>0</v>
      </c>
      <c r="D312" s="1">
        <v>0</v>
      </c>
      <c r="E312" s="1">
        <v>0</v>
      </c>
      <c r="F312" s="1" t="s">
        <v>48</v>
      </c>
      <c r="G312" s="1">
        <v>0</v>
      </c>
      <c r="H312" s="1">
        <v>0</v>
      </c>
      <c r="I312" s="1">
        <v>0</v>
      </c>
      <c r="J312" s="1" t="s">
        <v>48</v>
      </c>
      <c r="K312" s="1">
        <v>0</v>
      </c>
      <c r="L312" s="1">
        <v>0</v>
      </c>
      <c r="M312" s="1">
        <v>0</v>
      </c>
      <c r="N312" s="1" t="s">
        <v>48</v>
      </c>
      <c r="O312" s="1">
        <v>0</v>
      </c>
      <c r="P312" s="1">
        <v>0</v>
      </c>
      <c r="Q312" s="1">
        <v>0</v>
      </c>
      <c r="R312" s="1" t="s">
        <v>48</v>
      </c>
      <c r="S312" s="1">
        <v>0</v>
      </c>
      <c r="T312" s="1" t="s">
        <v>48</v>
      </c>
      <c r="U312" s="1">
        <v>0</v>
      </c>
    </row>
    <row r="313" spans="1:21" s="1" customFormat="1">
      <c r="A313" s="4">
        <v>45751</v>
      </c>
      <c r="B313" s="1" t="s">
        <v>48</v>
      </c>
      <c r="C313" s="1">
        <v>0</v>
      </c>
      <c r="D313" s="1">
        <v>0</v>
      </c>
      <c r="E313" s="1">
        <v>0</v>
      </c>
      <c r="F313" s="1" t="s">
        <v>48</v>
      </c>
      <c r="G313" s="1">
        <v>0</v>
      </c>
      <c r="H313" s="1">
        <v>0</v>
      </c>
      <c r="I313" s="1">
        <v>0</v>
      </c>
      <c r="J313" s="1" t="s">
        <v>48</v>
      </c>
      <c r="K313" s="1">
        <v>0</v>
      </c>
      <c r="L313" s="1">
        <v>0</v>
      </c>
      <c r="M313" s="1">
        <v>0</v>
      </c>
      <c r="N313" s="1" t="s">
        <v>48</v>
      </c>
      <c r="O313" s="1" t="s">
        <v>53</v>
      </c>
      <c r="P313" s="1" t="s">
        <v>53</v>
      </c>
      <c r="Q313" s="1">
        <v>0</v>
      </c>
      <c r="R313" s="1" t="s">
        <v>48</v>
      </c>
      <c r="S313" s="1">
        <v>0</v>
      </c>
      <c r="T313" s="1">
        <v>0</v>
      </c>
      <c r="U313" s="1" t="s">
        <v>48</v>
      </c>
    </row>
    <row r="314" spans="1:21" s="1" customFormat="1">
      <c r="A314" s="4">
        <v>45754</v>
      </c>
      <c r="B314" s="1" t="s">
        <v>48</v>
      </c>
      <c r="C314" s="1">
        <v>0</v>
      </c>
      <c r="D314" s="1">
        <v>0</v>
      </c>
      <c r="E314" s="1">
        <v>0</v>
      </c>
      <c r="F314" s="1" t="s">
        <v>48</v>
      </c>
      <c r="G314" s="1">
        <v>0</v>
      </c>
      <c r="H314" s="1">
        <v>0</v>
      </c>
      <c r="I314" s="1">
        <v>0</v>
      </c>
      <c r="J314" s="1" t="s">
        <v>48</v>
      </c>
      <c r="K314" s="1">
        <v>0</v>
      </c>
      <c r="L314" s="1">
        <v>0</v>
      </c>
      <c r="M314" s="1">
        <v>0</v>
      </c>
      <c r="N314" s="1" t="s">
        <v>48</v>
      </c>
      <c r="O314" s="1">
        <v>0</v>
      </c>
      <c r="P314" s="1">
        <v>0</v>
      </c>
      <c r="Q314" s="1" t="s">
        <v>48</v>
      </c>
      <c r="R314" s="1" t="s">
        <v>48</v>
      </c>
      <c r="S314" s="1">
        <v>0</v>
      </c>
      <c r="T314" s="1">
        <v>0</v>
      </c>
      <c r="U314" s="1">
        <v>0</v>
      </c>
    </row>
    <row r="315" spans="1:21" s="1" customFormat="1">
      <c r="A315" s="4">
        <v>45755</v>
      </c>
      <c r="B315" s="1" t="s">
        <v>48</v>
      </c>
      <c r="C315" s="1">
        <v>0</v>
      </c>
      <c r="D315" s="1">
        <v>0</v>
      </c>
      <c r="E315" s="1">
        <v>0</v>
      </c>
      <c r="F315" s="1" t="s">
        <v>48</v>
      </c>
      <c r="G315" s="1">
        <v>0</v>
      </c>
      <c r="H315" s="1">
        <v>0</v>
      </c>
      <c r="I315" s="1">
        <v>0</v>
      </c>
      <c r="J315" s="1" t="s">
        <v>48</v>
      </c>
      <c r="K315" s="1">
        <v>0</v>
      </c>
      <c r="L315" s="1">
        <v>0</v>
      </c>
      <c r="M315" s="1">
        <v>0</v>
      </c>
      <c r="N315" s="1" t="s">
        <v>48</v>
      </c>
      <c r="O315" s="1">
        <v>0</v>
      </c>
      <c r="P315" s="1">
        <v>0</v>
      </c>
      <c r="Q315" s="1">
        <v>0</v>
      </c>
      <c r="R315" s="1" t="s">
        <v>67</v>
      </c>
      <c r="S315" s="1">
        <v>0</v>
      </c>
      <c r="T315" s="1">
        <v>0</v>
      </c>
      <c r="U315" s="1">
        <v>0</v>
      </c>
    </row>
    <row r="316" spans="1:21" s="1" customFormat="1">
      <c r="A316" s="4">
        <v>45756</v>
      </c>
      <c r="B316" s="1" t="s">
        <v>48</v>
      </c>
      <c r="C316" s="1">
        <v>0</v>
      </c>
      <c r="D316" s="1">
        <v>0</v>
      </c>
      <c r="E316" s="1">
        <v>0</v>
      </c>
      <c r="F316" s="1" t="s">
        <v>48</v>
      </c>
      <c r="G316" s="1">
        <v>0</v>
      </c>
      <c r="H316" s="1">
        <v>0</v>
      </c>
      <c r="I316" s="1">
        <v>0</v>
      </c>
      <c r="J316" s="1" t="s">
        <v>48</v>
      </c>
      <c r="K316" s="1">
        <v>0</v>
      </c>
      <c r="L316" s="1">
        <v>0</v>
      </c>
      <c r="M316" s="1">
        <v>0</v>
      </c>
      <c r="N316" s="1" t="s">
        <v>53</v>
      </c>
      <c r="O316" s="1">
        <v>0</v>
      </c>
      <c r="P316" s="1">
        <v>0</v>
      </c>
      <c r="Q316" s="1">
        <v>0</v>
      </c>
      <c r="R316" s="1" t="s">
        <v>48</v>
      </c>
      <c r="S316" s="1" t="s">
        <v>48</v>
      </c>
      <c r="T316" s="1" t="s">
        <v>48</v>
      </c>
      <c r="U316" s="1" t="s">
        <v>48</v>
      </c>
    </row>
    <row r="317" spans="1:21" s="1" customFormat="1">
      <c r="A317" s="4">
        <v>45758</v>
      </c>
      <c r="B317" s="1" t="s">
        <v>48</v>
      </c>
      <c r="C317" s="1">
        <v>0</v>
      </c>
      <c r="D317" s="1">
        <v>0</v>
      </c>
      <c r="E317" s="1">
        <v>0</v>
      </c>
      <c r="F317" s="1" t="s">
        <v>48</v>
      </c>
      <c r="G317" s="1">
        <v>0</v>
      </c>
      <c r="H317" s="1">
        <v>0</v>
      </c>
      <c r="I317" s="1">
        <v>0</v>
      </c>
      <c r="J317" s="1" t="s">
        <v>48</v>
      </c>
      <c r="K317" s="1">
        <v>0</v>
      </c>
      <c r="L317" s="1">
        <v>0</v>
      </c>
      <c r="M317" s="1">
        <v>0</v>
      </c>
      <c r="N317" s="1" t="s">
        <v>48</v>
      </c>
      <c r="O317" s="1" t="s">
        <v>48</v>
      </c>
      <c r="P317" s="1" t="s">
        <v>48</v>
      </c>
      <c r="Q317" s="1">
        <v>0</v>
      </c>
      <c r="R317" s="1" t="s">
        <v>48</v>
      </c>
      <c r="S317" s="1">
        <v>0</v>
      </c>
      <c r="T317" s="1">
        <v>0</v>
      </c>
      <c r="U317" s="1">
        <v>0</v>
      </c>
    </row>
    <row r="318" spans="1:21" s="1" customFormat="1">
      <c r="A318" s="4">
        <v>45762</v>
      </c>
      <c r="B318" s="1" t="s">
        <v>48</v>
      </c>
      <c r="C318" s="1">
        <v>0</v>
      </c>
      <c r="D318" s="1">
        <v>0</v>
      </c>
      <c r="E318" s="1">
        <v>0</v>
      </c>
      <c r="F318" s="1" t="s">
        <v>48</v>
      </c>
      <c r="G318" s="1">
        <v>0</v>
      </c>
      <c r="H318" s="1">
        <v>0</v>
      </c>
      <c r="I318" s="1">
        <v>0</v>
      </c>
      <c r="J318" s="1" t="s">
        <v>48</v>
      </c>
      <c r="K318" s="1">
        <v>0</v>
      </c>
      <c r="L318" s="1">
        <v>0</v>
      </c>
      <c r="M318" s="1">
        <v>0</v>
      </c>
      <c r="N318" s="1" t="s">
        <v>48</v>
      </c>
      <c r="O318" s="1">
        <v>0</v>
      </c>
      <c r="P318" s="1">
        <v>0</v>
      </c>
      <c r="Q318" s="1" t="s">
        <v>48</v>
      </c>
      <c r="R318" s="1" t="s">
        <v>48</v>
      </c>
      <c r="S318" s="1">
        <v>0</v>
      </c>
      <c r="T318" s="1">
        <v>0</v>
      </c>
      <c r="U318" s="1">
        <v>0</v>
      </c>
    </row>
    <row r="319" spans="1:21" s="1" customFormat="1">
      <c r="A319" s="4">
        <v>45763</v>
      </c>
      <c r="B319" s="1" t="s">
        <v>48</v>
      </c>
      <c r="C319" s="1">
        <v>0</v>
      </c>
      <c r="D319" s="1">
        <v>0</v>
      </c>
      <c r="E319" s="1">
        <v>0</v>
      </c>
      <c r="F319" s="1" t="s">
        <v>48</v>
      </c>
      <c r="G319" s="1">
        <v>0</v>
      </c>
      <c r="H319" s="1">
        <v>0</v>
      </c>
      <c r="I319" s="1">
        <v>0</v>
      </c>
      <c r="J319" s="1" t="s">
        <v>48</v>
      </c>
      <c r="K319" s="1">
        <v>0</v>
      </c>
      <c r="L319" s="1">
        <v>0</v>
      </c>
      <c r="M319" s="1">
        <v>0</v>
      </c>
      <c r="N319" s="1" t="s">
        <v>48</v>
      </c>
      <c r="O319" s="1">
        <v>0</v>
      </c>
      <c r="P319" s="1">
        <v>0</v>
      </c>
      <c r="Q319" s="1">
        <v>0</v>
      </c>
      <c r="R319" s="1" t="s">
        <v>48</v>
      </c>
      <c r="S319" s="1" t="s">
        <v>48</v>
      </c>
      <c r="T319" s="1" t="s">
        <v>48</v>
      </c>
      <c r="U319" s="1">
        <v>0</v>
      </c>
    </row>
    <row r="320" spans="1:21" s="1" customFormat="1">
      <c r="A320" s="4">
        <v>45764</v>
      </c>
      <c r="B320" s="1" t="s">
        <v>48</v>
      </c>
      <c r="C320" s="1" t="s">
        <v>48</v>
      </c>
      <c r="D320" s="1">
        <v>0</v>
      </c>
      <c r="E320" s="1">
        <v>0</v>
      </c>
      <c r="F320" s="1" t="s">
        <v>48</v>
      </c>
      <c r="G320" s="1" t="s">
        <v>48</v>
      </c>
      <c r="H320" s="1">
        <v>0</v>
      </c>
      <c r="I320" s="1">
        <v>0</v>
      </c>
      <c r="J320" s="1" t="s">
        <v>48</v>
      </c>
      <c r="K320" s="1" t="s">
        <v>48</v>
      </c>
      <c r="L320" s="1">
        <v>0</v>
      </c>
      <c r="M320" s="1">
        <v>0</v>
      </c>
      <c r="N320" s="1" t="s">
        <v>48</v>
      </c>
      <c r="O320" s="1">
        <v>0</v>
      </c>
      <c r="P320" s="1">
        <v>0</v>
      </c>
      <c r="Q320" s="1">
        <v>0</v>
      </c>
      <c r="R320" s="1" t="s">
        <v>48</v>
      </c>
      <c r="S320" s="1">
        <v>0</v>
      </c>
      <c r="T320" s="1">
        <v>0</v>
      </c>
      <c r="U320" s="1" t="s">
        <v>48</v>
      </c>
    </row>
    <row r="321" spans="1:21" s="1" customFormat="1">
      <c r="A321" s="4">
        <v>45768</v>
      </c>
      <c r="B321" s="1" t="s">
        <v>48</v>
      </c>
      <c r="C321" s="1">
        <v>0</v>
      </c>
      <c r="D321" s="1" t="s">
        <v>48</v>
      </c>
      <c r="E321" s="1">
        <v>0</v>
      </c>
      <c r="F321" s="1" t="s">
        <v>48</v>
      </c>
      <c r="G321" s="1">
        <v>0</v>
      </c>
      <c r="H321" s="1" t="s">
        <v>48</v>
      </c>
      <c r="I321" s="1">
        <v>0</v>
      </c>
      <c r="J321" s="1" t="s">
        <v>48</v>
      </c>
      <c r="K321" s="1">
        <v>0</v>
      </c>
      <c r="L321" s="1" t="s">
        <v>48</v>
      </c>
      <c r="M321" s="1">
        <v>0</v>
      </c>
      <c r="N321" s="1" t="s">
        <v>48</v>
      </c>
      <c r="O321" s="1" t="s">
        <v>48</v>
      </c>
      <c r="P321" s="1" t="s">
        <v>48</v>
      </c>
      <c r="Q321" s="1">
        <v>0</v>
      </c>
      <c r="R321" s="1" t="s">
        <v>48</v>
      </c>
      <c r="S321" s="1">
        <v>0</v>
      </c>
      <c r="T321" s="1">
        <v>0</v>
      </c>
      <c r="U321" s="1">
        <v>0</v>
      </c>
    </row>
    <row r="322" spans="1:21" s="1" customFormat="1">
      <c r="A322" s="4">
        <v>45769</v>
      </c>
      <c r="B322" s="1" t="s">
        <v>48</v>
      </c>
      <c r="C322" s="1">
        <v>0</v>
      </c>
      <c r="D322" s="1">
        <v>0</v>
      </c>
      <c r="E322" s="1" t="s">
        <v>48</v>
      </c>
      <c r="F322" s="1" t="s">
        <v>48</v>
      </c>
      <c r="G322" s="1">
        <v>0</v>
      </c>
      <c r="H322" s="1">
        <v>0</v>
      </c>
      <c r="I322" s="1" t="s">
        <v>48</v>
      </c>
      <c r="J322" s="1" t="s">
        <v>48</v>
      </c>
      <c r="K322" s="1">
        <v>0</v>
      </c>
      <c r="L322" s="1">
        <v>0</v>
      </c>
      <c r="M322" s="1" t="s">
        <v>48</v>
      </c>
      <c r="N322" s="1" t="s">
        <v>48</v>
      </c>
      <c r="O322" s="1">
        <v>0</v>
      </c>
      <c r="P322" s="1">
        <v>0</v>
      </c>
      <c r="Q322" s="1" t="s">
        <v>48</v>
      </c>
      <c r="R322" s="1" t="s">
        <v>48</v>
      </c>
      <c r="S322" s="1">
        <v>0</v>
      </c>
      <c r="T322" s="1">
        <v>0</v>
      </c>
      <c r="U322" s="1">
        <v>0</v>
      </c>
    </row>
    <row r="323" spans="1:21" s="1" customFormat="1">
      <c r="A323" s="4">
        <v>45770</v>
      </c>
      <c r="B323" s="1" t="s">
        <v>48</v>
      </c>
      <c r="C323" s="1">
        <v>0</v>
      </c>
      <c r="D323" s="1">
        <v>0</v>
      </c>
      <c r="E323" s="1">
        <v>0</v>
      </c>
      <c r="F323" s="1" t="s">
        <v>48</v>
      </c>
      <c r="G323" s="1">
        <v>0</v>
      </c>
      <c r="H323" s="1">
        <v>0</v>
      </c>
      <c r="I323" s="1">
        <v>0</v>
      </c>
      <c r="J323" s="1" t="s">
        <v>48</v>
      </c>
      <c r="K323" s="1">
        <v>0</v>
      </c>
      <c r="L323" s="1">
        <v>0</v>
      </c>
      <c r="M323" s="1">
        <v>0</v>
      </c>
      <c r="N323" s="1" t="s">
        <v>48</v>
      </c>
      <c r="O323" s="1">
        <v>0</v>
      </c>
      <c r="P323" s="1">
        <v>0</v>
      </c>
      <c r="Q323" s="1">
        <v>0</v>
      </c>
      <c r="R323" s="1" t="s">
        <v>48</v>
      </c>
      <c r="S323" s="1" t="s">
        <v>48</v>
      </c>
      <c r="T323" s="1">
        <v>0</v>
      </c>
      <c r="U323" s="1">
        <v>0</v>
      </c>
    </row>
    <row r="324" spans="1:21" s="1" customFormat="1">
      <c r="A324" s="4">
        <v>45771</v>
      </c>
      <c r="B324" s="1" t="s">
        <v>48</v>
      </c>
      <c r="C324" s="1">
        <v>0</v>
      </c>
      <c r="D324" s="1">
        <v>0</v>
      </c>
      <c r="E324" s="1">
        <v>0</v>
      </c>
      <c r="F324" s="1" t="s">
        <v>48</v>
      </c>
      <c r="G324" s="1">
        <v>0</v>
      </c>
      <c r="H324" s="1">
        <v>0</v>
      </c>
      <c r="I324" s="1">
        <v>0</v>
      </c>
      <c r="J324" s="1" t="s">
        <v>48</v>
      </c>
      <c r="K324" s="1">
        <v>0</v>
      </c>
      <c r="L324" s="1">
        <v>0</v>
      </c>
      <c r="M324" s="1">
        <v>0</v>
      </c>
      <c r="N324" s="1" t="s">
        <v>48</v>
      </c>
      <c r="O324" s="1">
        <v>0</v>
      </c>
      <c r="P324" s="1">
        <v>0</v>
      </c>
      <c r="Q324" s="1">
        <v>0</v>
      </c>
      <c r="R324" s="1" t="s">
        <v>48</v>
      </c>
      <c r="S324" s="1">
        <v>0</v>
      </c>
      <c r="T324" s="1" t="s">
        <v>48</v>
      </c>
      <c r="U324" s="1">
        <v>0</v>
      </c>
    </row>
    <row r="325" spans="1:21" s="1" customFormat="1">
      <c r="A325" s="4">
        <v>45772</v>
      </c>
      <c r="B325" s="1" t="s">
        <v>48</v>
      </c>
      <c r="C325" s="1">
        <v>0</v>
      </c>
      <c r="D325" s="1">
        <v>0</v>
      </c>
      <c r="E325" s="1">
        <v>0</v>
      </c>
      <c r="F325" s="1" t="s">
        <v>48</v>
      </c>
      <c r="G325" s="1">
        <v>0</v>
      </c>
      <c r="H325" s="1">
        <v>0</v>
      </c>
      <c r="I325" s="1">
        <v>0</v>
      </c>
      <c r="J325" s="1" t="s">
        <v>48</v>
      </c>
      <c r="K325" s="1">
        <v>0</v>
      </c>
      <c r="L325" s="1">
        <v>0</v>
      </c>
      <c r="M325" s="1">
        <v>0</v>
      </c>
      <c r="N325" s="1" t="s">
        <v>48</v>
      </c>
      <c r="O325" s="1" t="s">
        <v>48</v>
      </c>
      <c r="P325" s="1" t="s">
        <v>48</v>
      </c>
      <c r="Q325" s="1">
        <v>0</v>
      </c>
      <c r="R325" s="1" t="s">
        <v>48</v>
      </c>
      <c r="S325" s="1">
        <v>0</v>
      </c>
      <c r="T325" s="1">
        <v>0</v>
      </c>
      <c r="U325" s="1" t="s">
        <v>48</v>
      </c>
    </row>
    <row r="326" spans="1:21" s="1" customFormat="1">
      <c r="A326" s="4">
        <v>45775</v>
      </c>
      <c r="B326" s="1" t="s">
        <v>48</v>
      </c>
      <c r="C326" s="1">
        <v>0</v>
      </c>
      <c r="D326" s="1">
        <v>0</v>
      </c>
      <c r="E326" s="1">
        <v>0</v>
      </c>
      <c r="F326" s="1" t="s">
        <v>48</v>
      </c>
      <c r="G326" s="1">
        <v>0</v>
      </c>
      <c r="H326" s="1">
        <v>0</v>
      </c>
      <c r="I326" s="1">
        <v>0</v>
      </c>
      <c r="J326" s="1" t="s">
        <v>48</v>
      </c>
      <c r="K326" s="1">
        <v>0</v>
      </c>
      <c r="L326" s="1">
        <v>0</v>
      </c>
      <c r="M326" s="1">
        <v>0</v>
      </c>
      <c r="N326" s="1" t="s">
        <v>48</v>
      </c>
      <c r="O326" s="1">
        <v>0</v>
      </c>
      <c r="P326" s="1">
        <v>0</v>
      </c>
      <c r="Q326" s="1" t="s">
        <v>48</v>
      </c>
      <c r="R326" s="1" t="s">
        <v>48</v>
      </c>
      <c r="S326" s="1">
        <v>0</v>
      </c>
      <c r="T326" s="1">
        <v>0</v>
      </c>
      <c r="U326" s="1">
        <v>0</v>
      </c>
    </row>
    <row r="327" spans="1:21" s="1" customFormat="1">
      <c r="A327" s="4">
        <v>45776</v>
      </c>
      <c r="B327" s="1" t="s">
        <v>48</v>
      </c>
      <c r="C327" s="1">
        <v>0</v>
      </c>
      <c r="D327" s="1">
        <v>0</v>
      </c>
      <c r="E327" s="1">
        <v>0</v>
      </c>
      <c r="F327" s="1" t="s">
        <v>48</v>
      </c>
      <c r="G327" s="1">
        <v>0</v>
      </c>
      <c r="H327" s="1">
        <v>0</v>
      </c>
      <c r="I327" s="1">
        <v>0</v>
      </c>
      <c r="J327" s="1" t="s">
        <v>48</v>
      </c>
      <c r="K327" s="1">
        <v>0</v>
      </c>
      <c r="L327" s="1">
        <v>0</v>
      </c>
      <c r="M327" s="1">
        <v>0</v>
      </c>
      <c r="N327" s="1" t="s">
        <v>48</v>
      </c>
      <c r="O327" s="1">
        <v>0</v>
      </c>
      <c r="P327" s="1">
        <v>0</v>
      </c>
      <c r="Q327" s="1">
        <v>0</v>
      </c>
      <c r="R327" s="1" t="s">
        <v>48</v>
      </c>
      <c r="S327" s="1">
        <v>0</v>
      </c>
      <c r="T327" s="1">
        <v>0</v>
      </c>
      <c r="U327" s="1">
        <v>0</v>
      </c>
    </row>
    <row r="328" spans="1:21" s="1" customFormat="1">
      <c r="A328" s="4">
        <v>45777</v>
      </c>
      <c r="B328" s="1" t="s">
        <v>48</v>
      </c>
      <c r="C328" s="1">
        <v>0</v>
      </c>
      <c r="D328" s="1">
        <v>0</v>
      </c>
      <c r="E328" s="1">
        <v>0</v>
      </c>
      <c r="F328" s="1" t="s">
        <v>48</v>
      </c>
      <c r="G328" s="1">
        <v>0</v>
      </c>
      <c r="H328" s="1">
        <v>0</v>
      </c>
      <c r="I328" s="1">
        <v>0</v>
      </c>
      <c r="J328" s="1" t="s">
        <v>48</v>
      </c>
      <c r="K328" s="1">
        <v>0</v>
      </c>
      <c r="L328" s="1">
        <v>0</v>
      </c>
      <c r="M328" s="1">
        <v>0</v>
      </c>
      <c r="N328" s="1" t="s">
        <v>48</v>
      </c>
      <c r="O328" s="1">
        <v>0</v>
      </c>
      <c r="P328" s="1">
        <v>0</v>
      </c>
      <c r="Q328" s="1">
        <v>0</v>
      </c>
      <c r="R328" s="1" t="s">
        <v>48</v>
      </c>
      <c r="S328" s="1" t="s">
        <v>48</v>
      </c>
      <c r="T328" s="1" t="s">
        <v>48</v>
      </c>
      <c r="U328" s="1">
        <v>0</v>
      </c>
    </row>
    <row r="329" spans="1:21" s="1" customFormat="1">
      <c r="A329" s="4">
        <v>45779</v>
      </c>
      <c r="B329" s="1" t="s">
        <v>48</v>
      </c>
      <c r="C329" s="1">
        <v>0</v>
      </c>
      <c r="D329" s="1">
        <v>0</v>
      </c>
      <c r="E329" s="1">
        <v>0</v>
      </c>
      <c r="F329" s="1" t="s">
        <v>48</v>
      </c>
      <c r="G329" s="1">
        <v>0</v>
      </c>
      <c r="H329" s="1">
        <v>0</v>
      </c>
      <c r="I329" s="1">
        <v>0</v>
      </c>
      <c r="J329" s="1" t="s">
        <v>48</v>
      </c>
      <c r="K329" s="1">
        <v>0</v>
      </c>
      <c r="L329" s="1">
        <v>0</v>
      </c>
      <c r="M329" s="1">
        <v>0</v>
      </c>
      <c r="N329" s="1" t="s">
        <v>48</v>
      </c>
      <c r="O329" s="1" t="s">
        <v>48</v>
      </c>
      <c r="P329" s="1">
        <v>0</v>
      </c>
      <c r="Q329" s="1">
        <v>0</v>
      </c>
      <c r="R329" s="1" t="s">
        <v>48</v>
      </c>
      <c r="S329" s="1">
        <v>0</v>
      </c>
      <c r="T329" s="1">
        <v>0</v>
      </c>
      <c r="U329" s="1" t="s">
        <v>48</v>
      </c>
    </row>
    <row r="330" spans="1:21" s="1" customFormat="1">
      <c r="A330" s="4">
        <v>45782</v>
      </c>
      <c r="B330" s="1" t="s">
        <v>48</v>
      </c>
      <c r="C330" s="1">
        <v>0</v>
      </c>
      <c r="D330" s="1">
        <v>0</v>
      </c>
      <c r="E330" s="1">
        <v>0</v>
      </c>
      <c r="F330" s="1" t="s">
        <v>48</v>
      </c>
      <c r="G330" s="1">
        <v>0</v>
      </c>
      <c r="H330" s="1">
        <v>0</v>
      </c>
      <c r="I330" s="1">
        <v>0</v>
      </c>
      <c r="J330" s="1" t="s">
        <v>48</v>
      </c>
      <c r="K330" s="1">
        <v>0</v>
      </c>
      <c r="L330" s="1">
        <v>0</v>
      </c>
      <c r="M330" s="1">
        <v>0</v>
      </c>
      <c r="N330" s="1" t="s">
        <v>48</v>
      </c>
      <c r="O330" s="1">
        <v>0</v>
      </c>
      <c r="P330" s="1" t="s">
        <v>48</v>
      </c>
      <c r="Q330" s="1">
        <v>0</v>
      </c>
      <c r="R330" s="1" t="s">
        <v>48</v>
      </c>
      <c r="S330" s="1">
        <v>0</v>
      </c>
      <c r="T330" s="1">
        <v>0</v>
      </c>
      <c r="U330" s="1">
        <v>0</v>
      </c>
    </row>
    <row r="331" spans="1:21" s="1" customFormat="1">
      <c r="A331" s="4">
        <v>45783</v>
      </c>
      <c r="B331" s="1" t="s">
        <v>48</v>
      </c>
      <c r="C331" s="1">
        <v>0</v>
      </c>
      <c r="D331" s="1">
        <v>0</v>
      </c>
      <c r="E331" s="1">
        <v>0</v>
      </c>
      <c r="F331" s="1" t="s">
        <v>48</v>
      </c>
      <c r="G331" s="1">
        <v>0</v>
      </c>
      <c r="H331" s="1">
        <v>0</v>
      </c>
      <c r="I331" s="1">
        <v>0</v>
      </c>
      <c r="J331" s="1" t="s">
        <v>48</v>
      </c>
      <c r="K331" s="1">
        <v>0</v>
      </c>
      <c r="L331" s="1">
        <v>0</v>
      </c>
      <c r="M331" s="1">
        <v>0</v>
      </c>
      <c r="N331" s="1" t="s">
        <v>48</v>
      </c>
      <c r="O331" s="1">
        <v>0</v>
      </c>
      <c r="P331" s="1">
        <v>0</v>
      </c>
      <c r="Q331" s="1" t="s">
        <v>48</v>
      </c>
      <c r="R331" s="1" t="s">
        <v>68</v>
      </c>
      <c r="S331" s="1">
        <v>0</v>
      </c>
      <c r="T331" s="1">
        <v>0</v>
      </c>
      <c r="U331" s="1">
        <v>0</v>
      </c>
    </row>
    <row r="332" spans="1:21" s="1" customFormat="1">
      <c r="A332" s="4">
        <v>45784</v>
      </c>
      <c r="B332" s="1" t="s">
        <v>48</v>
      </c>
      <c r="C332" s="1">
        <v>0</v>
      </c>
      <c r="D332" s="1">
        <v>0</v>
      </c>
      <c r="E332" s="1">
        <v>0</v>
      </c>
      <c r="F332" s="1" t="s">
        <v>48</v>
      </c>
      <c r="G332" s="1">
        <v>0</v>
      </c>
      <c r="H332" s="1">
        <v>0</v>
      </c>
      <c r="I332" s="1">
        <v>0</v>
      </c>
      <c r="J332" s="1" t="s">
        <v>48</v>
      </c>
      <c r="K332" s="1">
        <v>0</v>
      </c>
      <c r="L332" s="1">
        <v>0</v>
      </c>
      <c r="M332" s="1">
        <v>0</v>
      </c>
      <c r="N332" s="1" t="s">
        <v>48</v>
      </c>
      <c r="O332" s="1">
        <v>0</v>
      </c>
      <c r="P332" s="1">
        <v>0</v>
      </c>
      <c r="Q332" s="1">
        <v>0</v>
      </c>
      <c r="R332" s="1" t="s">
        <v>48</v>
      </c>
      <c r="S332" s="1" t="s">
        <v>48</v>
      </c>
      <c r="T332" s="1">
        <v>0</v>
      </c>
      <c r="U332" s="1">
        <v>0</v>
      </c>
    </row>
    <row r="333" spans="1:21" s="1" customFormat="1">
      <c r="A333" s="4">
        <v>45785</v>
      </c>
      <c r="B333" s="1" t="s">
        <v>48</v>
      </c>
      <c r="C333" s="1">
        <v>0</v>
      </c>
      <c r="D333" s="1">
        <v>0</v>
      </c>
      <c r="E333" s="1">
        <v>0</v>
      </c>
      <c r="F333" s="1" t="s">
        <v>48</v>
      </c>
      <c r="G333" s="1">
        <v>0</v>
      </c>
      <c r="H333" s="1">
        <v>0</v>
      </c>
      <c r="I333" s="1">
        <v>0</v>
      </c>
      <c r="J333" s="1" t="s">
        <v>48</v>
      </c>
      <c r="K333" s="1">
        <v>0</v>
      </c>
      <c r="L333" s="1">
        <v>0</v>
      </c>
      <c r="M333" s="1">
        <v>0</v>
      </c>
      <c r="N333" s="1" t="s">
        <v>48</v>
      </c>
      <c r="O333" s="1">
        <v>0</v>
      </c>
      <c r="P333" s="1">
        <v>0</v>
      </c>
      <c r="Q333" s="1">
        <v>0</v>
      </c>
      <c r="R333" s="1" t="s">
        <v>48</v>
      </c>
      <c r="S333" s="1">
        <v>0</v>
      </c>
      <c r="T333" s="1" t="s">
        <v>48</v>
      </c>
      <c r="U333" s="1">
        <v>0</v>
      </c>
    </row>
    <row r="334" spans="1:21" s="1" customFormat="1">
      <c r="A334" s="4">
        <v>45786</v>
      </c>
      <c r="B334" s="1" t="s">
        <v>48</v>
      </c>
      <c r="C334" s="1">
        <v>0</v>
      </c>
      <c r="D334" s="1">
        <v>0</v>
      </c>
      <c r="E334" s="1">
        <v>0</v>
      </c>
      <c r="F334" s="1" t="s">
        <v>48</v>
      </c>
      <c r="G334" s="1">
        <v>0</v>
      </c>
      <c r="H334" s="1">
        <v>0</v>
      </c>
      <c r="I334" s="1">
        <v>0</v>
      </c>
      <c r="J334" s="1" t="s">
        <v>48</v>
      </c>
      <c r="K334" s="1">
        <v>0</v>
      </c>
      <c r="L334" s="1">
        <v>0</v>
      </c>
      <c r="M334" s="1">
        <v>0</v>
      </c>
      <c r="N334" s="1" t="s">
        <v>48</v>
      </c>
      <c r="O334" s="1" t="s">
        <v>48</v>
      </c>
      <c r="P334" s="1">
        <v>0</v>
      </c>
      <c r="Q334" s="1">
        <v>0</v>
      </c>
      <c r="R334" s="1" t="s">
        <v>48</v>
      </c>
      <c r="S334" s="1">
        <v>0</v>
      </c>
      <c r="T334" s="1">
        <v>0</v>
      </c>
      <c r="U334" s="1" t="s">
        <v>48</v>
      </c>
    </row>
    <row r="335" spans="1:21" s="1" customFormat="1">
      <c r="A335" s="4">
        <v>45789</v>
      </c>
      <c r="B335" s="1" t="s">
        <v>48</v>
      </c>
      <c r="C335" s="1">
        <v>0</v>
      </c>
      <c r="D335" s="1">
        <v>0</v>
      </c>
      <c r="E335" s="1">
        <v>0</v>
      </c>
      <c r="F335" s="1" t="s">
        <v>48</v>
      </c>
      <c r="G335" s="1">
        <v>0</v>
      </c>
      <c r="H335" s="1">
        <v>0</v>
      </c>
      <c r="I335" s="1">
        <v>0</v>
      </c>
      <c r="J335" s="1" t="s">
        <v>48</v>
      </c>
      <c r="K335" s="1">
        <v>0</v>
      </c>
      <c r="L335" s="1">
        <v>0</v>
      </c>
      <c r="M335" s="1">
        <v>0</v>
      </c>
      <c r="N335" s="1" t="s">
        <v>48</v>
      </c>
      <c r="O335" s="1">
        <v>0</v>
      </c>
      <c r="P335" s="1" t="s">
        <v>48</v>
      </c>
      <c r="Q335" s="1">
        <v>0</v>
      </c>
      <c r="R335" s="1" t="s">
        <v>48</v>
      </c>
      <c r="S335" s="1">
        <v>0</v>
      </c>
      <c r="T335" s="1">
        <v>0</v>
      </c>
      <c r="U335" s="1">
        <v>0</v>
      </c>
    </row>
    <row r="336" spans="1:21" s="1" customFormat="1">
      <c r="A336" s="4">
        <v>45790</v>
      </c>
      <c r="B336" s="1" t="s">
        <v>48</v>
      </c>
      <c r="C336" s="1">
        <v>0</v>
      </c>
      <c r="D336" s="1">
        <v>0</v>
      </c>
      <c r="E336" s="1">
        <v>0</v>
      </c>
      <c r="F336" s="1" t="s">
        <v>48</v>
      </c>
      <c r="G336" s="1">
        <v>0</v>
      </c>
      <c r="H336" s="1">
        <v>0</v>
      </c>
      <c r="I336" s="1">
        <v>0</v>
      </c>
      <c r="J336" s="1" t="s">
        <v>48</v>
      </c>
      <c r="K336" s="1">
        <v>0</v>
      </c>
      <c r="L336" s="1">
        <v>0</v>
      </c>
      <c r="M336" s="1">
        <v>0</v>
      </c>
      <c r="N336" s="1" t="s">
        <v>48</v>
      </c>
      <c r="O336" s="1">
        <v>0</v>
      </c>
      <c r="P336" s="1">
        <v>0</v>
      </c>
      <c r="Q336" s="1" t="s">
        <v>48</v>
      </c>
      <c r="R336" s="1" t="s">
        <v>69</v>
      </c>
      <c r="S336" s="1">
        <v>0</v>
      </c>
      <c r="T336" s="1">
        <v>0</v>
      </c>
      <c r="U336" s="1">
        <v>0</v>
      </c>
    </row>
    <row r="337" spans="1:21" s="1" customFormat="1">
      <c r="A337" s="4">
        <v>45791</v>
      </c>
      <c r="B337" s="1" t="s">
        <v>48</v>
      </c>
      <c r="C337" s="1">
        <v>0</v>
      </c>
      <c r="D337" s="1">
        <v>0</v>
      </c>
      <c r="E337" s="1">
        <v>0</v>
      </c>
      <c r="F337" s="1" t="s">
        <v>48</v>
      </c>
      <c r="G337" s="1">
        <v>0</v>
      </c>
      <c r="H337" s="1">
        <v>0</v>
      </c>
      <c r="I337" s="1">
        <v>0</v>
      </c>
      <c r="J337" s="1" t="s">
        <v>48</v>
      </c>
      <c r="K337" s="1">
        <v>0</v>
      </c>
      <c r="L337" s="1">
        <v>0</v>
      </c>
      <c r="M337" s="1">
        <v>0</v>
      </c>
      <c r="N337" s="1" t="s">
        <v>48</v>
      </c>
      <c r="O337" s="1">
        <v>0</v>
      </c>
      <c r="P337" s="1">
        <v>0</v>
      </c>
      <c r="Q337" s="1">
        <v>0</v>
      </c>
      <c r="R337" s="1" t="s">
        <v>48</v>
      </c>
      <c r="S337" s="1" t="s">
        <v>48</v>
      </c>
      <c r="T337" s="1">
        <v>0</v>
      </c>
      <c r="U337" s="1">
        <v>0</v>
      </c>
    </row>
    <row r="338" spans="1:21" s="1" customFormat="1">
      <c r="A338" s="4">
        <v>45792</v>
      </c>
      <c r="B338" s="1" t="s">
        <v>48</v>
      </c>
      <c r="C338" s="1">
        <v>0</v>
      </c>
      <c r="D338" s="1">
        <v>0</v>
      </c>
      <c r="E338" s="1">
        <v>0</v>
      </c>
      <c r="F338" s="1" t="s">
        <v>48</v>
      </c>
      <c r="G338" s="1">
        <v>0</v>
      </c>
      <c r="H338" s="1">
        <v>0</v>
      </c>
      <c r="I338" s="1">
        <v>0</v>
      </c>
      <c r="J338" s="1" t="s">
        <v>48</v>
      </c>
      <c r="K338" s="1">
        <v>0</v>
      </c>
      <c r="L338" s="1">
        <v>0</v>
      </c>
      <c r="M338" s="1">
        <v>0</v>
      </c>
      <c r="N338" s="1" t="s">
        <v>48</v>
      </c>
      <c r="O338" s="1">
        <v>0</v>
      </c>
      <c r="P338" s="1">
        <v>0</v>
      </c>
      <c r="Q338" s="1">
        <v>0</v>
      </c>
      <c r="R338" s="1" t="s">
        <v>48</v>
      </c>
      <c r="S338" s="1">
        <v>0</v>
      </c>
      <c r="T338" s="1" t="s">
        <v>48</v>
      </c>
      <c r="U338" s="1">
        <v>0</v>
      </c>
    </row>
    <row r="339" spans="1:21" s="1" customFormat="1">
      <c r="A339" s="4">
        <v>45793</v>
      </c>
      <c r="B339" s="1" t="s">
        <v>48</v>
      </c>
      <c r="C339" s="1">
        <v>0</v>
      </c>
      <c r="D339" s="1">
        <v>0</v>
      </c>
      <c r="E339" s="1">
        <v>0</v>
      </c>
      <c r="F339" s="1" t="s">
        <v>48</v>
      </c>
      <c r="G339" s="1">
        <v>0</v>
      </c>
      <c r="H339" s="1">
        <v>0</v>
      </c>
      <c r="I339" s="1">
        <v>0</v>
      </c>
      <c r="J339" s="1" t="s">
        <v>48</v>
      </c>
      <c r="K339" s="1">
        <v>0</v>
      </c>
      <c r="L339" s="1">
        <v>0</v>
      </c>
      <c r="M339" s="1">
        <v>0</v>
      </c>
      <c r="N339" s="1" t="s">
        <v>48</v>
      </c>
      <c r="O339" s="1" t="s">
        <v>48</v>
      </c>
      <c r="P339" s="1">
        <v>0</v>
      </c>
      <c r="Q339" s="1">
        <v>0</v>
      </c>
      <c r="R339" s="1" t="s">
        <v>48</v>
      </c>
      <c r="S339" s="1">
        <v>0</v>
      </c>
      <c r="T339" s="1">
        <v>0</v>
      </c>
      <c r="U339" s="1" t="s">
        <v>48</v>
      </c>
    </row>
    <row r="340" spans="1:21" s="1" customFormat="1">
      <c r="A340" s="4">
        <v>45796</v>
      </c>
      <c r="B340" s="1" t="s">
        <v>48</v>
      </c>
      <c r="C340" s="1">
        <v>0</v>
      </c>
      <c r="D340" s="1">
        <v>0</v>
      </c>
      <c r="E340" s="1">
        <v>0</v>
      </c>
      <c r="F340" s="1" t="s">
        <v>48</v>
      </c>
      <c r="G340" s="1">
        <v>0</v>
      </c>
      <c r="H340" s="1">
        <v>0</v>
      </c>
      <c r="I340" s="1">
        <v>0</v>
      </c>
      <c r="J340" s="1" t="s">
        <v>48</v>
      </c>
      <c r="K340" s="1">
        <v>0</v>
      </c>
      <c r="L340" s="1">
        <v>0</v>
      </c>
      <c r="M340" s="1">
        <v>0</v>
      </c>
      <c r="N340" s="1" t="s">
        <v>48</v>
      </c>
      <c r="O340" s="1">
        <v>0</v>
      </c>
      <c r="P340" s="1" t="s">
        <v>48</v>
      </c>
      <c r="Q340" s="1">
        <v>0</v>
      </c>
      <c r="R340" s="1" t="s">
        <v>48</v>
      </c>
      <c r="S340" s="1">
        <v>0</v>
      </c>
      <c r="T340" s="1">
        <v>0</v>
      </c>
      <c r="U340" s="1">
        <v>0</v>
      </c>
    </row>
    <row r="341" spans="1:21" s="1" customFormat="1">
      <c r="A341" s="4">
        <v>45797</v>
      </c>
      <c r="B341" s="1" t="s">
        <v>48</v>
      </c>
      <c r="C341" s="1">
        <v>0</v>
      </c>
      <c r="D341" s="1">
        <v>0</v>
      </c>
      <c r="E341" s="1">
        <v>0</v>
      </c>
      <c r="F341" s="1" t="s">
        <v>48</v>
      </c>
      <c r="G341" s="1">
        <v>0</v>
      </c>
      <c r="H341" s="1">
        <v>0</v>
      </c>
      <c r="I341" s="1">
        <v>0</v>
      </c>
      <c r="J341" s="1" t="s">
        <v>48</v>
      </c>
      <c r="K341" s="1">
        <v>0</v>
      </c>
      <c r="L341" s="1">
        <v>0</v>
      </c>
      <c r="M341" s="1">
        <v>0</v>
      </c>
      <c r="N341" s="1" t="s">
        <v>48</v>
      </c>
      <c r="O341" s="1">
        <v>0</v>
      </c>
      <c r="P341" s="1">
        <v>0</v>
      </c>
      <c r="Q341" s="1" t="s">
        <v>48</v>
      </c>
      <c r="R341" s="1" t="s">
        <v>48</v>
      </c>
      <c r="S341" s="1">
        <v>0</v>
      </c>
      <c r="T341" s="1">
        <v>0</v>
      </c>
      <c r="U341" s="1">
        <v>0</v>
      </c>
    </row>
    <row r="342" spans="1:21" s="1" customFormat="1">
      <c r="A342" s="4">
        <v>45798</v>
      </c>
      <c r="B342" s="1" t="s">
        <v>48</v>
      </c>
      <c r="C342" s="1">
        <v>0</v>
      </c>
      <c r="D342" s="1">
        <v>0</v>
      </c>
      <c r="E342" s="1">
        <v>0</v>
      </c>
      <c r="F342" s="1" t="s">
        <v>48</v>
      </c>
      <c r="G342" s="1">
        <v>0</v>
      </c>
      <c r="H342" s="1">
        <v>0</v>
      </c>
      <c r="I342" s="1">
        <v>0</v>
      </c>
      <c r="J342" s="1" t="s">
        <v>48</v>
      </c>
      <c r="K342" s="1">
        <v>0</v>
      </c>
      <c r="L342" s="1">
        <v>0</v>
      </c>
      <c r="M342" s="1">
        <v>0</v>
      </c>
      <c r="N342" s="1" t="s">
        <v>48</v>
      </c>
      <c r="O342" s="1">
        <v>0</v>
      </c>
      <c r="P342" s="1">
        <v>0</v>
      </c>
      <c r="Q342" s="1">
        <v>0</v>
      </c>
      <c r="R342" s="1" t="s">
        <v>48</v>
      </c>
      <c r="S342" s="1" t="s">
        <v>48</v>
      </c>
      <c r="T342" s="1">
        <v>0</v>
      </c>
      <c r="U342" s="1">
        <v>0</v>
      </c>
    </row>
    <row r="343" spans="1:21" s="1" customFormat="1">
      <c r="A343" s="4">
        <v>45799</v>
      </c>
      <c r="B343" s="1" t="s">
        <v>48</v>
      </c>
      <c r="C343" s="1">
        <v>0</v>
      </c>
      <c r="D343" s="1">
        <v>0</v>
      </c>
      <c r="E343" s="1">
        <v>0</v>
      </c>
      <c r="F343" s="1" t="s">
        <v>48</v>
      </c>
      <c r="G343" s="1">
        <v>0</v>
      </c>
      <c r="H343" s="1">
        <v>0</v>
      </c>
      <c r="I343" s="1">
        <v>0</v>
      </c>
      <c r="J343" s="1" t="s">
        <v>48</v>
      </c>
      <c r="K343" s="1">
        <v>0</v>
      </c>
      <c r="L343" s="1">
        <v>0</v>
      </c>
      <c r="M343" s="1">
        <v>0</v>
      </c>
      <c r="N343" s="1" t="s">
        <v>48</v>
      </c>
      <c r="O343" s="1">
        <v>0</v>
      </c>
      <c r="P343" s="1">
        <v>0</v>
      </c>
      <c r="Q343" s="1">
        <v>0</v>
      </c>
      <c r="R343" s="1" t="s">
        <v>48</v>
      </c>
      <c r="S343" s="1">
        <v>0</v>
      </c>
      <c r="T343" s="1" t="s">
        <v>48</v>
      </c>
      <c r="U343" s="1">
        <v>0</v>
      </c>
    </row>
    <row r="344" spans="1:21" s="1" customFormat="1">
      <c r="A344" s="4">
        <v>45800</v>
      </c>
      <c r="B344" s="1" t="s">
        <v>48</v>
      </c>
      <c r="C344" s="1" t="s">
        <v>48</v>
      </c>
      <c r="D344" s="1">
        <v>0</v>
      </c>
      <c r="E344" s="1">
        <v>0</v>
      </c>
      <c r="F344" s="1" t="s">
        <v>48</v>
      </c>
      <c r="G344" s="1" t="s">
        <v>48</v>
      </c>
      <c r="H344" s="1">
        <v>0</v>
      </c>
      <c r="I344" s="1">
        <v>0</v>
      </c>
      <c r="J344" s="1" t="s">
        <v>48</v>
      </c>
      <c r="K344" s="1" t="s">
        <v>48</v>
      </c>
      <c r="L344" s="1">
        <v>0</v>
      </c>
      <c r="M344" s="1">
        <v>0</v>
      </c>
      <c r="N344" s="1" t="s">
        <v>48</v>
      </c>
      <c r="O344" s="1" t="s">
        <v>48</v>
      </c>
      <c r="P344" s="1">
        <v>0</v>
      </c>
      <c r="Q344" s="1">
        <v>0</v>
      </c>
      <c r="R344" s="1" t="s">
        <v>48</v>
      </c>
      <c r="S344" s="1">
        <v>0</v>
      </c>
      <c r="T344" s="1">
        <v>0</v>
      </c>
      <c r="U344" s="1" t="s">
        <v>48</v>
      </c>
    </row>
    <row r="345" spans="1:21" s="1" customFormat="1">
      <c r="A345" s="4">
        <v>45803</v>
      </c>
      <c r="B345" s="1" t="s">
        <v>48</v>
      </c>
      <c r="C345" s="1">
        <v>0</v>
      </c>
      <c r="D345" s="1" t="s">
        <v>48</v>
      </c>
      <c r="E345" s="1">
        <v>0</v>
      </c>
      <c r="F345" s="1" t="s">
        <v>48</v>
      </c>
      <c r="G345" s="1">
        <v>0</v>
      </c>
      <c r="H345" s="1" t="s">
        <v>48</v>
      </c>
      <c r="I345" s="1">
        <v>0</v>
      </c>
      <c r="J345" s="1" t="s">
        <v>48</v>
      </c>
      <c r="K345" s="1">
        <v>0</v>
      </c>
      <c r="L345" s="1" t="s">
        <v>48</v>
      </c>
      <c r="M345" s="1">
        <v>0</v>
      </c>
      <c r="N345" s="1" t="s">
        <v>48</v>
      </c>
      <c r="O345" s="1">
        <v>0</v>
      </c>
      <c r="P345" s="1" t="s">
        <v>48</v>
      </c>
      <c r="Q345" s="1">
        <v>0</v>
      </c>
      <c r="R345" s="1" t="s">
        <v>48</v>
      </c>
      <c r="S345" s="1">
        <v>0</v>
      </c>
      <c r="T345" s="1">
        <v>0</v>
      </c>
      <c r="U345" s="1">
        <v>0</v>
      </c>
    </row>
    <row r="346" spans="1:21" s="1" customFormat="1">
      <c r="A346" s="4">
        <v>45804</v>
      </c>
      <c r="B346" s="1" t="s">
        <v>48</v>
      </c>
      <c r="C346" s="1">
        <v>0</v>
      </c>
      <c r="D346" s="1">
        <v>0</v>
      </c>
      <c r="E346" s="1" t="s">
        <v>48</v>
      </c>
      <c r="F346" s="1" t="s">
        <v>48</v>
      </c>
      <c r="G346" s="1">
        <v>0</v>
      </c>
      <c r="H346" s="1">
        <v>0</v>
      </c>
      <c r="I346" s="1" t="s">
        <v>48</v>
      </c>
      <c r="J346" s="1" t="s">
        <v>48</v>
      </c>
      <c r="K346" s="1">
        <v>0</v>
      </c>
      <c r="L346" s="1">
        <v>0</v>
      </c>
      <c r="M346" s="1" t="s">
        <v>48</v>
      </c>
      <c r="N346" s="1" t="s">
        <v>48</v>
      </c>
      <c r="O346" s="1">
        <v>0</v>
      </c>
      <c r="P346" s="1">
        <v>0</v>
      </c>
      <c r="Q346" s="1" t="s">
        <v>48</v>
      </c>
      <c r="R346" s="1" t="s">
        <v>48</v>
      </c>
      <c r="S346" s="1">
        <v>0</v>
      </c>
      <c r="T346" s="1">
        <v>0</v>
      </c>
      <c r="U346" s="1">
        <v>0</v>
      </c>
    </row>
    <row r="347" spans="1:21" s="1" customFormat="1">
      <c r="A347" s="4">
        <v>45805</v>
      </c>
      <c r="B347" s="1" t="s">
        <v>48</v>
      </c>
      <c r="C347" s="1">
        <v>0</v>
      </c>
      <c r="D347" s="1">
        <v>0</v>
      </c>
      <c r="E347" s="1">
        <v>0</v>
      </c>
      <c r="F347" s="1" t="s">
        <v>48</v>
      </c>
      <c r="G347" s="1">
        <v>0</v>
      </c>
      <c r="H347" s="1">
        <v>0</v>
      </c>
      <c r="I347" s="1">
        <v>0</v>
      </c>
      <c r="J347" s="1" t="s">
        <v>48</v>
      </c>
      <c r="K347" s="1">
        <v>0</v>
      </c>
      <c r="L347" s="1">
        <v>0</v>
      </c>
      <c r="M347" s="1">
        <v>0</v>
      </c>
      <c r="N347" s="1" t="s">
        <v>48</v>
      </c>
      <c r="O347" s="1">
        <v>0</v>
      </c>
      <c r="P347" s="1">
        <v>0</v>
      </c>
      <c r="Q347" s="1">
        <v>0</v>
      </c>
      <c r="R347" s="1" t="s">
        <v>48</v>
      </c>
      <c r="S347" s="1" t="s">
        <v>48</v>
      </c>
      <c r="T347" s="1">
        <v>0</v>
      </c>
      <c r="U347" s="1">
        <v>0</v>
      </c>
    </row>
    <row r="348" spans="1:21" s="1" customFormat="1">
      <c r="A348" s="4">
        <v>45806</v>
      </c>
      <c r="B348" s="1" t="s">
        <v>48</v>
      </c>
      <c r="C348" s="1">
        <v>0</v>
      </c>
      <c r="D348" s="1">
        <v>0</v>
      </c>
      <c r="E348" s="1">
        <v>0</v>
      </c>
      <c r="F348" s="1" t="s">
        <v>48</v>
      </c>
      <c r="G348" s="1">
        <v>0</v>
      </c>
      <c r="H348" s="1">
        <v>0</v>
      </c>
      <c r="I348" s="1">
        <v>0</v>
      </c>
      <c r="J348" s="1" t="s">
        <v>48</v>
      </c>
      <c r="K348" s="1">
        <v>0</v>
      </c>
      <c r="L348" s="1">
        <v>0</v>
      </c>
      <c r="M348" s="1">
        <v>0</v>
      </c>
      <c r="N348" s="1" t="s">
        <v>54</v>
      </c>
      <c r="O348" s="1">
        <v>0</v>
      </c>
      <c r="P348" s="1">
        <v>0</v>
      </c>
      <c r="Q348" s="1">
        <v>0</v>
      </c>
      <c r="R348" s="1" t="s">
        <v>48</v>
      </c>
      <c r="S348" s="1">
        <v>0</v>
      </c>
      <c r="T348" s="1" t="s">
        <v>48</v>
      </c>
      <c r="U348" s="1">
        <v>0</v>
      </c>
    </row>
    <row r="349" spans="1:21" s="1" customFormat="1">
      <c r="A349" s="4">
        <v>45807</v>
      </c>
      <c r="B349" s="1" t="s">
        <v>48</v>
      </c>
      <c r="C349" s="1">
        <v>0</v>
      </c>
      <c r="D349" s="1">
        <v>0</v>
      </c>
      <c r="E349" s="1">
        <v>0</v>
      </c>
      <c r="F349" s="1" t="s">
        <v>48</v>
      </c>
      <c r="G349" s="1">
        <v>0</v>
      </c>
      <c r="H349" s="1">
        <v>0</v>
      </c>
      <c r="I349" s="1">
        <v>0</v>
      </c>
      <c r="J349" s="1" t="s">
        <v>48</v>
      </c>
      <c r="K349" s="1">
        <v>0</v>
      </c>
      <c r="L349" s="1">
        <v>0</v>
      </c>
      <c r="M349" s="1">
        <v>0</v>
      </c>
      <c r="N349" s="1" t="s">
        <v>48</v>
      </c>
      <c r="O349" s="1" t="s">
        <v>48</v>
      </c>
      <c r="P349" s="1">
        <v>0</v>
      </c>
      <c r="Q349" s="1">
        <v>0</v>
      </c>
      <c r="R349" s="1" t="s">
        <v>48</v>
      </c>
      <c r="S349" s="1">
        <v>0</v>
      </c>
      <c r="T349" s="1">
        <v>0</v>
      </c>
      <c r="U349" s="1" t="s">
        <v>48</v>
      </c>
    </row>
    <row r="350" spans="1:21" s="1" customFormat="1">
      <c r="A350" s="4">
        <v>45810</v>
      </c>
      <c r="B350" s="1" t="s">
        <v>48</v>
      </c>
      <c r="C350" s="1">
        <v>0</v>
      </c>
      <c r="D350" s="1">
        <v>0</v>
      </c>
      <c r="E350" s="1">
        <v>0</v>
      </c>
      <c r="F350" s="1" t="s">
        <v>48</v>
      </c>
      <c r="G350" s="1">
        <v>0</v>
      </c>
      <c r="H350" s="1">
        <v>0</v>
      </c>
      <c r="I350" s="1">
        <v>0</v>
      </c>
      <c r="J350" s="1" t="s">
        <v>48</v>
      </c>
      <c r="K350" s="1">
        <v>0</v>
      </c>
      <c r="L350" s="1">
        <v>0</v>
      </c>
      <c r="M350" s="1">
        <v>0</v>
      </c>
      <c r="N350" s="1" t="s">
        <v>48</v>
      </c>
      <c r="O350" s="1">
        <v>0</v>
      </c>
      <c r="P350" s="1" t="s">
        <v>48</v>
      </c>
      <c r="Q350" s="1">
        <v>0</v>
      </c>
      <c r="R350" s="1" t="s">
        <v>48</v>
      </c>
      <c r="S350" s="1">
        <v>0</v>
      </c>
      <c r="T350" s="1">
        <v>0</v>
      </c>
      <c r="U350" s="1">
        <v>0</v>
      </c>
    </row>
    <row r="351" spans="1:21" s="1" customFormat="1">
      <c r="A351" s="4">
        <v>45811</v>
      </c>
      <c r="B351" s="1" t="s">
        <v>48</v>
      </c>
      <c r="C351" s="1">
        <v>0</v>
      </c>
      <c r="D351" s="1">
        <v>0</v>
      </c>
      <c r="E351" s="1">
        <v>0</v>
      </c>
      <c r="F351" s="1" t="s">
        <v>48</v>
      </c>
      <c r="G351" s="1">
        <v>0</v>
      </c>
      <c r="H351" s="1">
        <v>0</v>
      </c>
      <c r="I351" s="1">
        <v>0</v>
      </c>
      <c r="J351" s="1" t="s">
        <v>48</v>
      </c>
      <c r="K351" s="1">
        <v>0</v>
      </c>
      <c r="L351" s="1">
        <v>0</v>
      </c>
      <c r="M351" s="1">
        <v>0</v>
      </c>
      <c r="N351" s="1" t="s">
        <v>48</v>
      </c>
      <c r="O351" s="1">
        <v>0</v>
      </c>
      <c r="P351" s="1">
        <v>0</v>
      </c>
      <c r="Q351" s="1" t="s">
        <v>48</v>
      </c>
      <c r="R351" s="1" t="s">
        <v>48</v>
      </c>
      <c r="S351" s="1">
        <v>0</v>
      </c>
      <c r="T351" s="1">
        <v>0</v>
      </c>
      <c r="U351" s="1">
        <v>0</v>
      </c>
    </row>
    <row r="352" spans="1:21" s="1" customFormat="1">
      <c r="A352" s="4">
        <v>45812</v>
      </c>
      <c r="B352" s="1" t="s">
        <v>48</v>
      </c>
      <c r="C352" s="1">
        <v>0</v>
      </c>
      <c r="D352" s="1">
        <v>0</v>
      </c>
      <c r="E352" s="1">
        <v>0</v>
      </c>
      <c r="F352" s="1" t="s">
        <v>48</v>
      </c>
      <c r="G352" s="1">
        <v>0</v>
      </c>
      <c r="H352" s="1">
        <v>0</v>
      </c>
      <c r="I352" s="1">
        <v>0</v>
      </c>
      <c r="J352" s="1" t="s">
        <v>48</v>
      </c>
      <c r="K352" s="1">
        <v>0</v>
      </c>
      <c r="L352" s="1">
        <v>0</v>
      </c>
      <c r="M352" s="1">
        <v>0</v>
      </c>
      <c r="N352" s="1" t="s">
        <v>48</v>
      </c>
      <c r="O352" s="1">
        <v>0</v>
      </c>
      <c r="P352" s="1">
        <v>0</v>
      </c>
      <c r="Q352" s="1">
        <v>0</v>
      </c>
      <c r="R352" s="1" t="s">
        <v>48</v>
      </c>
      <c r="S352" s="1" t="s">
        <v>48</v>
      </c>
      <c r="T352" s="1">
        <v>0</v>
      </c>
      <c r="U352" s="1">
        <v>0</v>
      </c>
    </row>
    <row r="353" spans="1:21" s="1" customFormat="1">
      <c r="A353" s="4">
        <v>45813</v>
      </c>
      <c r="B353" s="1" t="s">
        <v>48</v>
      </c>
      <c r="C353" s="1">
        <v>0</v>
      </c>
      <c r="D353" s="1">
        <v>0</v>
      </c>
      <c r="E353" s="1">
        <v>0</v>
      </c>
      <c r="F353" s="1" t="s">
        <v>48</v>
      </c>
      <c r="G353" s="1">
        <v>0</v>
      </c>
      <c r="H353" s="1">
        <v>0</v>
      </c>
      <c r="I353" s="1">
        <v>0</v>
      </c>
      <c r="J353" s="1" t="s">
        <v>48</v>
      </c>
      <c r="K353" s="1">
        <v>0</v>
      </c>
      <c r="L353" s="1">
        <v>0</v>
      </c>
      <c r="M353" s="1">
        <v>0</v>
      </c>
      <c r="N353" s="1" t="s">
        <v>55</v>
      </c>
      <c r="O353" s="1">
        <v>0</v>
      </c>
      <c r="P353" s="1">
        <v>0</v>
      </c>
      <c r="Q353" s="1">
        <v>0</v>
      </c>
      <c r="R353" s="1" t="s">
        <v>48</v>
      </c>
      <c r="S353" s="1">
        <v>0</v>
      </c>
      <c r="T353" s="1" t="s">
        <v>48</v>
      </c>
      <c r="U353" s="1">
        <v>0</v>
      </c>
    </row>
    <row r="354" spans="1:21" s="1" customFormat="1">
      <c r="A354" s="4">
        <v>45814</v>
      </c>
      <c r="B354" s="1" t="s">
        <v>48</v>
      </c>
      <c r="C354" s="1">
        <v>0</v>
      </c>
      <c r="D354" s="1">
        <v>0</v>
      </c>
      <c r="E354" s="1">
        <v>0</v>
      </c>
      <c r="F354" s="1" t="s">
        <v>48</v>
      </c>
      <c r="G354" s="1">
        <v>0</v>
      </c>
      <c r="H354" s="1">
        <v>0</v>
      </c>
      <c r="I354" s="1">
        <v>0</v>
      </c>
      <c r="J354" s="1" t="s">
        <v>48</v>
      </c>
      <c r="K354" s="1">
        <v>0</v>
      </c>
      <c r="L354" s="1">
        <v>0</v>
      </c>
      <c r="M354" s="1">
        <v>0</v>
      </c>
      <c r="N354" s="1" t="s">
        <v>48</v>
      </c>
      <c r="O354" s="1" t="s">
        <v>48</v>
      </c>
      <c r="P354" s="1">
        <v>0</v>
      </c>
      <c r="Q354" s="1">
        <v>0</v>
      </c>
      <c r="R354" s="1" t="s">
        <v>48</v>
      </c>
      <c r="S354" s="1">
        <v>0</v>
      </c>
      <c r="T354" s="1">
        <v>0</v>
      </c>
      <c r="U354" s="1" t="s">
        <v>48</v>
      </c>
    </row>
    <row r="355" spans="1:21" s="1" customFormat="1">
      <c r="A355" s="4">
        <v>45817</v>
      </c>
      <c r="B355" s="1" t="s">
        <v>48</v>
      </c>
      <c r="C355" s="1">
        <v>0</v>
      </c>
      <c r="D355" s="1">
        <v>0</v>
      </c>
      <c r="E355" s="1">
        <v>0</v>
      </c>
      <c r="F355" s="1" t="s">
        <v>48</v>
      </c>
      <c r="G355" s="1">
        <v>0</v>
      </c>
      <c r="H355" s="1">
        <v>0</v>
      </c>
      <c r="I355" s="1">
        <v>0</v>
      </c>
      <c r="J355" s="1" t="s">
        <v>48</v>
      </c>
      <c r="K355" s="1">
        <v>0</v>
      </c>
      <c r="L355" s="1">
        <v>0</v>
      </c>
      <c r="M355" s="1">
        <v>0</v>
      </c>
      <c r="N355" s="1" t="s">
        <v>48</v>
      </c>
      <c r="O355" s="1">
        <v>0</v>
      </c>
      <c r="P355" s="1" t="s">
        <v>48</v>
      </c>
      <c r="Q355" s="1">
        <v>0</v>
      </c>
      <c r="R355" s="1" t="s">
        <v>48</v>
      </c>
      <c r="S355" s="1">
        <v>0</v>
      </c>
      <c r="T355" s="1">
        <v>0</v>
      </c>
      <c r="U355" s="1">
        <v>0</v>
      </c>
    </row>
    <row r="356" spans="1:21" s="1" customFormat="1">
      <c r="A356" s="4">
        <v>45818</v>
      </c>
      <c r="B356" s="1" t="s">
        <v>48</v>
      </c>
      <c r="C356" s="1">
        <v>0</v>
      </c>
      <c r="D356" s="1">
        <v>0</v>
      </c>
      <c r="E356" s="1">
        <v>0</v>
      </c>
      <c r="F356" s="1" t="s">
        <v>48</v>
      </c>
      <c r="G356" s="1">
        <v>0</v>
      </c>
      <c r="H356" s="1">
        <v>0</v>
      </c>
      <c r="I356" s="1">
        <v>0</v>
      </c>
      <c r="J356" s="1" t="s">
        <v>48</v>
      </c>
      <c r="K356" s="1">
        <v>0</v>
      </c>
      <c r="L356" s="1">
        <v>0</v>
      </c>
      <c r="M356" s="1">
        <v>0</v>
      </c>
      <c r="N356" s="1" t="s">
        <v>48</v>
      </c>
      <c r="O356" s="1">
        <v>0</v>
      </c>
      <c r="P356" s="1">
        <v>0</v>
      </c>
      <c r="Q356" s="1" t="s">
        <v>48</v>
      </c>
      <c r="R356" s="1" t="s">
        <v>48</v>
      </c>
      <c r="S356" s="1">
        <v>0</v>
      </c>
      <c r="T356" s="1">
        <v>0</v>
      </c>
      <c r="U356" s="1">
        <v>0</v>
      </c>
    </row>
    <row r="357" spans="1:21" s="1" customFormat="1">
      <c r="A357" s="4">
        <v>45819</v>
      </c>
      <c r="B357" s="1" t="s">
        <v>48</v>
      </c>
      <c r="C357" s="1">
        <v>0</v>
      </c>
      <c r="D357" s="1">
        <v>0</v>
      </c>
      <c r="E357" s="1">
        <v>0</v>
      </c>
      <c r="F357" s="1" t="s">
        <v>48</v>
      </c>
      <c r="G357" s="1">
        <v>0</v>
      </c>
      <c r="H357" s="1">
        <v>0</v>
      </c>
      <c r="I357" s="1">
        <v>0</v>
      </c>
      <c r="J357" s="1" t="s">
        <v>48</v>
      </c>
      <c r="K357" s="1">
        <v>0</v>
      </c>
      <c r="L357" s="1">
        <v>0</v>
      </c>
      <c r="M357" s="1">
        <v>0</v>
      </c>
      <c r="N357" s="1" t="s">
        <v>48</v>
      </c>
      <c r="O357" s="1">
        <v>0</v>
      </c>
      <c r="P357" s="1">
        <v>0</v>
      </c>
      <c r="Q357" s="1">
        <v>0</v>
      </c>
      <c r="R357" s="1" t="s">
        <v>48</v>
      </c>
      <c r="S357" s="1" t="s">
        <v>48</v>
      </c>
      <c r="T357" s="1">
        <v>0</v>
      </c>
      <c r="U357" s="1">
        <v>0</v>
      </c>
    </row>
    <row r="358" spans="1:21" s="1" customFormat="1">
      <c r="A358" s="4">
        <v>45820</v>
      </c>
      <c r="B358" s="1" t="s">
        <v>48</v>
      </c>
      <c r="C358" s="1">
        <v>0</v>
      </c>
      <c r="D358" s="1">
        <v>0</v>
      </c>
      <c r="E358" s="1">
        <v>0</v>
      </c>
      <c r="F358" s="1" t="s">
        <v>48</v>
      </c>
      <c r="G358" s="1">
        <v>0</v>
      </c>
      <c r="H358" s="1">
        <v>0</v>
      </c>
      <c r="I358" s="1">
        <v>0</v>
      </c>
      <c r="J358" s="1" t="s">
        <v>48</v>
      </c>
      <c r="K358" s="1">
        <v>0</v>
      </c>
      <c r="L358" s="1">
        <v>0</v>
      </c>
      <c r="M358" s="1">
        <v>0</v>
      </c>
      <c r="N358" s="1" t="s">
        <v>48</v>
      </c>
      <c r="O358" s="1">
        <v>0</v>
      </c>
      <c r="P358" s="1">
        <v>0</v>
      </c>
      <c r="Q358" s="1">
        <v>0</v>
      </c>
      <c r="R358" s="1" t="s">
        <v>48</v>
      </c>
      <c r="S358" s="1">
        <v>0</v>
      </c>
      <c r="T358" s="1" t="s">
        <v>48</v>
      </c>
      <c r="U358" s="1">
        <v>0</v>
      </c>
    </row>
    <row r="359" spans="1:21" s="1" customFormat="1">
      <c r="A359" s="4">
        <v>45821</v>
      </c>
      <c r="B359" s="1" t="s">
        <v>48</v>
      </c>
      <c r="C359" s="1">
        <v>0</v>
      </c>
      <c r="D359" s="1">
        <v>0</v>
      </c>
      <c r="E359" s="1">
        <v>0</v>
      </c>
      <c r="F359" s="1" t="s">
        <v>48</v>
      </c>
      <c r="G359" s="1">
        <v>0</v>
      </c>
      <c r="H359" s="1">
        <v>0</v>
      </c>
      <c r="I359" s="1">
        <v>0</v>
      </c>
      <c r="J359" s="1" t="s">
        <v>48</v>
      </c>
      <c r="K359" s="1">
        <v>0</v>
      </c>
      <c r="L359" s="1">
        <v>0</v>
      </c>
      <c r="M359" s="1">
        <v>0</v>
      </c>
      <c r="N359" s="1" t="s">
        <v>48</v>
      </c>
      <c r="O359" s="1" t="s">
        <v>48</v>
      </c>
      <c r="P359" s="1">
        <v>0</v>
      </c>
      <c r="Q359" s="1">
        <v>0</v>
      </c>
      <c r="R359" s="1" t="s">
        <v>48</v>
      </c>
      <c r="S359" s="1">
        <v>0</v>
      </c>
      <c r="T359" s="1">
        <v>0</v>
      </c>
      <c r="U359" s="1" t="s">
        <v>48</v>
      </c>
    </row>
    <row r="360" spans="1:21" s="1" customFormat="1">
      <c r="A360" s="4">
        <v>45824</v>
      </c>
      <c r="B360" s="1" t="s">
        <v>48</v>
      </c>
      <c r="C360" s="1">
        <v>0</v>
      </c>
      <c r="D360" s="1">
        <v>0</v>
      </c>
      <c r="E360" s="1">
        <v>0</v>
      </c>
      <c r="F360" s="1" t="s">
        <v>48</v>
      </c>
      <c r="G360" s="1">
        <v>0</v>
      </c>
      <c r="H360" s="1">
        <v>0</v>
      </c>
      <c r="I360" s="1">
        <v>0</v>
      </c>
      <c r="J360" s="1" t="s">
        <v>48</v>
      </c>
      <c r="K360" s="1">
        <v>0</v>
      </c>
      <c r="L360" s="1">
        <v>0</v>
      </c>
      <c r="M360" s="1">
        <v>0</v>
      </c>
      <c r="N360" s="1" t="s">
        <v>48</v>
      </c>
      <c r="O360" s="1">
        <v>0</v>
      </c>
      <c r="P360" s="1" t="s">
        <v>48</v>
      </c>
      <c r="Q360" s="1">
        <v>0</v>
      </c>
      <c r="R360" s="1" t="s">
        <v>48</v>
      </c>
      <c r="S360" s="1">
        <v>0</v>
      </c>
      <c r="T360" s="1">
        <v>0</v>
      </c>
      <c r="U360" s="1">
        <v>0</v>
      </c>
    </row>
    <row r="361" spans="1:21" s="1" customFormat="1">
      <c r="A361" s="4">
        <v>45825</v>
      </c>
      <c r="B361" s="1" t="s">
        <v>48</v>
      </c>
      <c r="C361" s="1">
        <v>0</v>
      </c>
      <c r="D361" s="1">
        <v>0</v>
      </c>
      <c r="E361" s="1">
        <v>0</v>
      </c>
      <c r="F361" s="1" t="s">
        <v>48</v>
      </c>
      <c r="G361" s="1">
        <v>0</v>
      </c>
      <c r="H361" s="1">
        <v>0</v>
      </c>
      <c r="I361" s="1">
        <v>0</v>
      </c>
      <c r="J361" s="1" t="s">
        <v>48</v>
      </c>
      <c r="K361" s="1">
        <v>0</v>
      </c>
      <c r="L361" s="1">
        <v>0</v>
      </c>
      <c r="M361" s="1">
        <v>0</v>
      </c>
      <c r="N361" s="1" t="s">
        <v>48</v>
      </c>
      <c r="O361" s="1">
        <v>0</v>
      </c>
      <c r="P361" s="1">
        <v>0</v>
      </c>
      <c r="Q361" s="1" t="s">
        <v>48</v>
      </c>
      <c r="R361" s="1" t="s">
        <v>48</v>
      </c>
      <c r="S361" s="1">
        <v>0</v>
      </c>
      <c r="T361" s="1">
        <v>0</v>
      </c>
      <c r="U361" s="1">
        <v>0</v>
      </c>
    </row>
    <row r="362" spans="1:21" s="1" customFormat="1">
      <c r="A362" s="4">
        <v>45826</v>
      </c>
      <c r="B362" s="1" t="s">
        <v>48</v>
      </c>
      <c r="C362" s="1">
        <v>0</v>
      </c>
      <c r="D362" s="1">
        <v>0</v>
      </c>
      <c r="E362" s="1">
        <v>0</v>
      </c>
      <c r="F362" s="1" t="s">
        <v>48</v>
      </c>
      <c r="G362" s="1">
        <v>0</v>
      </c>
      <c r="H362" s="1">
        <v>0</v>
      </c>
      <c r="I362" s="1">
        <v>0</v>
      </c>
      <c r="J362" s="1" t="s">
        <v>48</v>
      </c>
      <c r="K362" s="1">
        <v>0</v>
      </c>
      <c r="L362" s="1">
        <v>0</v>
      </c>
      <c r="M362" s="1">
        <v>0</v>
      </c>
      <c r="N362" s="1" t="s">
        <v>48</v>
      </c>
      <c r="O362" s="1">
        <v>0</v>
      </c>
      <c r="P362" s="1">
        <v>0</v>
      </c>
      <c r="Q362" s="1">
        <v>0</v>
      </c>
      <c r="R362" s="1" t="s">
        <v>48</v>
      </c>
      <c r="S362" s="1" t="s">
        <v>48</v>
      </c>
      <c r="T362" s="1">
        <v>0</v>
      </c>
      <c r="U362" s="1">
        <v>0</v>
      </c>
    </row>
    <row r="363" spans="1:21" s="1" customFormat="1">
      <c r="A363" s="4">
        <v>45827</v>
      </c>
      <c r="B363" s="1" t="s">
        <v>48</v>
      </c>
      <c r="C363" s="1">
        <v>0</v>
      </c>
      <c r="D363" s="1">
        <v>0</v>
      </c>
      <c r="E363" s="1">
        <v>0</v>
      </c>
      <c r="F363" s="1" t="s">
        <v>48</v>
      </c>
      <c r="G363" s="1">
        <v>0</v>
      </c>
      <c r="H363" s="1">
        <v>0</v>
      </c>
      <c r="I363" s="1">
        <v>0</v>
      </c>
      <c r="J363" s="1" t="s">
        <v>48</v>
      </c>
      <c r="K363" s="1">
        <v>0</v>
      </c>
      <c r="L363" s="1">
        <v>0</v>
      </c>
      <c r="M363" s="1">
        <v>0</v>
      </c>
      <c r="N363" s="1" t="s">
        <v>48</v>
      </c>
      <c r="O363" s="1">
        <v>0</v>
      </c>
      <c r="P363" s="1">
        <v>0</v>
      </c>
      <c r="Q363" s="1">
        <v>0</v>
      </c>
      <c r="R363" s="1" t="s">
        <v>48</v>
      </c>
      <c r="S363" s="1">
        <v>0</v>
      </c>
      <c r="T363" s="1" t="s">
        <v>48</v>
      </c>
      <c r="U363" s="1">
        <v>0</v>
      </c>
    </row>
    <row r="364" spans="1:21" s="1" customFormat="1">
      <c r="A364" s="4">
        <v>45828</v>
      </c>
      <c r="B364" s="1" t="s">
        <v>48</v>
      </c>
      <c r="C364" s="1" t="s">
        <v>48</v>
      </c>
      <c r="D364" s="1">
        <v>0</v>
      </c>
      <c r="E364" s="1">
        <v>0</v>
      </c>
      <c r="F364" s="1" t="s">
        <v>48</v>
      </c>
      <c r="G364" s="1" t="s">
        <v>48</v>
      </c>
      <c r="H364" s="1">
        <v>0</v>
      </c>
      <c r="I364" s="1">
        <v>0</v>
      </c>
      <c r="J364" s="1" t="s">
        <v>48</v>
      </c>
      <c r="K364" s="1" t="s">
        <v>48</v>
      </c>
      <c r="L364" s="1">
        <v>0</v>
      </c>
      <c r="M364" s="1">
        <v>0</v>
      </c>
      <c r="N364" s="1" t="s">
        <v>48</v>
      </c>
      <c r="O364" s="1" t="s">
        <v>48</v>
      </c>
      <c r="P364" s="1">
        <v>0</v>
      </c>
      <c r="Q364" s="1">
        <v>0</v>
      </c>
      <c r="R364" s="1" t="s">
        <v>48</v>
      </c>
      <c r="S364" s="1">
        <v>0</v>
      </c>
      <c r="T364" s="1">
        <v>0</v>
      </c>
      <c r="U364" s="1" t="s">
        <v>48</v>
      </c>
    </row>
    <row r="365" spans="1:21" s="1" customFormat="1">
      <c r="A365" s="4">
        <v>45831</v>
      </c>
      <c r="B365" s="1" t="s">
        <v>48</v>
      </c>
      <c r="C365" s="1">
        <v>0</v>
      </c>
      <c r="D365" s="1" t="s">
        <v>48</v>
      </c>
      <c r="E365" s="1">
        <v>0</v>
      </c>
      <c r="F365" s="1" t="s">
        <v>48</v>
      </c>
      <c r="G365" s="1">
        <v>0</v>
      </c>
      <c r="H365" s="1" t="s">
        <v>48</v>
      </c>
      <c r="I365" s="1">
        <v>0</v>
      </c>
      <c r="J365" s="1" t="s">
        <v>48</v>
      </c>
      <c r="K365" s="1">
        <v>0</v>
      </c>
      <c r="L365" s="1" t="s">
        <v>48</v>
      </c>
      <c r="M365" s="1">
        <v>0</v>
      </c>
      <c r="N365" s="1" t="s">
        <v>48</v>
      </c>
      <c r="O365" s="1">
        <v>0</v>
      </c>
      <c r="P365" s="1" t="s">
        <v>48</v>
      </c>
      <c r="Q365" s="1">
        <v>0</v>
      </c>
      <c r="R365" s="1" t="s">
        <v>48</v>
      </c>
      <c r="S365" s="1">
        <v>0</v>
      </c>
      <c r="T365" s="1">
        <v>0</v>
      </c>
      <c r="U365" s="1">
        <v>0</v>
      </c>
    </row>
    <row r="366" spans="1:21" s="1" customFormat="1">
      <c r="A366" s="4">
        <v>45832</v>
      </c>
      <c r="B366" s="1" t="s">
        <v>48</v>
      </c>
      <c r="C366" s="1">
        <v>0</v>
      </c>
      <c r="D366" s="1">
        <v>0</v>
      </c>
      <c r="E366" s="1" t="s">
        <v>48</v>
      </c>
      <c r="F366" s="1" t="s">
        <v>48</v>
      </c>
      <c r="G366" s="1">
        <v>0</v>
      </c>
      <c r="H366" s="1">
        <v>0</v>
      </c>
      <c r="I366" s="1" t="s">
        <v>48</v>
      </c>
      <c r="J366" s="1" t="s">
        <v>48</v>
      </c>
      <c r="K366" s="1">
        <v>0</v>
      </c>
      <c r="L366" s="1">
        <v>0</v>
      </c>
      <c r="M366" s="1" t="s">
        <v>48</v>
      </c>
      <c r="N366" s="1" t="s">
        <v>48</v>
      </c>
      <c r="O366" s="1">
        <v>0</v>
      </c>
      <c r="P366" s="1">
        <v>0</v>
      </c>
      <c r="Q366" s="1" t="s">
        <v>48</v>
      </c>
      <c r="R366" s="1" t="s">
        <v>70</v>
      </c>
      <c r="S366" s="1">
        <v>0</v>
      </c>
      <c r="T366" s="1">
        <v>0</v>
      </c>
      <c r="U366" s="1">
        <v>0</v>
      </c>
    </row>
    <row r="367" spans="1:21" s="1" customFormat="1">
      <c r="A367" s="4">
        <v>45833</v>
      </c>
      <c r="B367" s="1" t="s">
        <v>48</v>
      </c>
      <c r="C367" s="1">
        <v>0</v>
      </c>
      <c r="D367" s="1">
        <v>0</v>
      </c>
      <c r="E367" s="1">
        <v>0</v>
      </c>
      <c r="F367" s="1" t="s">
        <v>48</v>
      </c>
      <c r="G367" s="1">
        <v>0</v>
      </c>
      <c r="H367" s="1">
        <v>0</v>
      </c>
      <c r="I367" s="1">
        <v>0</v>
      </c>
      <c r="J367" s="1" t="s">
        <v>48</v>
      </c>
      <c r="K367" s="1">
        <v>0</v>
      </c>
      <c r="L367" s="1">
        <v>0</v>
      </c>
      <c r="M367" s="1">
        <v>0</v>
      </c>
      <c r="N367" s="1" t="s">
        <v>48</v>
      </c>
      <c r="O367" s="1">
        <v>0</v>
      </c>
      <c r="P367" s="1">
        <v>0</v>
      </c>
      <c r="Q367" s="1">
        <v>0</v>
      </c>
      <c r="R367" s="1" t="s">
        <v>48</v>
      </c>
      <c r="S367" s="1" t="s">
        <v>48</v>
      </c>
      <c r="T367" s="1">
        <v>0</v>
      </c>
      <c r="U367" s="1">
        <v>0</v>
      </c>
    </row>
    <row r="368" spans="1:21" s="1" customFormat="1">
      <c r="A368" s="4">
        <v>45834</v>
      </c>
      <c r="B368" s="1" t="s">
        <v>48</v>
      </c>
      <c r="C368" s="1">
        <v>0</v>
      </c>
      <c r="D368" s="1">
        <v>0</v>
      </c>
      <c r="E368" s="1">
        <v>0</v>
      </c>
      <c r="F368" s="1" t="s">
        <v>48</v>
      </c>
      <c r="G368" s="1">
        <v>0</v>
      </c>
      <c r="H368" s="1">
        <v>0</v>
      </c>
      <c r="I368" s="1">
        <v>0</v>
      </c>
      <c r="J368" s="1" t="s">
        <v>48</v>
      </c>
      <c r="K368" s="1">
        <v>0</v>
      </c>
      <c r="L368" s="1">
        <v>0</v>
      </c>
      <c r="M368" s="1">
        <v>0</v>
      </c>
      <c r="N368" s="1" t="s">
        <v>48</v>
      </c>
      <c r="O368" s="1">
        <v>0</v>
      </c>
      <c r="P368" s="1">
        <v>0</v>
      </c>
      <c r="Q368" s="1">
        <v>0</v>
      </c>
      <c r="R368" s="1" t="s">
        <v>48</v>
      </c>
      <c r="S368" s="1">
        <v>0</v>
      </c>
      <c r="T368" s="1" t="s">
        <v>48</v>
      </c>
      <c r="U368" s="1">
        <v>0</v>
      </c>
    </row>
    <row r="369" spans="1:21" s="1" customFormat="1">
      <c r="A369" s="4">
        <v>45835</v>
      </c>
      <c r="B369" s="1" t="s">
        <v>48</v>
      </c>
      <c r="C369" s="1">
        <v>0</v>
      </c>
      <c r="D369" s="1">
        <v>0</v>
      </c>
      <c r="E369" s="1">
        <v>0</v>
      </c>
      <c r="F369" s="1" t="s">
        <v>48</v>
      </c>
      <c r="G369" s="1">
        <v>0</v>
      </c>
      <c r="H369" s="1">
        <v>0</v>
      </c>
      <c r="I369" s="1">
        <v>0</v>
      </c>
      <c r="J369" s="1" t="s">
        <v>48</v>
      </c>
      <c r="K369" s="1">
        <v>0</v>
      </c>
      <c r="L369" s="1">
        <v>0</v>
      </c>
      <c r="M369" s="1">
        <v>0</v>
      </c>
      <c r="N369" s="1" t="s">
        <v>48</v>
      </c>
      <c r="O369" s="1" t="s">
        <v>48</v>
      </c>
      <c r="P369" s="1">
        <v>0</v>
      </c>
      <c r="Q369" s="1">
        <v>0</v>
      </c>
      <c r="R369" s="1" t="s">
        <v>48</v>
      </c>
      <c r="S369" s="1">
        <v>0</v>
      </c>
      <c r="T369" s="1">
        <v>0</v>
      </c>
      <c r="U369" s="1" t="s">
        <v>48</v>
      </c>
    </row>
    <row r="370" spans="1:21" s="1" customFormat="1">
      <c r="A370" s="4">
        <v>45838</v>
      </c>
      <c r="B370" s="1" t="s">
        <v>48</v>
      </c>
      <c r="C370" s="1">
        <v>0</v>
      </c>
      <c r="D370" s="1">
        <v>0</v>
      </c>
      <c r="E370" s="1">
        <v>0</v>
      </c>
      <c r="F370" s="1" t="s">
        <v>48</v>
      </c>
      <c r="G370" s="1">
        <v>0</v>
      </c>
      <c r="H370" s="1">
        <v>0</v>
      </c>
      <c r="I370" s="1">
        <v>0</v>
      </c>
      <c r="J370" s="1" t="s">
        <v>48</v>
      </c>
      <c r="K370" s="1">
        <v>0</v>
      </c>
      <c r="L370" s="1">
        <v>0</v>
      </c>
      <c r="M370" s="1">
        <v>0</v>
      </c>
      <c r="N370" s="1" t="s">
        <v>48</v>
      </c>
      <c r="O370" s="1">
        <v>0</v>
      </c>
      <c r="P370" s="1" t="s">
        <v>48</v>
      </c>
      <c r="Q370" s="1">
        <v>0</v>
      </c>
      <c r="R370" s="1" t="s">
        <v>48</v>
      </c>
      <c r="S370" s="1">
        <v>0</v>
      </c>
      <c r="T370" s="1">
        <v>0</v>
      </c>
      <c r="U370" s="1">
        <v>0</v>
      </c>
    </row>
    <row r="371" spans="1:21" s="1" customFormat="1">
      <c r="A371" s="4">
        <v>45839</v>
      </c>
      <c r="B371" s="1" t="s">
        <v>48</v>
      </c>
      <c r="C371" s="1">
        <v>0</v>
      </c>
      <c r="D371" s="1">
        <v>0</v>
      </c>
      <c r="E371" s="1">
        <v>0</v>
      </c>
      <c r="F371" s="1" t="s">
        <v>48</v>
      </c>
      <c r="G371" s="1">
        <v>0</v>
      </c>
      <c r="H371" s="1">
        <v>0</v>
      </c>
      <c r="I371" s="1">
        <v>0</v>
      </c>
      <c r="J371" s="1" t="s">
        <v>48</v>
      </c>
      <c r="K371" s="1">
        <v>0</v>
      </c>
      <c r="L371" s="1">
        <v>0</v>
      </c>
      <c r="M371" s="1">
        <v>0</v>
      </c>
      <c r="N371" s="1" t="s">
        <v>48</v>
      </c>
      <c r="O371" s="1">
        <v>0</v>
      </c>
      <c r="P371" s="1">
        <v>0</v>
      </c>
      <c r="Q371" s="1" t="s">
        <v>48</v>
      </c>
      <c r="R371" s="1" t="s">
        <v>48</v>
      </c>
      <c r="S371" s="1">
        <v>0</v>
      </c>
      <c r="T371" s="1">
        <v>0</v>
      </c>
      <c r="U371" s="1">
        <v>0</v>
      </c>
    </row>
    <row r="372" spans="1:21" s="1" customFormat="1">
      <c r="A372" s="4">
        <v>45840</v>
      </c>
      <c r="B372" s="1" t="s">
        <v>48</v>
      </c>
      <c r="C372" s="1">
        <v>0</v>
      </c>
      <c r="D372" s="1">
        <v>0</v>
      </c>
      <c r="E372" s="1">
        <v>0</v>
      </c>
      <c r="F372" s="1" t="s">
        <v>48</v>
      </c>
      <c r="G372" s="1">
        <v>0</v>
      </c>
      <c r="H372" s="1">
        <v>0</v>
      </c>
      <c r="I372" s="1">
        <v>0</v>
      </c>
      <c r="J372" s="1" t="s">
        <v>48</v>
      </c>
      <c r="K372" s="1">
        <v>0</v>
      </c>
      <c r="L372" s="1">
        <v>0</v>
      </c>
      <c r="M372" s="1">
        <v>0</v>
      </c>
      <c r="N372" s="1" t="s">
        <v>48</v>
      </c>
      <c r="O372" s="1">
        <v>0</v>
      </c>
      <c r="P372" s="1">
        <v>0</v>
      </c>
      <c r="Q372" s="1">
        <v>0</v>
      </c>
      <c r="R372" s="1" t="s">
        <v>48</v>
      </c>
      <c r="S372" s="1" t="s">
        <v>48</v>
      </c>
      <c r="T372" s="1">
        <v>0</v>
      </c>
      <c r="U372" s="1">
        <v>0</v>
      </c>
    </row>
    <row r="373" spans="1:21" s="1" customFormat="1">
      <c r="A373" s="4">
        <v>45841</v>
      </c>
      <c r="B373" s="1" t="s">
        <v>48</v>
      </c>
      <c r="C373" s="1">
        <v>0</v>
      </c>
      <c r="D373" s="1">
        <v>0</v>
      </c>
      <c r="E373" s="1">
        <v>0</v>
      </c>
      <c r="F373" s="1" t="s">
        <v>48</v>
      </c>
      <c r="G373" s="1">
        <v>0</v>
      </c>
      <c r="H373" s="1">
        <v>0</v>
      </c>
      <c r="I373" s="1">
        <v>0</v>
      </c>
      <c r="J373" s="1" t="s">
        <v>48</v>
      </c>
      <c r="K373" s="1">
        <v>0</v>
      </c>
      <c r="L373" s="1">
        <v>0</v>
      </c>
      <c r="M373" s="1">
        <v>0</v>
      </c>
      <c r="N373" s="1" t="s">
        <v>48</v>
      </c>
      <c r="O373" s="1">
        <v>0</v>
      </c>
      <c r="P373" s="1">
        <v>0</v>
      </c>
      <c r="Q373" s="1">
        <v>0</v>
      </c>
      <c r="R373" s="1" t="s">
        <v>48</v>
      </c>
      <c r="S373" s="1">
        <v>0</v>
      </c>
      <c r="T373" s="1" t="s">
        <v>48</v>
      </c>
      <c r="U373" s="1">
        <v>0</v>
      </c>
    </row>
    <row r="374" spans="1:21" s="1" customFormat="1">
      <c r="A374" s="4">
        <v>45842</v>
      </c>
      <c r="B374" s="1" t="s">
        <v>48</v>
      </c>
      <c r="C374" s="1">
        <v>0</v>
      </c>
      <c r="D374" s="1">
        <v>0</v>
      </c>
      <c r="E374" s="1">
        <v>0</v>
      </c>
      <c r="F374" s="1" t="s">
        <v>48</v>
      </c>
      <c r="G374" s="1">
        <v>0</v>
      </c>
      <c r="H374" s="1">
        <v>0</v>
      </c>
      <c r="I374" s="1">
        <v>0</v>
      </c>
      <c r="J374" s="1" t="s">
        <v>48</v>
      </c>
      <c r="K374" s="1">
        <v>0</v>
      </c>
      <c r="L374" s="1">
        <v>0</v>
      </c>
      <c r="M374" s="1">
        <v>0</v>
      </c>
      <c r="N374" s="1" t="s">
        <v>48</v>
      </c>
      <c r="O374" s="1" t="s">
        <v>48</v>
      </c>
      <c r="P374" s="1">
        <v>0</v>
      </c>
      <c r="Q374" s="1">
        <v>0</v>
      </c>
      <c r="R374" s="1" t="s">
        <v>48</v>
      </c>
      <c r="S374" s="1">
        <v>0</v>
      </c>
      <c r="T374" s="1">
        <v>0</v>
      </c>
      <c r="U374" s="1" t="s">
        <v>48</v>
      </c>
    </row>
    <row r="375" spans="1:21" s="1" customFormat="1">
      <c r="A375" s="4">
        <v>45845</v>
      </c>
      <c r="B375" s="1" t="s">
        <v>48</v>
      </c>
      <c r="C375" s="1">
        <v>0</v>
      </c>
      <c r="D375" s="1">
        <v>0</v>
      </c>
      <c r="E375" s="1">
        <v>0</v>
      </c>
      <c r="F375" s="1" t="s">
        <v>48</v>
      </c>
      <c r="G375" s="1">
        <v>0</v>
      </c>
      <c r="H375" s="1">
        <v>0</v>
      </c>
      <c r="I375" s="1">
        <v>0</v>
      </c>
      <c r="J375" s="1" t="s">
        <v>48</v>
      </c>
      <c r="K375" s="1">
        <v>0</v>
      </c>
      <c r="L375" s="1">
        <v>0</v>
      </c>
      <c r="M375" s="1">
        <v>0</v>
      </c>
      <c r="N375" s="1" t="s">
        <v>48</v>
      </c>
      <c r="O375" s="1">
        <v>0</v>
      </c>
      <c r="P375" s="1" t="s">
        <v>48</v>
      </c>
      <c r="Q375" s="1">
        <v>0</v>
      </c>
      <c r="R375" s="1" t="s">
        <v>48</v>
      </c>
      <c r="S375" s="1">
        <v>0</v>
      </c>
      <c r="T375" s="1">
        <v>0</v>
      </c>
      <c r="U375" s="1">
        <v>0</v>
      </c>
    </row>
    <row r="376" spans="1:21" s="1" customFormat="1">
      <c r="A376" s="4">
        <v>45846</v>
      </c>
      <c r="B376" s="1" t="s">
        <v>48</v>
      </c>
      <c r="C376" s="1">
        <v>0</v>
      </c>
      <c r="D376" s="1">
        <v>0</v>
      </c>
      <c r="E376" s="1">
        <v>0</v>
      </c>
      <c r="F376" s="1" t="s">
        <v>48</v>
      </c>
      <c r="G376" s="1">
        <v>0</v>
      </c>
      <c r="H376" s="1">
        <v>0</v>
      </c>
      <c r="I376" s="1">
        <v>0</v>
      </c>
      <c r="J376" s="1" t="s">
        <v>48</v>
      </c>
      <c r="K376" s="1">
        <v>0</v>
      </c>
      <c r="L376" s="1">
        <v>0</v>
      </c>
      <c r="M376" s="1">
        <v>0</v>
      </c>
      <c r="N376" s="1" t="s">
        <v>48</v>
      </c>
      <c r="O376" s="1">
        <v>0</v>
      </c>
      <c r="P376" s="1">
        <v>0</v>
      </c>
      <c r="Q376" s="1" t="s">
        <v>48</v>
      </c>
      <c r="R376" s="1" t="s">
        <v>48</v>
      </c>
      <c r="S376" s="1">
        <v>0</v>
      </c>
      <c r="T376" s="1">
        <v>0</v>
      </c>
      <c r="U376" s="1">
        <v>0</v>
      </c>
    </row>
    <row r="377" spans="1:21" s="1" customFormat="1">
      <c r="A377" s="4">
        <v>45847</v>
      </c>
      <c r="B377" s="1" t="s">
        <v>48</v>
      </c>
      <c r="C377" s="1">
        <v>0</v>
      </c>
      <c r="D377" s="1">
        <v>0</v>
      </c>
      <c r="E377" s="1">
        <v>0</v>
      </c>
      <c r="F377" s="1" t="s">
        <v>48</v>
      </c>
      <c r="G377" s="1">
        <v>0</v>
      </c>
      <c r="H377" s="1">
        <v>0</v>
      </c>
      <c r="I377" s="1">
        <v>0</v>
      </c>
      <c r="J377" s="1" t="s">
        <v>48</v>
      </c>
      <c r="K377" s="1">
        <v>0</v>
      </c>
      <c r="L377" s="1">
        <v>0</v>
      </c>
      <c r="M377" s="1">
        <v>0</v>
      </c>
      <c r="N377" s="1" t="s">
        <v>48</v>
      </c>
      <c r="O377" s="1">
        <v>0</v>
      </c>
      <c r="P377" s="1">
        <v>0</v>
      </c>
      <c r="Q377" s="1">
        <v>0</v>
      </c>
      <c r="R377" s="1" t="s">
        <v>48</v>
      </c>
      <c r="S377" s="1" t="s">
        <v>48</v>
      </c>
      <c r="T377" s="1">
        <v>0</v>
      </c>
      <c r="U377" s="1">
        <v>0</v>
      </c>
    </row>
    <row r="378" spans="1:21" s="1" customFormat="1">
      <c r="A378" s="4">
        <v>45848</v>
      </c>
      <c r="B378" s="1" t="s">
        <v>48</v>
      </c>
      <c r="C378" s="1">
        <v>0</v>
      </c>
      <c r="D378" s="1">
        <v>0</v>
      </c>
      <c r="E378" s="1">
        <v>0</v>
      </c>
      <c r="F378" s="1" t="s">
        <v>48</v>
      </c>
      <c r="G378" s="1">
        <v>0</v>
      </c>
      <c r="H378" s="1">
        <v>0</v>
      </c>
      <c r="I378" s="1">
        <v>0</v>
      </c>
      <c r="J378" s="1" t="s">
        <v>48</v>
      </c>
      <c r="K378" s="1">
        <v>0</v>
      </c>
      <c r="L378" s="1">
        <v>0</v>
      </c>
      <c r="M378" s="1">
        <v>0</v>
      </c>
      <c r="N378" s="1" t="s">
        <v>48</v>
      </c>
      <c r="O378" s="1">
        <v>0</v>
      </c>
      <c r="P378" s="1">
        <v>0</v>
      </c>
      <c r="Q378" s="1">
        <v>0</v>
      </c>
      <c r="R378" s="1" t="s">
        <v>48</v>
      </c>
      <c r="S378" s="1">
        <v>0</v>
      </c>
      <c r="T378" s="1" t="s">
        <v>48</v>
      </c>
      <c r="U378" s="1">
        <v>0</v>
      </c>
    </row>
    <row r="379" spans="1:21" s="1" customFormat="1">
      <c r="A379" s="4">
        <v>45849</v>
      </c>
      <c r="B379" s="1" t="s">
        <v>48</v>
      </c>
      <c r="C379" s="1">
        <v>0</v>
      </c>
      <c r="D379" s="1">
        <v>0</v>
      </c>
      <c r="E379" s="1">
        <v>0</v>
      </c>
      <c r="F379" s="1" t="s">
        <v>48</v>
      </c>
      <c r="G379" s="1">
        <v>0</v>
      </c>
      <c r="H379" s="1">
        <v>0</v>
      </c>
      <c r="I379" s="1">
        <v>0</v>
      </c>
      <c r="J379" s="1" t="s">
        <v>48</v>
      </c>
      <c r="K379" s="1">
        <v>0</v>
      </c>
      <c r="L379" s="1">
        <v>0</v>
      </c>
      <c r="M379" s="1">
        <v>0</v>
      </c>
      <c r="N379" s="1" t="s">
        <v>48</v>
      </c>
      <c r="O379" s="1" t="s">
        <v>48</v>
      </c>
      <c r="P379" s="1">
        <v>0</v>
      </c>
      <c r="Q379" s="1">
        <v>0</v>
      </c>
      <c r="R379" s="1" t="s">
        <v>48</v>
      </c>
      <c r="S379" s="1">
        <v>0</v>
      </c>
      <c r="T379" s="1">
        <v>0</v>
      </c>
      <c r="U379" s="1" t="s">
        <v>48</v>
      </c>
    </row>
    <row r="380" spans="1:21" s="1" customFormat="1">
      <c r="A380" s="4">
        <v>45852</v>
      </c>
      <c r="B380" s="1" t="s">
        <v>48</v>
      </c>
      <c r="C380" s="1">
        <v>0</v>
      </c>
      <c r="D380" s="1">
        <v>0</v>
      </c>
      <c r="E380" s="1">
        <v>0</v>
      </c>
      <c r="F380" s="1" t="s">
        <v>48</v>
      </c>
      <c r="G380" s="1">
        <v>0</v>
      </c>
      <c r="H380" s="1">
        <v>0</v>
      </c>
      <c r="I380" s="1">
        <v>0</v>
      </c>
      <c r="J380" s="1" t="s">
        <v>48</v>
      </c>
      <c r="K380" s="1">
        <v>0</v>
      </c>
      <c r="L380" s="1">
        <v>0</v>
      </c>
      <c r="M380" s="1">
        <v>0</v>
      </c>
      <c r="N380" s="1" t="s">
        <v>48</v>
      </c>
      <c r="O380" s="1">
        <v>0</v>
      </c>
      <c r="P380" s="1" t="s">
        <v>48</v>
      </c>
      <c r="Q380" s="1">
        <v>0</v>
      </c>
      <c r="R380" s="1" t="s">
        <v>48</v>
      </c>
      <c r="S380" s="1">
        <v>0</v>
      </c>
      <c r="T380" s="1">
        <v>0</v>
      </c>
      <c r="U380" s="1">
        <v>0</v>
      </c>
    </row>
    <row r="381" spans="1:21" s="1" customFormat="1">
      <c r="A381" s="4">
        <v>45853</v>
      </c>
      <c r="B381" s="1" t="s">
        <v>48</v>
      </c>
      <c r="C381" s="1">
        <v>0</v>
      </c>
      <c r="D381" s="1">
        <v>0</v>
      </c>
      <c r="E381" s="1">
        <v>0</v>
      </c>
      <c r="F381" s="1" t="s">
        <v>48</v>
      </c>
      <c r="G381" s="1">
        <v>0</v>
      </c>
      <c r="H381" s="1">
        <v>0</v>
      </c>
      <c r="I381" s="1">
        <v>0</v>
      </c>
      <c r="J381" s="1" t="s">
        <v>48</v>
      </c>
      <c r="K381" s="1">
        <v>0</v>
      </c>
      <c r="L381" s="1">
        <v>0</v>
      </c>
      <c r="M381" s="1">
        <v>0</v>
      </c>
      <c r="N381" s="1" t="s">
        <v>48</v>
      </c>
      <c r="O381" s="1">
        <v>0</v>
      </c>
      <c r="P381" s="1">
        <v>0</v>
      </c>
      <c r="Q381" s="1" t="s">
        <v>48</v>
      </c>
      <c r="R381" s="1" t="s">
        <v>48</v>
      </c>
      <c r="S381" s="1">
        <v>0</v>
      </c>
      <c r="T381" s="1">
        <v>0</v>
      </c>
      <c r="U381" s="1">
        <v>0</v>
      </c>
    </row>
    <row r="382" spans="1:21" s="1" customFormat="1">
      <c r="A382" s="4">
        <v>45854</v>
      </c>
      <c r="B382" s="1" t="s">
        <v>48</v>
      </c>
      <c r="C382" s="1">
        <v>0</v>
      </c>
      <c r="D382" s="1">
        <v>0</v>
      </c>
      <c r="E382" s="1">
        <v>0</v>
      </c>
      <c r="F382" s="1" t="s">
        <v>48</v>
      </c>
      <c r="G382" s="1">
        <v>0</v>
      </c>
      <c r="H382" s="1">
        <v>0</v>
      </c>
      <c r="I382" s="1">
        <v>0</v>
      </c>
      <c r="J382" s="1" t="s">
        <v>48</v>
      </c>
      <c r="K382" s="1">
        <v>0</v>
      </c>
      <c r="L382" s="1">
        <v>0</v>
      </c>
      <c r="M382" s="1">
        <v>0</v>
      </c>
      <c r="N382" s="1" t="s">
        <v>48</v>
      </c>
      <c r="O382" s="1">
        <v>0</v>
      </c>
      <c r="P382" s="1">
        <v>0</v>
      </c>
      <c r="Q382" s="1">
        <v>0</v>
      </c>
      <c r="R382" s="1" t="s">
        <v>48</v>
      </c>
      <c r="S382" s="1" t="s">
        <v>48</v>
      </c>
      <c r="T382" s="1">
        <v>0</v>
      </c>
      <c r="U382" s="1">
        <v>0</v>
      </c>
    </row>
    <row r="383" spans="1:21" s="1" customFormat="1">
      <c r="A383" s="4">
        <v>45855</v>
      </c>
      <c r="B383" s="1" t="s">
        <v>48</v>
      </c>
      <c r="C383" s="1">
        <v>0</v>
      </c>
      <c r="D383" s="1">
        <v>0</v>
      </c>
      <c r="E383" s="1">
        <v>0</v>
      </c>
      <c r="F383" s="1" t="s">
        <v>48</v>
      </c>
      <c r="G383" s="1">
        <v>0</v>
      </c>
      <c r="H383" s="1">
        <v>0</v>
      </c>
      <c r="I383" s="1">
        <v>0</v>
      </c>
      <c r="J383" s="1" t="s">
        <v>48</v>
      </c>
      <c r="K383" s="1">
        <v>0</v>
      </c>
      <c r="L383" s="1">
        <v>0</v>
      </c>
      <c r="M383" s="1">
        <v>0</v>
      </c>
      <c r="N383" s="1" t="s">
        <v>48</v>
      </c>
      <c r="O383" s="1">
        <v>0</v>
      </c>
      <c r="P383" s="1">
        <v>0</v>
      </c>
      <c r="Q383" s="1">
        <v>0</v>
      </c>
      <c r="R383" s="1" t="s">
        <v>48</v>
      </c>
      <c r="S383" s="1">
        <v>0</v>
      </c>
      <c r="T383" s="1" t="s">
        <v>48</v>
      </c>
      <c r="U383" s="1">
        <v>0</v>
      </c>
    </row>
    <row r="384" spans="1:21" s="1" customFormat="1">
      <c r="A384" s="4">
        <v>45856</v>
      </c>
      <c r="B384" s="1" t="s">
        <v>48</v>
      </c>
      <c r="C384" s="1">
        <v>0</v>
      </c>
      <c r="D384" s="1">
        <v>0</v>
      </c>
      <c r="E384" s="1">
        <v>0</v>
      </c>
      <c r="F384" s="1" t="s">
        <v>48</v>
      </c>
      <c r="G384" s="1">
        <v>0</v>
      </c>
      <c r="H384" s="1">
        <v>0</v>
      </c>
      <c r="I384" s="1">
        <v>0</v>
      </c>
      <c r="J384" s="1" t="s">
        <v>48</v>
      </c>
      <c r="K384" s="1">
        <v>0</v>
      </c>
      <c r="L384" s="1">
        <v>0</v>
      </c>
      <c r="M384" s="1">
        <v>0</v>
      </c>
      <c r="N384" s="1" t="s">
        <v>48</v>
      </c>
      <c r="O384" s="1" t="s">
        <v>48</v>
      </c>
      <c r="P384" s="1">
        <v>0</v>
      </c>
      <c r="Q384" s="1">
        <v>0</v>
      </c>
      <c r="R384" s="1" t="s">
        <v>48</v>
      </c>
      <c r="S384" s="1">
        <v>0</v>
      </c>
      <c r="T384" s="1">
        <v>0</v>
      </c>
      <c r="U384" s="1" t="s">
        <v>48</v>
      </c>
    </row>
    <row r="385" spans="1:21" s="1" customFormat="1">
      <c r="A385" s="4">
        <v>45859</v>
      </c>
      <c r="B385" s="1" t="s">
        <v>48</v>
      </c>
      <c r="C385" s="1">
        <v>0</v>
      </c>
      <c r="D385" s="1">
        <v>0</v>
      </c>
      <c r="E385" s="1">
        <v>0</v>
      </c>
      <c r="F385" s="1" t="s">
        <v>48</v>
      </c>
      <c r="G385" s="1">
        <v>0</v>
      </c>
      <c r="H385" s="1">
        <v>0</v>
      </c>
      <c r="I385" s="1">
        <v>0</v>
      </c>
      <c r="J385" s="1" t="s">
        <v>48</v>
      </c>
      <c r="K385" s="1">
        <v>0</v>
      </c>
      <c r="L385" s="1">
        <v>0</v>
      </c>
      <c r="M385" s="1">
        <v>0</v>
      </c>
      <c r="N385" s="1" t="s">
        <v>48</v>
      </c>
      <c r="O385" s="1">
        <v>0</v>
      </c>
      <c r="P385" s="1" t="s">
        <v>48</v>
      </c>
      <c r="Q385" s="1">
        <v>0</v>
      </c>
      <c r="R385" s="1" t="s">
        <v>48</v>
      </c>
      <c r="S385" s="1">
        <v>0</v>
      </c>
      <c r="T385" s="1">
        <v>0</v>
      </c>
      <c r="U385" s="1">
        <v>0</v>
      </c>
    </row>
    <row r="386" spans="1:21" s="1" customFormat="1">
      <c r="A386" s="4">
        <v>45860</v>
      </c>
      <c r="B386" s="1" t="s">
        <v>48</v>
      </c>
      <c r="C386" s="1">
        <v>0</v>
      </c>
      <c r="D386" s="1">
        <v>0</v>
      </c>
      <c r="E386" s="1">
        <v>0</v>
      </c>
      <c r="F386" s="1" t="s">
        <v>48</v>
      </c>
      <c r="G386" s="1">
        <v>0</v>
      </c>
      <c r="H386" s="1">
        <v>0</v>
      </c>
      <c r="I386" s="1">
        <v>0</v>
      </c>
      <c r="J386" s="1" t="s">
        <v>48</v>
      </c>
      <c r="K386" s="1">
        <v>0</v>
      </c>
      <c r="L386" s="1">
        <v>0</v>
      </c>
      <c r="M386" s="1">
        <v>0</v>
      </c>
      <c r="N386" s="1" t="s">
        <v>48</v>
      </c>
      <c r="O386" s="1">
        <v>0</v>
      </c>
      <c r="P386" s="1">
        <v>0</v>
      </c>
      <c r="Q386" s="1" t="s">
        <v>48</v>
      </c>
      <c r="R386" s="1" t="s">
        <v>48</v>
      </c>
      <c r="S386" s="1">
        <v>0</v>
      </c>
      <c r="T386" s="1">
        <v>0</v>
      </c>
      <c r="U386" s="1">
        <v>0</v>
      </c>
    </row>
    <row r="387" spans="1:21" s="1" customFormat="1">
      <c r="A387" s="4">
        <v>45861</v>
      </c>
      <c r="B387" s="1" t="s">
        <v>48</v>
      </c>
      <c r="C387" s="1">
        <v>0</v>
      </c>
      <c r="D387" s="1">
        <v>0</v>
      </c>
      <c r="E387" s="1">
        <v>0</v>
      </c>
      <c r="F387" s="1" t="s">
        <v>48</v>
      </c>
      <c r="G387" s="1">
        <v>0</v>
      </c>
      <c r="H387" s="1">
        <v>0</v>
      </c>
      <c r="I387" s="1">
        <v>0</v>
      </c>
      <c r="J387" s="1" t="s">
        <v>48</v>
      </c>
      <c r="K387" s="1">
        <v>0</v>
      </c>
      <c r="L387" s="1">
        <v>0</v>
      </c>
      <c r="M387" s="1">
        <v>0</v>
      </c>
      <c r="N387" s="1" t="s">
        <v>48</v>
      </c>
      <c r="O387" s="1">
        <v>0</v>
      </c>
      <c r="P387" s="1">
        <v>0</v>
      </c>
      <c r="Q387" s="1">
        <v>0</v>
      </c>
      <c r="R387" s="1" t="s">
        <v>48</v>
      </c>
      <c r="S387" s="1" t="s">
        <v>48</v>
      </c>
      <c r="T387" s="1">
        <v>0</v>
      </c>
      <c r="U387" s="1">
        <v>0</v>
      </c>
    </row>
    <row r="388" spans="1:21" s="1" customFormat="1">
      <c r="A388" s="4">
        <v>45862</v>
      </c>
      <c r="B388" s="1" t="s">
        <v>48</v>
      </c>
      <c r="C388" s="1">
        <v>0</v>
      </c>
      <c r="D388" s="1">
        <v>0</v>
      </c>
      <c r="E388" s="1">
        <v>0</v>
      </c>
      <c r="F388" s="1" t="s">
        <v>48</v>
      </c>
      <c r="G388" s="1">
        <v>0</v>
      </c>
      <c r="H388" s="1">
        <v>0</v>
      </c>
      <c r="I388" s="1">
        <v>0</v>
      </c>
      <c r="J388" s="1" t="s">
        <v>48</v>
      </c>
      <c r="K388" s="1">
        <v>0</v>
      </c>
      <c r="L388" s="1">
        <v>0</v>
      </c>
      <c r="M388" s="1">
        <v>0</v>
      </c>
      <c r="N388" s="1" t="s">
        <v>48</v>
      </c>
      <c r="O388" s="1">
        <v>0</v>
      </c>
      <c r="P388" s="1">
        <v>0</v>
      </c>
      <c r="Q388" s="1">
        <v>0</v>
      </c>
      <c r="R388" s="1" t="s">
        <v>48</v>
      </c>
      <c r="S388" s="1">
        <v>0</v>
      </c>
      <c r="T388" s="1" t="s">
        <v>48</v>
      </c>
      <c r="U388" s="1">
        <v>0</v>
      </c>
    </row>
    <row r="389" spans="1:21" s="1" customFormat="1">
      <c r="A389" s="4">
        <v>45863</v>
      </c>
      <c r="B389" s="1" t="s">
        <v>48</v>
      </c>
      <c r="C389" s="1" t="s">
        <v>48</v>
      </c>
      <c r="D389" s="1">
        <v>0</v>
      </c>
      <c r="E389" s="1">
        <v>0</v>
      </c>
      <c r="F389" s="1" t="s">
        <v>48</v>
      </c>
      <c r="G389" s="1" t="s">
        <v>48</v>
      </c>
      <c r="H389" s="1">
        <v>0</v>
      </c>
      <c r="I389" s="1">
        <v>0</v>
      </c>
      <c r="J389" s="1" t="s">
        <v>48</v>
      </c>
      <c r="K389" s="1" t="s">
        <v>48</v>
      </c>
      <c r="L389" s="1">
        <v>0</v>
      </c>
      <c r="M389" s="1">
        <v>0</v>
      </c>
      <c r="N389" s="1" t="s">
        <v>48</v>
      </c>
      <c r="O389" s="1" t="s">
        <v>48</v>
      </c>
      <c r="P389" s="1">
        <v>0</v>
      </c>
      <c r="Q389" s="1">
        <v>0</v>
      </c>
      <c r="R389" s="1" t="s">
        <v>48</v>
      </c>
      <c r="S389" s="1">
        <v>0</v>
      </c>
      <c r="T389" s="1">
        <v>0</v>
      </c>
      <c r="U389" s="1" t="s">
        <v>48</v>
      </c>
    </row>
    <row r="390" spans="1:21" s="1" customFormat="1">
      <c r="A390" s="4">
        <v>45866</v>
      </c>
      <c r="B390" s="1" t="s">
        <v>48</v>
      </c>
      <c r="C390" s="1">
        <v>0</v>
      </c>
      <c r="D390" s="1" t="s">
        <v>48</v>
      </c>
      <c r="E390" s="1">
        <v>0</v>
      </c>
      <c r="F390" s="1" t="s">
        <v>48</v>
      </c>
      <c r="G390" s="1">
        <v>0</v>
      </c>
      <c r="H390" s="1" t="s">
        <v>48</v>
      </c>
      <c r="I390" s="1">
        <v>0</v>
      </c>
      <c r="J390" s="1" t="s">
        <v>48</v>
      </c>
      <c r="K390" s="1">
        <v>0</v>
      </c>
      <c r="L390" s="1" t="s">
        <v>48</v>
      </c>
      <c r="M390" s="1">
        <v>0</v>
      </c>
      <c r="N390" s="1" t="s">
        <v>48</v>
      </c>
      <c r="O390" s="1">
        <v>0</v>
      </c>
      <c r="P390" s="1" t="s">
        <v>48</v>
      </c>
      <c r="Q390" s="1">
        <v>0</v>
      </c>
      <c r="R390" s="1" t="s">
        <v>48</v>
      </c>
      <c r="S390" s="1">
        <v>0</v>
      </c>
      <c r="T390" s="1">
        <v>0</v>
      </c>
      <c r="U390" s="1">
        <v>0</v>
      </c>
    </row>
    <row r="391" spans="1:21" s="1" customFormat="1">
      <c r="A391" s="4">
        <v>45867</v>
      </c>
      <c r="B391" s="1" t="s">
        <v>48</v>
      </c>
      <c r="C391" s="1">
        <v>0</v>
      </c>
      <c r="D391" s="1">
        <v>0</v>
      </c>
      <c r="E391" s="1" t="s">
        <v>48</v>
      </c>
      <c r="F391" s="1" t="s">
        <v>48</v>
      </c>
      <c r="G391" s="1">
        <v>0</v>
      </c>
      <c r="H391" s="1">
        <v>0</v>
      </c>
      <c r="I391" s="1" t="s">
        <v>48</v>
      </c>
      <c r="J391" s="1" t="s">
        <v>48</v>
      </c>
      <c r="K391" s="1">
        <v>0</v>
      </c>
      <c r="L391" s="1">
        <v>0</v>
      </c>
      <c r="M391" s="1" t="s">
        <v>48</v>
      </c>
      <c r="N391" s="1" t="s">
        <v>48</v>
      </c>
      <c r="O391" s="1">
        <v>0</v>
      </c>
      <c r="P391" s="1">
        <v>0</v>
      </c>
      <c r="Q391" s="1" t="s">
        <v>48</v>
      </c>
      <c r="R391" s="1" t="s">
        <v>48</v>
      </c>
      <c r="S391" s="1">
        <v>0</v>
      </c>
      <c r="T391" s="1">
        <v>0</v>
      </c>
      <c r="U391" s="1">
        <v>0</v>
      </c>
    </row>
    <row r="392" spans="1:21" s="1" customFormat="1">
      <c r="A392" s="4">
        <v>45868</v>
      </c>
      <c r="B392" s="1" t="s">
        <v>48</v>
      </c>
      <c r="C392" s="1">
        <v>0</v>
      </c>
      <c r="D392" s="1">
        <v>0</v>
      </c>
      <c r="E392" s="1">
        <v>0</v>
      </c>
      <c r="F392" s="1" t="s">
        <v>48</v>
      </c>
      <c r="G392" s="1">
        <v>0</v>
      </c>
      <c r="H392" s="1">
        <v>0</v>
      </c>
      <c r="I392" s="1">
        <v>0</v>
      </c>
      <c r="J392" s="1" t="s">
        <v>48</v>
      </c>
      <c r="K392" s="1">
        <v>0</v>
      </c>
      <c r="L392" s="1">
        <v>0</v>
      </c>
      <c r="M392" s="1">
        <v>0</v>
      </c>
      <c r="N392" s="1" t="s">
        <v>48</v>
      </c>
      <c r="O392" s="1">
        <v>0</v>
      </c>
      <c r="P392" s="1">
        <v>0</v>
      </c>
      <c r="Q392" s="1">
        <v>0</v>
      </c>
      <c r="R392" s="1" t="s">
        <v>48</v>
      </c>
      <c r="S392" s="1" t="s">
        <v>48</v>
      </c>
      <c r="T392" s="1">
        <v>0</v>
      </c>
      <c r="U392" s="1">
        <v>0</v>
      </c>
    </row>
    <row r="393" spans="1:21" s="1" customFormat="1">
      <c r="A393" s="4">
        <v>45869</v>
      </c>
      <c r="B393" s="1" t="s">
        <v>48</v>
      </c>
      <c r="C393" s="1">
        <v>0</v>
      </c>
      <c r="D393" s="1">
        <v>0</v>
      </c>
      <c r="E393" s="1">
        <v>0</v>
      </c>
      <c r="F393" s="1" t="s">
        <v>48</v>
      </c>
      <c r="G393" s="1">
        <v>0</v>
      </c>
      <c r="H393" s="1">
        <v>0</v>
      </c>
      <c r="I393" s="1">
        <v>0</v>
      </c>
      <c r="J393" s="1" t="s">
        <v>48</v>
      </c>
      <c r="K393" s="1">
        <v>0</v>
      </c>
      <c r="L393" s="1">
        <v>0</v>
      </c>
      <c r="M393" s="1">
        <v>0</v>
      </c>
      <c r="N393" s="1" t="s">
        <v>48</v>
      </c>
      <c r="O393" s="1">
        <v>0</v>
      </c>
      <c r="P393" s="1">
        <v>0</v>
      </c>
      <c r="Q393" s="1">
        <v>0</v>
      </c>
      <c r="R393" s="1" t="s">
        <v>48</v>
      </c>
      <c r="S393" s="1">
        <v>0</v>
      </c>
      <c r="T393" s="1" t="s">
        <v>48</v>
      </c>
      <c r="U393" s="1">
        <v>0</v>
      </c>
    </row>
    <row r="394" spans="1:21" s="1" customFormat="1">
      <c r="A394" s="4">
        <v>45870</v>
      </c>
      <c r="B394" s="1" t="s">
        <v>48</v>
      </c>
      <c r="C394" s="1">
        <v>0</v>
      </c>
      <c r="D394" s="1">
        <v>0</v>
      </c>
      <c r="E394" s="1">
        <v>0</v>
      </c>
      <c r="F394" s="1" t="s">
        <v>48</v>
      </c>
      <c r="G394" s="1">
        <v>0</v>
      </c>
      <c r="H394" s="1">
        <v>0</v>
      </c>
      <c r="I394" s="1">
        <v>0</v>
      </c>
      <c r="J394" s="1" t="s">
        <v>48</v>
      </c>
      <c r="K394" s="1">
        <v>0</v>
      </c>
      <c r="L394" s="1">
        <v>0</v>
      </c>
      <c r="M394" s="1">
        <v>0</v>
      </c>
      <c r="N394" s="1" t="s">
        <v>48</v>
      </c>
      <c r="O394" s="1" t="s">
        <v>48</v>
      </c>
      <c r="P394" s="1">
        <v>0</v>
      </c>
      <c r="Q394" s="1">
        <v>0</v>
      </c>
      <c r="R394" s="1" t="s">
        <v>48</v>
      </c>
      <c r="S394" s="1">
        <v>0</v>
      </c>
      <c r="T394" s="1">
        <v>0</v>
      </c>
      <c r="U394" s="1" t="s">
        <v>48</v>
      </c>
    </row>
    <row r="395" spans="1:21" s="1" customFormat="1">
      <c r="A395" s="4">
        <v>45873</v>
      </c>
      <c r="B395" s="1" t="s">
        <v>48</v>
      </c>
      <c r="C395" s="1">
        <v>0</v>
      </c>
      <c r="D395" s="1">
        <v>0</v>
      </c>
      <c r="E395" s="1">
        <v>0</v>
      </c>
      <c r="F395" s="1" t="s">
        <v>48</v>
      </c>
      <c r="G395" s="1">
        <v>0</v>
      </c>
      <c r="H395" s="1">
        <v>0</v>
      </c>
      <c r="I395" s="1">
        <v>0</v>
      </c>
      <c r="J395" s="1" t="s">
        <v>48</v>
      </c>
      <c r="K395" s="1">
        <v>0</v>
      </c>
      <c r="L395" s="1">
        <v>0</v>
      </c>
      <c r="M395" s="1">
        <v>0</v>
      </c>
      <c r="N395" s="1" t="s">
        <v>48</v>
      </c>
      <c r="O395" s="1">
        <v>0</v>
      </c>
      <c r="P395" s="1" t="s">
        <v>48</v>
      </c>
      <c r="Q395" s="1">
        <v>0</v>
      </c>
      <c r="R395" s="1" t="s">
        <v>48</v>
      </c>
      <c r="S395" s="1">
        <v>0</v>
      </c>
      <c r="T395" s="1">
        <v>0</v>
      </c>
      <c r="U395" s="1">
        <v>0</v>
      </c>
    </row>
    <row r="396" spans="1:21" s="1" customFormat="1">
      <c r="A396" s="4">
        <v>45874</v>
      </c>
      <c r="B396" s="1" t="s">
        <v>48</v>
      </c>
      <c r="C396" s="1">
        <v>0</v>
      </c>
      <c r="D396" s="1">
        <v>0</v>
      </c>
      <c r="E396" s="1">
        <v>0</v>
      </c>
      <c r="F396" s="1" t="s">
        <v>48</v>
      </c>
      <c r="G396" s="1">
        <v>0</v>
      </c>
      <c r="H396" s="1">
        <v>0</v>
      </c>
      <c r="I396" s="1">
        <v>0</v>
      </c>
      <c r="J396" s="1" t="s">
        <v>48</v>
      </c>
      <c r="K396" s="1">
        <v>0</v>
      </c>
      <c r="L396" s="1">
        <v>0</v>
      </c>
      <c r="M396" s="1">
        <v>0</v>
      </c>
      <c r="N396" s="1" t="s">
        <v>48</v>
      </c>
      <c r="O396" s="1">
        <v>0</v>
      </c>
      <c r="P396" s="1">
        <v>0</v>
      </c>
      <c r="Q396" s="1" t="s">
        <v>48</v>
      </c>
      <c r="R396" s="1" t="s">
        <v>48</v>
      </c>
      <c r="S396" s="1">
        <v>0</v>
      </c>
      <c r="T396" s="1">
        <v>0</v>
      </c>
      <c r="U396" s="1">
        <v>0</v>
      </c>
    </row>
    <row r="397" spans="1:21" s="1" customFormat="1">
      <c r="A397" s="4">
        <v>45875</v>
      </c>
      <c r="B397" s="1" t="s">
        <v>48</v>
      </c>
      <c r="C397" s="1">
        <v>0</v>
      </c>
      <c r="D397" s="1">
        <v>0</v>
      </c>
      <c r="E397" s="1">
        <v>0</v>
      </c>
      <c r="F397" s="1" t="s">
        <v>48</v>
      </c>
      <c r="G397" s="1">
        <v>0</v>
      </c>
      <c r="H397" s="1">
        <v>0</v>
      </c>
      <c r="I397" s="1">
        <v>0</v>
      </c>
      <c r="J397" s="1" t="s">
        <v>48</v>
      </c>
      <c r="K397" s="1">
        <v>0</v>
      </c>
      <c r="L397" s="1">
        <v>0</v>
      </c>
      <c r="M397" s="1">
        <v>0</v>
      </c>
      <c r="N397" s="1" t="s">
        <v>48</v>
      </c>
      <c r="O397" s="1">
        <v>0</v>
      </c>
      <c r="P397" s="1">
        <v>0</v>
      </c>
      <c r="Q397" s="1">
        <v>0</v>
      </c>
      <c r="R397" s="1" t="s">
        <v>48</v>
      </c>
      <c r="S397" s="1" t="s">
        <v>48</v>
      </c>
      <c r="T397" s="1">
        <v>0</v>
      </c>
      <c r="U397" s="1">
        <v>0</v>
      </c>
    </row>
    <row r="398" spans="1:21" s="1" customFormat="1">
      <c r="A398" s="4">
        <v>45876</v>
      </c>
      <c r="B398" s="1" t="s">
        <v>48</v>
      </c>
      <c r="C398" s="1">
        <v>0</v>
      </c>
      <c r="D398" s="1">
        <v>0</v>
      </c>
      <c r="E398" s="1">
        <v>0</v>
      </c>
      <c r="F398" s="1" t="s">
        <v>48</v>
      </c>
      <c r="G398" s="1">
        <v>0</v>
      </c>
      <c r="H398" s="1">
        <v>0</v>
      </c>
      <c r="I398" s="1">
        <v>0</v>
      </c>
      <c r="J398" s="1" t="s">
        <v>48</v>
      </c>
      <c r="K398" s="1">
        <v>0</v>
      </c>
      <c r="L398" s="1">
        <v>0</v>
      </c>
      <c r="M398" s="1">
        <v>0</v>
      </c>
      <c r="N398" s="1" t="s">
        <v>48</v>
      </c>
      <c r="O398" s="1">
        <v>0</v>
      </c>
      <c r="P398" s="1">
        <v>0</v>
      </c>
      <c r="Q398" s="1">
        <v>0</v>
      </c>
      <c r="R398" s="1" t="s">
        <v>48</v>
      </c>
      <c r="S398" s="1">
        <v>0</v>
      </c>
      <c r="T398" s="1" t="s">
        <v>48</v>
      </c>
      <c r="U398" s="1">
        <v>0</v>
      </c>
    </row>
    <row r="399" spans="1:21" s="1" customFormat="1">
      <c r="A399" s="4">
        <v>45877</v>
      </c>
      <c r="B399" s="1" t="s">
        <v>48</v>
      </c>
      <c r="C399" s="1">
        <v>0</v>
      </c>
      <c r="D399" s="1">
        <v>0</v>
      </c>
      <c r="E399" s="1">
        <v>0</v>
      </c>
      <c r="F399" s="1" t="s">
        <v>48</v>
      </c>
      <c r="G399" s="1">
        <v>0</v>
      </c>
      <c r="H399" s="1">
        <v>0</v>
      </c>
      <c r="I399" s="1">
        <v>0</v>
      </c>
      <c r="J399" s="1" t="s">
        <v>48</v>
      </c>
      <c r="K399" s="1">
        <v>0</v>
      </c>
      <c r="L399" s="1">
        <v>0</v>
      </c>
      <c r="M399" s="1">
        <v>0</v>
      </c>
      <c r="N399" s="1" t="s">
        <v>48</v>
      </c>
      <c r="O399" s="1" t="s">
        <v>48</v>
      </c>
      <c r="P399" s="1">
        <v>0</v>
      </c>
      <c r="Q399" s="1">
        <v>0</v>
      </c>
      <c r="R399" s="1" t="s">
        <v>48</v>
      </c>
      <c r="S399" s="1">
        <v>0</v>
      </c>
      <c r="T399" s="1">
        <v>0</v>
      </c>
      <c r="U399" s="1" t="s">
        <v>48</v>
      </c>
    </row>
    <row r="400" spans="1:21" s="1" customFormat="1">
      <c r="A400" s="4">
        <v>45880</v>
      </c>
      <c r="B400" s="1" t="s">
        <v>48</v>
      </c>
      <c r="C400" s="1">
        <v>0</v>
      </c>
      <c r="D400" s="1">
        <v>0</v>
      </c>
      <c r="E400" s="1">
        <v>0</v>
      </c>
      <c r="F400" s="1" t="s">
        <v>48</v>
      </c>
      <c r="G400" s="1">
        <v>0</v>
      </c>
      <c r="H400" s="1">
        <v>0</v>
      </c>
      <c r="I400" s="1">
        <v>0</v>
      </c>
      <c r="J400" s="1" t="s">
        <v>48</v>
      </c>
      <c r="K400" s="1">
        <v>0</v>
      </c>
      <c r="L400" s="1">
        <v>0</v>
      </c>
      <c r="M400" s="1">
        <v>0</v>
      </c>
      <c r="N400" s="1" t="s">
        <v>48</v>
      </c>
      <c r="O400" s="1">
        <v>0</v>
      </c>
      <c r="P400" s="1" t="s">
        <v>48</v>
      </c>
      <c r="Q400" s="1">
        <v>0</v>
      </c>
      <c r="R400" s="1" t="s">
        <v>48</v>
      </c>
      <c r="S400" s="1">
        <v>0</v>
      </c>
      <c r="T400" s="1">
        <v>0</v>
      </c>
      <c r="U400" s="1">
        <v>0</v>
      </c>
    </row>
    <row r="401" spans="1:21" s="1" customFormat="1">
      <c r="A401" s="4">
        <v>45881</v>
      </c>
      <c r="B401" s="1" t="s">
        <v>48</v>
      </c>
      <c r="C401" s="1">
        <v>0</v>
      </c>
      <c r="D401" s="1">
        <v>0</v>
      </c>
      <c r="E401" s="1">
        <v>0</v>
      </c>
      <c r="F401" s="1" t="s">
        <v>48</v>
      </c>
      <c r="G401" s="1">
        <v>0</v>
      </c>
      <c r="H401" s="1">
        <v>0</v>
      </c>
      <c r="I401" s="1">
        <v>0</v>
      </c>
      <c r="J401" s="1" t="s">
        <v>48</v>
      </c>
      <c r="K401" s="1">
        <v>0</v>
      </c>
      <c r="L401" s="1">
        <v>0</v>
      </c>
      <c r="M401" s="1">
        <v>0</v>
      </c>
      <c r="N401" s="1" t="s">
        <v>48</v>
      </c>
      <c r="O401" s="1">
        <v>0</v>
      </c>
      <c r="P401" s="1">
        <v>0</v>
      </c>
      <c r="Q401" s="1" t="s">
        <v>48</v>
      </c>
      <c r="R401" s="1" t="s">
        <v>48</v>
      </c>
      <c r="S401" s="1">
        <v>0</v>
      </c>
      <c r="T401" s="1">
        <v>0</v>
      </c>
      <c r="U401" s="1">
        <v>0</v>
      </c>
    </row>
    <row r="402" spans="1:21" s="1" customFormat="1">
      <c r="A402" s="4">
        <v>45882</v>
      </c>
      <c r="B402" s="1" t="s">
        <v>48</v>
      </c>
      <c r="C402" s="1">
        <v>0</v>
      </c>
      <c r="D402" s="1">
        <v>0</v>
      </c>
      <c r="E402" s="1">
        <v>0</v>
      </c>
      <c r="F402" s="1" t="s">
        <v>48</v>
      </c>
      <c r="G402" s="1">
        <v>0</v>
      </c>
      <c r="H402" s="1">
        <v>0</v>
      </c>
      <c r="I402" s="1">
        <v>0</v>
      </c>
      <c r="J402" s="1" t="s">
        <v>48</v>
      </c>
      <c r="K402" s="1">
        <v>0</v>
      </c>
      <c r="L402" s="1">
        <v>0</v>
      </c>
      <c r="M402" s="1">
        <v>0</v>
      </c>
      <c r="N402" s="1" t="s">
        <v>48</v>
      </c>
      <c r="O402" s="1">
        <v>0</v>
      </c>
      <c r="P402" s="1">
        <v>0</v>
      </c>
      <c r="Q402" s="1">
        <v>0</v>
      </c>
      <c r="R402" s="1" t="s">
        <v>48</v>
      </c>
      <c r="S402" s="1" t="s">
        <v>48</v>
      </c>
      <c r="T402" s="1" t="s">
        <v>48</v>
      </c>
      <c r="U402" s="1">
        <v>0</v>
      </c>
    </row>
    <row r="403" spans="1:21" s="1" customFormat="1">
      <c r="A403" s="4">
        <v>45883</v>
      </c>
      <c r="B403" s="1" t="s">
        <v>48</v>
      </c>
      <c r="C403" s="1">
        <v>0</v>
      </c>
      <c r="D403" s="1">
        <v>0</v>
      </c>
      <c r="E403" s="1">
        <v>0</v>
      </c>
      <c r="F403" s="1" t="s">
        <v>48</v>
      </c>
      <c r="G403" s="1">
        <v>0</v>
      </c>
      <c r="H403" s="1">
        <v>0</v>
      </c>
      <c r="I403" s="1">
        <v>0</v>
      </c>
      <c r="J403" s="1" t="s">
        <v>48</v>
      </c>
      <c r="K403" s="1">
        <v>0</v>
      </c>
      <c r="L403" s="1">
        <v>0</v>
      </c>
      <c r="M403" s="1">
        <v>0</v>
      </c>
      <c r="N403" s="1" t="s">
        <v>48</v>
      </c>
      <c r="O403" s="1">
        <v>0</v>
      </c>
      <c r="P403" s="1">
        <v>0</v>
      </c>
      <c r="Q403" s="1">
        <v>0</v>
      </c>
      <c r="R403" s="1" t="s">
        <v>48</v>
      </c>
      <c r="S403" s="1">
        <v>0</v>
      </c>
      <c r="T403" s="1">
        <v>0</v>
      </c>
      <c r="U403" s="1" t="s">
        <v>48</v>
      </c>
    </row>
    <row r="404" spans="1:21" s="1" customFormat="1">
      <c r="A404" s="4">
        <v>45887</v>
      </c>
      <c r="B404" s="1" t="s">
        <v>48</v>
      </c>
      <c r="C404" s="1">
        <v>0</v>
      </c>
      <c r="D404" s="1">
        <v>0</v>
      </c>
      <c r="E404" s="1">
        <v>0</v>
      </c>
      <c r="F404" s="1" t="s">
        <v>48</v>
      </c>
      <c r="G404" s="1">
        <v>0</v>
      </c>
      <c r="H404" s="1">
        <v>0</v>
      </c>
      <c r="I404" s="1">
        <v>0</v>
      </c>
      <c r="J404" s="1" t="s">
        <v>48</v>
      </c>
      <c r="K404" s="1">
        <v>0</v>
      </c>
      <c r="L404" s="1">
        <v>0</v>
      </c>
      <c r="M404" s="1">
        <v>0</v>
      </c>
      <c r="N404" s="1" t="s">
        <v>48</v>
      </c>
      <c r="O404" s="1" t="s">
        <v>48</v>
      </c>
      <c r="P404" s="1" t="s">
        <v>48</v>
      </c>
      <c r="Q404" s="1">
        <v>0</v>
      </c>
      <c r="R404" s="1" t="s">
        <v>48</v>
      </c>
      <c r="S404" s="1">
        <v>0</v>
      </c>
      <c r="T404" s="1">
        <v>0</v>
      </c>
      <c r="U404" s="1">
        <v>0</v>
      </c>
    </row>
    <row r="405" spans="1:21" s="1" customFormat="1">
      <c r="A405" s="4">
        <v>45888</v>
      </c>
      <c r="B405" s="1" t="s">
        <v>48</v>
      </c>
      <c r="C405" s="1">
        <v>0</v>
      </c>
      <c r="D405" s="1">
        <v>0</v>
      </c>
      <c r="E405" s="1">
        <v>0</v>
      </c>
      <c r="F405" s="1" t="s">
        <v>48</v>
      </c>
      <c r="G405" s="1">
        <v>0</v>
      </c>
      <c r="H405" s="1">
        <v>0</v>
      </c>
      <c r="I405" s="1">
        <v>0</v>
      </c>
      <c r="J405" s="1" t="s">
        <v>48</v>
      </c>
      <c r="K405" s="1">
        <v>0</v>
      </c>
      <c r="L405" s="1">
        <v>0</v>
      </c>
      <c r="M405" s="1">
        <v>0</v>
      </c>
      <c r="N405" s="1" t="s">
        <v>48</v>
      </c>
      <c r="O405" s="1">
        <v>0</v>
      </c>
      <c r="P405" s="1">
        <v>0</v>
      </c>
      <c r="Q405" s="1" t="s">
        <v>48</v>
      </c>
      <c r="R405" s="1" t="s">
        <v>48</v>
      </c>
      <c r="S405" s="1">
        <v>0</v>
      </c>
      <c r="T405" s="1">
        <v>0</v>
      </c>
      <c r="U405" s="1">
        <v>0</v>
      </c>
    </row>
    <row r="406" spans="1:21" s="1" customFormat="1">
      <c r="A406" s="4">
        <v>45889</v>
      </c>
      <c r="B406" s="1" t="s">
        <v>48</v>
      </c>
      <c r="C406" s="1">
        <v>0</v>
      </c>
      <c r="D406" s="1">
        <v>0</v>
      </c>
      <c r="E406" s="1">
        <v>0</v>
      </c>
      <c r="F406" s="1" t="s">
        <v>48</v>
      </c>
      <c r="G406" s="1">
        <v>0</v>
      </c>
      <c r="H406" s="1">
        <v>0</v>
      </c>
      <c r="I406" s="1">
        <v>0</v>
      </c>
      <c r="J406" s="1" t="s">
        <v>48</v>
      </c>
      <c r="K406" s="1">
        <v>0</v>
      </c>
      <c r="L406" s="1">
        <v>0</v>
      </c>
      <c r="M406" s="1">
        <v>0</v>
      </c>
      <c r="N406" s="1" t="s">
        <v>48</v>
      </c>
      <c r="O406" s="1">
        <v>0</v>
      </c>
      <c r="P406" s="1">
        <v>0</v>
      </c>
      <c r="Q406" s="1">
        <v>0</v>
      </c>
      <c r="R406" s="1" t="s">
        <v>48</v>
      </c>
      <c r="S406" s="1" t="s">
        <v>48</v>
      </c>
      <c r="T406" s="1">
        <v>0</v>
      </c>
      <c r="U406" s="1">
        <v>0</v>
      </c>
    </row>
    <row r="407" spans="1:21" s="1" customFormat="1">
      <c r="A407" s="4">
        <v>45890</v>
      </c>
      <c r="B407" s="1" t="s">
        <v>48</v>
      </c>
      <c r="C407" s="1" t="s">
        <v>48</v>
      </c>
      <c r="D407" s="1">
        <v>0</v>
      </c>
      <c r="E407" s="1">
        <v>0</v>
      </c>
      <c r="F407" s="1" t="s">
        <v>48</v>
      </c>
      <c r="G407" s="1" t="s">
        <v>48</v>
      </c>
      <c r="H407" s="1">
        <v>0</v>
      </c>
      <c r="I407" s="1">
        <v>0</v>
      </c>
      <c r="J407" s="1" t="s">
        <v>48</v>
      </c>
      <c r="K407" s="1" t="s">
        <v>48</v>
      </c>
      <c r="L407" s="1">
        <v>0</v>
      </c>
      <c r="M407" s="1">
        <v>0</v>
      </c>
      <c r="N407" s="1" t="s">
        <v>48</v>
      </c>
      <c r="O407" s="1">
        <v>0</v>
      </c>
      <c r="P407" s="1">
        <v>0</v>
      </c>
      <c r="Q407" s="1">
        <v>0</v>
      </c>
      <c r="R407" s="1" t="s">
        <v>48</v>
      </c>
      <c r="S407" s="1">
        <v>0</v>
      </c>
      <c r="T407" s="1" t="s">
        <v>48</v>
      </c>
      <c r="U407" s="1">
        <v>0</v>
      </c>
    </row>
    <row r="408" spans="1:21" s="1" customFormat="1">
      <c r="A408" s="4">
        <v>45891</v>
      </c>
      <c r="B408" s="1" t="s">
        <v>48</v>
      </c>
      <c r="C408" s="1">
        <v>0</v>
      </c>
      <c r="D408" s="1" t="s">
        <v>48</v>
      </c>
      <c r="E408" s="1">
        <v>0</v>
      </c>
      <c r="F408" s="1" t="s">
        <v>48</v>
      </c>
      <c r="G408" s="1">
        <v>0</v>
      </c>
      <c r="H408" s="1" t="s">
        <v>48</v>
      </c>
      <c r="I408" s="1">
        <v>0</v>
      </c>
      <c r="J408" s="1" t="s">
        <v>48</v>
      </c>
      <c r="K408" s="1">
        <v>0</v>
      </c>
      <c r="L408" s="1" t="s">
        <v>48</v>
      </c>
      <c r="M408" s="1">
        <v>0</v>
      </c>
      <c r="N408" s="1" t="s">
        <v>48</v>
      </c>
      <c r="O408" s="1" t="s">
        <v>48</v>
      </c>
      <c r="P408" s="1" t="s">
        <v>48</v>
      </c>
      <c r="Q408" s="1">
        <v>0</v>
      </c>
      <c r="R408" s="1" t="s">
        <v>48</v>
      </c>
      <c r="S408" s="1">
        <v>0</v>
      </c>
      <c r="T408" s="1">
        <v>0</v>
      </c>
      <c r="U408" s="1" t="s">
        <v>48</v>
      </c>
    </row>
    <row r="409" spans="1:21" s="1" customFormat="1">
      <c r="A409" s="4">
        <v>45894</v>
      </c>
      <c r="B409" s="1" t="s">
        <v>48</v>
      </c>
      <c r="C409" s="1">
        <v>0</v>
      </c>
      <c r="D409" s="1">
        <v>0</v>
      </c>
      <c r="E409" s="1" t="s">
        <v>48</v>
      </c>
      <c r="F409" s="1" t="s">
        <v>48</v>
      </c>
      <c r="G409" s="1">
        <v>0</v>
      </c>
      <c r="H409" s="1">
        <v>0</v>
      </c>
      <c r="I409" s="1" t="s">
        <v>48</v>
      </c>
      <c r="J409" s="1" t="s">
        <v>48</v>
      </c>
      <c r="K409" s="1">
        <v>0</v>
      </c>
      <c r="L409" s="1">
        <v>0</v>
      </c>
      <c r="M409" s="1" t="s">
        <v>48</v>
      </c>
      <c r="N409" s="1" t="s">
        <v>48</v>
      </c>
      <c r="O409" s="1">
        <v>0</v>
      </c>
      <c r="P409" s="1">
        <v>0</v>
      </c>
      <c r="Q409" s="1" t="s">
        <v>48</v>
      </c>
      <c r="R409" s="1" t="s">
        <v>48</v>
      </c>
      <c r="S409" s="1">
        <v>0</v>
      </c>
      <c r="T409" s="1">
        <v>0</v>
      </c>
      <c r="U409" s="1">
        <v>0</v>
      </c>
    </row>
    <row r="410" spans="1:21" s="1" customFormat="1">
      <c r="A410" s="4">
        <v>45895</v>
      </c>
      <c r="B410" s="1" t="s">
        <v>48</v>
      </c>
      <c r="C410" s="1">
        <v>0</v>
      </c>
      <c r="D410" s="1">
        <v>0</v>
      </c>
      <c r="E410" s="1">
        <v>0</v>
      </c>
      <c r="F410" s="1" t="s">
        <v>48</v>
      </c>
      <c r="G410" s="1">
        <v>0</v>
      </c>
      <c r="H410" s="1">
        <v>0</v>
      </c>
      <c r="I410" s="1">
        <v>0</v>
      </c>
      <c r="J410" s="1" t="s">
        <v>48</v>
      </c>
      <c r="K410" s="1">
        <v>0</v>
      </c>
      <c r="L410" s="1">
        <v>0</v>
      </c>
      <c r="M410" s="1">
        <v>0</v>
      </c>
      <c r="N410" s="1" t="s">
        <v>48</v>
      </c>
      <c r="O410" s="1">
        <v>0</v>
      </c>
      <c r="P410" s="1">
        <v>0</v>
      </c>
      <c r="Q410" s="1">
        <v>0</v>
      </c>
      <c r="R410" s="1" t="s">
        <v>48</v>
      </c>
      <c r="S410" s="1">
        <v>0</v>
      </c>
      <c r="T410" s="1">
        <v>0</v>
      </c>
      <c r="U410" s="1">
        <v>0</v>
      </c>
    </row>
    <row r="411" spans="1:21" s="1" customFormat="1">
      <c r="A411" s="4">
        <v>45897</v>
      </c>
      <c r="B411" s="1" t="s">
        <v>48</v>
      </c>
      <c r="C411" s="1">
        <v>0</v>
      </c>
      <c r="D411" s="1">
        <v>0</v>
      </c>
      <c r="E411" s="1">
        <v>0</v>
      </c>
      <c r="F411" s="1" t="s">
        <v>48</v>
      </c>
      <c r="G411" s="1">
        <v>0</v>
      </c>
      <c r="H411" s="1">
        <v>0</v>
      </c>
      <c r="I411" s="1">
        <v>0</v>
      </c>
      <c r="J411" s="1" t="s">
        <v>48</v>
      </c>
      <c r="K411" s="1">
        <v>0</v>
      </c>
      <c r="L411" s="1">
        <v>0</v>
      </c>
      <c r="M411" s="1">
        <v>0</v>
      </c>
      <c r="N411" s="1" t="s">
        <v>48</v>
      </c>
      <c r="O411" s="1">
        <v>0</v>
      </c>
      <c r="P411" s="1">
        <v>0</v>
      </c>
      <c r="Q411" s="1">
        <v>0</v>
      </c>
      <c r="R411" s="1" t="s">
        <v>48</v>
      </c>
      <c r="S411" s="1">
        <v>0</v>
      </c>
      <c r="T411" s="1">
        <v>0</v>
      </c>
      <c r="U411" s="1">
        <v>0</v>
      </c>
    </row>
    <row r="412" spans="1:21" s="1" customFormat="1">
      <c r="A412" s="4">
        <v>45898</v>
      </c>
      <c r="B412" s="1" t="s">
        <v>48</v>
      </c>
      <c r="C412" s="1">
        <v>0</v>
      </c>
      <c r="D412" s="1">
        <v>0</v>
      </c>
      <c r="E412" s="1">
        <v>0</v>
      </c>
      <c r="F412" s="1" t="s">
        <v>48</v>
      </c>
      <c r="G412" s="1">
        <v>0</v>
      </c>
      <c r="H412" s="1">
        <v>0</v>
      </c>
      <c r="I412" s="1">
        <v>0</v>
      </c>
      <c r="J412" s="1" t="s">
        <v>48</v>
      </c>
      <c r="K412" s="1">
        <v>0</v>
      </c>
      <c r="L412" s="1">
        <v>0</v>
      </c>
      <c r="M412" s="1">
        <v>0</v>
      </c>
      <c r="N412" s="1" t="s">
        <v>48</v>
      </c>
      <c r="O412" s="1" t="s">
        <v>48</v>
      </c>
      <c r="P412" s="1" t="s">
        <v>48</v>
      </c>
      <c r="Q412" s="1" t="s">
        <v>48</v>
      </c>
      <c r="R412" s="1" t="s">
        <v>48</v>
      </c>
      <c r="S412" s="1" t="s">
        <v>48</v>
      </c>
      <c r="T412" s="1">
        <v>0</v>
      </c>
      <c r="U412" s="1">
        <v>0</v>
      </c>
    </row>
    <row r="413" spans="1:21" s="1" customFormat="1">
      <c r="A413" s="4">
        <v>45901</v>
      </c>
      <c r="B413" s="1" t="s">
        <v>48</v>
      </c>
      <c r="C413" s="1">
        <v>0</v>
      </c>
      <c r="D413" s="1">
        <v>0</v>
      </c>
      <c r="E413" s="1">
        <v>0</v>
      </c>
      <c r="F413" s="1" t="s">
        <v>48</v>
      </c>
      <c r="G413" s="1">
        <v>0</v>
      </c>
      <c r="H413" s="1">
        <v>0</v>
      </c>
      <c r="I413" s="1">
        <v>0</v>
      </c>
      <c r="J413" s="1" t="s">
        <v>48</v>
      </c>
      <c r="K413" s="1">
        <v>0</v>
      </c>
      <c r="L413" s="1">
        <v>0</v>
      </c>
      <c r="M413" s="1">
        <v>0</v>
      </c>
      <c r="N413" s="1" t="s">
        <v>48</v>
      </c>
      <c r="O413" s="1">
        <v>0</v>
      </c>
      <c r="P413" s="1">
        <v>0</v>
      </c>
      <c r="Q413" s="1">
        <v>0</v>
      </c>
      <c r="R413" s="1" t="s">
        <v>48</v>
      </c>
      <c r="S413" s="1">
        <v>0</v>
      </c>
      <c r="T413" s="1" t="s">
        <v>48</v>
      </c>
      <c r="U413" s="1">
        <v>0</v>
      </c>
    </row>
    <row r="414" spans="1:21" s="1" customFormat="1">
      <c r="A414" s="4">
        <v>45902</v>
      </c>
      <c r="B414" s="1" t="s">
        <v>48</v>
      </c>
      <c r="C414" s="1">
        <v>0</v>
      </c>
      <c r="D414" s="1">
        <v>0</v>
      </c>
      <c r="E414" s="1">
        <v>0</v>
      </c>
      <c r="F414" s="1" t="s">
        <v>48</v>
      </c>
      <c r="G414" s="1">
        <v>0</v>
      </c>
      <c r="H414" s="1">
        <v>0</v>
      </c>
      <c r="I414" s="1">
        <v>0</v>
      </c>
      <c r="J414" s="1" t="s">
        <v>48</v>
      </c>
      <c r="K414" s="1">
        <v>0</v>
      </c>
      <c r="L414" s="1">
        <v>0</v>
      </c>
      <c r="M414" s="1">
        <v>0</v>
      </c>
      <c r="N414" s="1" t="s">
        <v>48</v>
      </c>
      <c r="O414" s="1">
        <v>0</v>
      </c>
      <c r="P414" s="1">
        <v>0</v>
      </c>
      <c r="Q414" s="1">
        <v>0</v>
      </c>
      <c r="R414" s="1" t="s">
        <v>48</v>
      </c>
      <c r="S414" s="1">
        <v>0</v>
      </c>
      <c r="T414" s="1">
        <v>0</v>
      </c>
      <c r="U414" s="1" t="s">
        <v>48</v>
      </c>
    </row>
    <row r="415" spans="1:21" s="1" customFormat="1">
      <c r="A415" s="4">
        <v>45903</v>
      </c>
      <c r="B415" s="1" t="s">
        <v>48</v>
      </c>
      <c r="C415" s="1">
        <v>0</v>
      </c>
      <c r="D415" s="1">
        <v>0</v>
      </c>
      <c r="E415" s="1">
        <v>0</v>
      </c>
      <c r="F415" s="1" t="s">
        <v>48</v>
      </c>
      <c r="G415" s="1">
        <v>0</v>
      </c>
      <c r="H415" s="1">
        <v>0</v>
      </c>
      <c r="I415" s="1">
        <v>0</v>
      </c>
      <c r="J415" s="1" t="s">
        <v>48</v>
      </c>
      <c r="K415" s="1">
        <v>0</v>
      </c>
      <c r="L415" s="1">
        <v>0</v>
      </c>
      <c r="M415" s="1">
        <v>0</v>
      </c>
      <c r="N415" s="1" t="s">
        <v>48</v>
      </c>
      <c r="O415" s="1" t="s">
        <v>48</v>
      </c>
      <c r="P415" s="1">
        <v>0</v>
      </c>
      <c r="Q415" s="1">
        <v>0</v>
      </c>
      <c r="R415" s="1" t="s">
        <v>48</v>
      </c>
      <c r="S415" s="1">
        <v>0</v>
      </c>
      <c r="T415" s="1">
        <v>0</v>
      </c>
      <c r="U415" s="1">
        <v>0</v>
      </c>
    </row>
    <row r="416" spans="1:21" s="1" customFormat="1">
      <c r="A416" s="4">
        <v>45904</v>
      </c>
      <c r="B416" s="1" t="s">
        <v>48</v>
      </c>
      <c r="C416" s="1">
        <v>0</v>
      </c>
      <c r="D416" s="1">
        <v>0</v>
      </c>
      <c r="E416" s="1">
        <v>0</v>
      </c>
      <c r="F416" s="1" t="s">
        <v>48</v>
      </c>
      <c r="G416" s="1">
        <v>0</v>
      </c>
      <c r="H416" s="1">
        <v>0</v>
      </c>
      <c r="I416" s="1">
        <v>0</v>
      </c>
      <c r="J416" s="1" t="s">
        <v>48</v>
      </c>
      <c r="K416" s="1">
        <v>0</v>
      </c>
      <c r="L416" s="1">
        <v>0</v>
      </c>
      <c r="M416" s="1">
        <v>0</v>
      </c>
      <c r="N416" s="1" t="s">
        <v>48</v>
      </c>
      <c r="O416" s="1">
        <v>0</v>
      </c>
      <c r="P416" s="1" t="s">
        <v>48</v>
      </c>
      <c r="Q416" s="1">
        <v>0</v>
      </c>
      <c r="R416" s="1" t="s">
        <v>48</v>
      </c>
      <c r="S416" s="1">
        <v>0</v>
      </c>
      <c r="T416" s="1">
        <v>0</v>
      </c>
      <c r="U416" s="1">
        <v>0</v>
      </c>
    </row>
    <row r="417" spans="1:21" s="1" customFormat="1">
      <c r="A417" s="4">
        <v>45905</v>
      </c>
      <c r="B417" s="1" t="s">
        <v>48</v>
      </c>
      <c r="C417" s="1">
        <v>0</v>
      </c>
      <c r="D417" s="1">
        <v>0</v>
      </c>
      <c r="E417" s="1">
        <v>0</v>
      </c>
      <c r="F417" s="1" t="s">
        <v>48</v>
      </c>
      <c r="G417" s="1">
        <v>0</v>
      </c>
      <c r="H417" s="1">
        <v>0</v>
      </c>
      <c r="I417" s="1">
        <v>0</v>
      </c>
      <c r="J417" s="1" t="s">
        <v>48</v>
      </c>
      <c r="K417" s="1">
        <v>0</v>
      </c>
      <c r="L417" s="1">
        <v>0</v>
      </c>
      <c r="M417" s="1">
        <v>0</v>
      </c>
      <c r="N417" s="1" t="s">
        <v>48</v>
      </c>
      <c r="O417" s="1">
        <v>0</v>
      </c>
      <c r="P417" s="1">
        <v>0</v>
      </c>
      <c r="Q417" s="1" t="s">
        <v>48</v>
      </c>
      <c r="R417" s="1" t="s">
        <v>48</v>
      </c>
      <c r="S417" s="1" t="s">
        <v>48</v>
      </c>
      <c r="T417" s="1">
        <v>0</v>
      </c>
      <c r="U417" s="1">
        <v>0</v>
      </c>
    </row>
    <row r="418" spans="1:21" s="1" customFormat="1">
      <c r="A418" s="4">
        <v>45908</v>
      </c>
      <c r="B418" s="1" t="s">
        <v>48</v>
      </c>
      <c r="C418" s="1">
        <v>0</v>
      </c>
      <c r="D418" s="1">
        <v>0</v>
      </c>
      <c r="E418" s="1">
        <v>0</v>
      </c>
      <c r="F418" s="1" t="s">
        <v>48</v>
      </c>
      <c r="G418" s="1">
        <v>0</v>
      </c>
      <c r="H418" s="1">
        <v>0</v>
      </c>
      <c r="I418" s="1">
        <v>0</v>
      </c>
      <c r="J418" s="1" t="s">
        <v>48</v>
      </c>
      <c r="K418" s="1">
        <v>0</v>
      </c>
      <c r="L418" s="1">
        <v>0</v>
      </c>
      <c r="M418" s="1">
        <v>0</v>
      </c>
      <c r="N418" s="1" t="s">
        <v>48</v>
      </c>
      <c r="O418" s="1">
        <v>0</v>
      </c>
      <c r="P418" s="1">
        <v>0</v>
      </c>
      <c r="Q418" s="1">
        <v>0</v>
      </c>
      <c r="R418" s="1" t="s">
        <v>48</v>
      </c>
      <c r="S418" s="1">
        <v>0</v>
      </c>
      <c r="T418" s="1" t="s">
        <v>48</v>
      </c>
      <c r="U418" s="1">
        <v>0</v>
      </c>
    </row>
    <row r="419" spans="1:21" s="1" customFormat="1">
      <c r="A419" s="4">
        <v>45909</v>
      </c>
      <c r="B419" s="1" t="s">
        <v>48</v>
      </c>
      <c r="C419" s="1">
        <v>0</v>
      </c>
      <c r="D419" s="1">
        <v>0</v>
      </c>
      <c r="E419" s="1">
        <v>0</v>
      </c>
      <c r="F419" s="1" t="s">
        <v>48</v>
      </c>
      <c r="G419" s="1">
        <v>0</v>
      </c>
      <c r="H419" s="1">
        <v>0</v>
      </c>
      <c r="I419" s="1">
        <v>0</v>
      </c>
      <c r="J419" s="1" t="s">
        <v>48</v>
      </c>
      <c r="K419" s="1">
        <v>0</v>
      </c>
      <c r="L419" s="1">
        <v>0</v>
      </c>
      <c r="M419" s="1">
        <v>0</v>
      </c>
      <c r="N419" s="1" t="s">
        <v>48</v>
      </c>
      <c r="O419" s="1">
        <v>0</v>
      </c>
      <c r="P419" s="1">
        <v>0</v>
      </c>
      <c r="Q419" s="1">
        <v>0</v>
      </c>
      <c r="R419" s="1" t="s">
        <v>48</v>
      </c>
      <c r="S419" s="1">
        <v>0</v>
      </c>
      <c r="T419" s="1">
        <v>0</v>
      </c>
      <c r="U419" s="1" t="s">
        <v>48</v>
      </c>
    </row>
    <row r="420" spans="1:21" s="1" customFormat="1">
      <c r="A420" s="4">
        <v>45910</v>
      </c>
      <c r="B420" s="1" t="s">
        <v>48</v>
      </c>
      <c r="C420" s="1">
        <v>0</v>
      </c>
      <c r="D420" s="1">
        <v>0</v>
      </c>
      <c r="E420" s="1">
        <v>0</v>
      </c>
      <c r="F420" s="1" t="s">
        <v>48</v>
      </c>
      <c r="G420" s="1">
        <v>0</v>
      </c>
      <c r="H420" s="1">
        <v>0</v>
      </c>
      <c r="I420" s="1">
        <v>0</v>
      </c>
      <c r="J420" s="1" t="s">
        <v>48</v>
      </c>
      <c r="K420" s="1">
        <v>0</v>
      </c>
      <c r="L420" s="1">
        <v>0</v>
      </c>
      <c r="M420" s="1">
        <v>0</v>
      </c>
      <c r="N420" s="1" t="s">
        <v>48</v>
      </c>
      <c r="O420" s="1" t="s">
        <v>48</v>
      </c>
      <c r="P420" s="1">
        <v>0</v>
      </c>
      <c r="Q420" s="1">
        <v>0</v>
      </c>
      <c r="R420" s="1" t="s">
        <v>48</v>
      </c>
      <c r="S420" s="1">
        <v>0</v>
      </c>
      <c r="T420" s="1">
        <v>0</v>
      </c>
      <c r="U420" s="1">
        <v>0</v>
      </c>
    </row>
    <row r="421" spans="1:21" s="1" customFormat="1">
      <c r="A421" s="4">
        <v>45911</v>
      </c>
      <c r="B421" s="1" t="s">
        <v>48</v>
      </c>
      <c r="C421" s="1">
        <v>0</v>
      </c>
      <c r="D421" s="1">
        <v>0</v>
      </c>
      <c r="E421" s="1">
        <v>0</v>
      </c>
      <c r="F421" s="1" t="s">
        <v>48</v>
      </c>
      <c r="G421" s="1">
        <v>0</v>
      </c>
      <c r="H421" s="1">
        <v>0</v>
      </c>
      <c r="I421" s="1">
        <v>0</v>
      </c>
      <c r="J421" s="1" t="s">
        <v>48</v>
      </c>
      <c r="K421" s="1">
        <v>0</v>
      </c>
      <c r="L421" s="1">
        <v>0</v>
      </c>
      <c r="M421" s="1">
        <v>0</v>
      </c>
      <c r="N421" s="1" t="s">
        <v>48</v>
      </c>
      <c r="O421" s="1">
        <v>0</v>
      </c>
      <c r="P421" s="1" t="s">
        <v>48</v>
      </c>
      <c r="Q421" s="1">
        <v>0</v>
      </c>
      <c r="R421" s="1" t="s">
        <v>48</v>
      </c>
      <c r="S421" s="1">
        <v>0</v>
      </c>
      <c r="T421" s="1">
        <v>0</v>
      </c>
      <c r="U421" s="1">
        <v>0</v>
      </c>
    </row>
    <row r="422" spans="1:21" s="1" customFormat="1">
      <c r="A422" s="4">
        <v>45912</v>
      </c>
      <c r="B422" s="1" t="s">
        <v>48</v>
      </c>
      <c r="C422" s="1">
        <v>0</v>
      </c>
      <c r="D422" s="1">
        <v>0</v>
      </c>
      <c r="E422" s="1">
        <v>0</v>
      </c>
      <c r="F422" s="1" t="s">
        <v>48</v>
      </c>
      <c r="G422" s="1">
        <v>0</v>
      </c>
      <c r="H422" s="1">
        <v>0</v>
      </c>
      <c r="I422" s="1">
        <v>0</v>
      </c>
      <c r="J422" s="1" t="s">
        <v>48</v>
      </c>
      <c r="K422" s="1">
        <v>0</v>
      </c>
      <c r="L422" s="1">
        <v>0</v>
      </c>
      <c r="M422" s="1">
        <v>0</v>
      </c>
      <c r="N422" s="1" t="s">
        <v>48</v>
      </c>
      <c r="O422" s="1">
        <v>0</v>
      </c>
      <c r="P422" s="1">
        <v>0</v>
      </c>
      <c r="Q422" s="1" t="s">
        <v>48</v>
      </c>
      <c r="R422" s="1" t="s">
        <v>48</v>
      </c>
      <c r="S422" s="1" t="s">
        <v>48</v>
      </c>
      <c r="T422" s="1">
        <v>0</v>
      </c>
      <c r="U422" s="1">
        <v>0</v>
      </c>
    </row>
    <row r="423" spans="1:21" s="1" customFormat="1">
      <c r="A423" s="4">
        <v>45915</v>
      </c>
      <c r="B423" s="1" t="s">
        <v>48</v>
      </c>
      <c r="C423" s="1">
        <v>0</v>
      </c>
      <c r="D423" s="1">
        <v>0</v>
      </c>
      <c r="E423" s="1">
        <v>0</v>
      </c>
      <c r="F423" s="1" t="s">
        <v>48</v>
      </c>
      <c r="G423" s="1">
        <v>0</v>
      </c>
      <c r="H423" s="1">
        <v>0</v>
      </c>
      <c r="I423" s="1">
        <v>0</v>
      </c>
      <c r="J423" s="1" t="s">
        <v>48</v>
      </c>
      <c r="K423" s="1">
        <v>0</v>
      </c>
      <c r="L423" s="1">
        <v>0</v>
      </c>
      <c r="M423" s="1">
        <v>0</v>
      </c>
      <c r="N423" s="1" t="s">
        <v>48</v>
      </c>
      <c r="O423" s="1">
        <v>0</v>
      </c>
      <c r="P423" s="1">
        <v>0</v>
      </c>
      <c r="Q423" s="1">
        <v>0</v>
      </c>
      <c r="R423" s="1" t="s">
        <v>48</v>
      </c>
      <c r="S423" s="1">
        <v>0</v>
      </c>
      <c r="T423" s="1" t="s">
        <v>48</v>
      </c>
      <c r="U423" s="1">
        <v>0</v>
      </c>
    </row>
    <row r="424" spans="1:21" s="1" customFormat="1">
      <c r="A424" s="4">
        <v>45916</v>
      </c>
      <c r="B424" s="1" t="s">
        <v>48</v>
      </c>
      <c r="C424" s="1">
        <v>0</v>
      </c>
      <c r="D424" s="1">
        <v>0</v>
      </c>
      <c r="E424" s="1">
        <v>0</v>
      </c>
      <c r="F424" s="1" t="s">
        <v>48</v>
      </c>
      <c r="G424" s="1">
        <v>0</v>
      </c>
      <c r="H424" s="1">
        <v>0</v>
      </c>
      <c r="I424" s="1">
        <v>0</v>
      </c>
      <c r="J424" s="1" t="s">
        <v>48</v>
      </c>
      <c r="K424" s="1">
        <v>0</v>
      </c>
      <c r="L424" s="1">
        <v>0</v>
      </c>
      <c r="M424" s="1">
        <v>0</v>
      </c>
      <c r="N424" s="1" t="s">
        <v>48</v>
      </c>
      <c r="O424" s="1">
        <v>0</v>
      </c>
      <c r="P424" s="1">
        <v>0</v>
      </c>
      <c r="Q424" s="1">
        <v>0</v>
      </c>
      <c r="R424" s="1" t="s">
        <v>48</v>
      </c>
      <c r="S424" s="1">
        <v>0</v>
      </c>
      <c r="T424" s="1">
        <v>0</v>
      </c>
      <c r="U424" s="1" t="s">
        <v>48</v>
      </c>
    </row>
    <row r="425" spans="1:21" s="1" customFormat="1">
      <c r="A425" s="4">
        <v>45917</v>
      </c>
      <c r="B425" s="1" t="s">
        <v>48</v>
      </c>
      <c r="C425" s="1">
        <v>0</v>
      </c>
      <c r="D425" s="1">
        <v>0</v>
      </c>
      <c r="E425" s="1">
        <v>0</v>
      </c>
      <c r="F425" s="1" t="s">
        <v>48</v>
      </c>
      <c r="G425" s="1">
        <v>0</v>
      </c>
      <c r="H425" s="1">
        <v>0</v>
      </c>
      <c r="I425" s="1">
        <v>0</v>
      </c>
      <c r="J425" s="1" t="s">
        <v>48</v>
      </c>
      <c r="K425" s="1">
        <v>0</v>
      </c>
      <c r="L425" s="1">
        <v>0</v>
      </c>
      <c r="M425" s="1">
        <v>0</v>
      </c>
      <c r="N425" s="1" t="s">
        <v>48</v>
      </c>
      <c r="O425" s="1" t="s">
        <v>48</v>
      </c>
      <c r="P425" s="1">
        <v>0</v>
      </c>
      <c r="Q425" s="1">
        <v>0</v>
      </c>
      <c r="R425" s="1" t="s">
        <v>48</v>
      </c>
      <c r="S425" s="1">
        <v>0</v>
      </c>
      <c r="T425" s="1">
        <v>0</v>
      </c>
      <c r="U425" s="1">
        <v>0</v>
      </c>
    </row>
    <row r="426" spans="1:21" s="1" customFormat="1">
      <c r="A426" s="4">
        <v>45918</v>
      </c>
      <c r="B426" s="1" t="s">
        <v>48</v>
      </c>
      <c r="C426" s="1">
        <v>0</v>
      </c>
      <c r="D426" s="1">
        <v>0</v>
      </c>
      <c r="E426" s="1">
        <v>0</v>
      </c>
      <c r="F426" s="1" t="s">
        <v>48</v>
      </c>
      <c r="G426" s="1">
        <v>0</v>
      </c>
      <c r="H426" s="1">
        <v>0</v>
      </c>
      <c r="I426" s="1">
        <v>0</v>
      </c>
      <c r="J426" s="1" t="s">
        <v>48</v>
      </c>
      <c r="K426" s="1">
        <v>0</v>
      </c>
      <c r="L426" s="1">
        <v>0</v>
      </c>
      <c r="M426" s="1">
        <v>0</v>
      </c>
      <c r="N426" s="1" t="s">
        <v>48</v>
      </c>
      <c r="O426" s="1">
        <v>0</v>
      </c>
      <c r="P426" s="1" t="s">
        <v>48</v>
      </c>
      <c r="Q426" s="1">
        <v>0</v>
      </c>
      <c r="R426" s="1" t="s">
        <v>48</v>
      </c>
      <c r="S426" s="1">
        <v>0</v>
      </c>
      <c r="T426" s="1">
        <v>0</v>
      </c>
      <c r="U426" s="1">
        <v>0</v>
      </c>
    </row>
    <row r="427" spans="1:21" s="1" customFormat="1">
      <c r="A427" s="4">
        <v>45919</v>
      </c>
      <c r="B427" s="1" t="s">
        <v>48</v>
      </c>
      <c r="C427" s="1">
        <v>0</v>
      </c>
      <c r="D427" s="1">
        <v>0</v>
      </c>
      <c r="E427" s="1">
        <v>0</v>
      </c>
      <c r="F427" s="1" t="s">
        <v>48</v>
      </c>
      <c r="G427" s="1">
        <v>0</v>
      </c>
      <c r="H427" s="1">
        <v>0</v>
      </c>
      <c r="I427" s="1">
        <v>0</v>
      </c>
      <c r="J427" s="1" t="s">
        <v>48</v>
      </c>
      <c r="K427" s="1">
        <v>0</v>
      </c>
      <c r="L427" s="1">
        <v>0</v>
      </c>
      <c r="M427" s="1">
        <v>0</v>
      </c>
      <c r="N427" s="1" t="s">
        <v>48</v>
      </c>
      <c r="O427" s="1">
        <v>0</v>
      </c>
      <c r="P427" s="1">
        <v>0</v>
      </c>
      <c r="Q427" s="1" t="s">
        <v>48</v>
      </c>
      <c r="R427" s="1" t="s">
        <v>48</v>
      </c>
      <c r="S427" s="1" t="s">
        <v>48</v>
      </c>
      <c r="T427" s="1">
        <v>0</v>
      </c>
      <c r="U427" s="1">
        <v>0</v>
      </c>
    </row>
    <row r="428" spans="1:21" s="1" customFormat="1">
      <c r="A428" s="4">
        <v>45922</v>
      </c>
      <c r="B428" s="1" t="s">
        <v>48</v>
      </c>
      <c r="C428" s="1">
        <v>0</v>
      </c>
      <c r="D428" s="1">
        <v>0</v>
      </c>
      <c r="E428" s="1">
        <v>0</v>
      </c>
      <c r="F428" s="1" t="s">
        <v>48</v>
      </c>
      <c r="G428" s="1">
        <v>0</v>
      </c>
      <c r="H428" s="1">
        <v>0</v>
      </c>
      <c r="I428" s="1">
        <v>0</v>
      </c>
      <c r="J428" s="1" t="s">
        <v>48</v>
      </c>
      <c r="K428" s="1">
        <v>0</v>
      </c>
      <c r="L428" s="1">
        <v>0</v>
      </c>
      <c r="M428" s="1">
        <v>0</v>
      </c>
      <c r="N428" s="1" t="s">
        <v>48</v>
      </c>
      <c r="O428" s="1">
        <v>0</v>
      </c>
      <c r="P428" s="1">
        <v>0</v>
      </c>
      <c r="Q428" s="1">
        <v>0</v>
      </c>
      <c r="R428" s="1" t="s">
        <v>48</v>
      </c>
      <c r="S428" s="1">
        <v>0</v>
      </c>
      <c r="T428" s="1" t="s">
        <v>48</v>
      </c>
      <c r="U428" s="1">
        <v>0</v>
      </c>
    </row>
    <row r="429" spans="1:21" s="1" customFormat="1">
      <c r="A429" s="4">
        <v>45923</v>
      </c>
      <c r="B429" s="1" t="s">
        <v>48</v>
      </c>
      <c r="C429" s="1">
        <v>0</v>
      </c>
      <c r="D429" s="1">
        <v>0</v>
      </c>
      <c r="E429" s="1">
        <v>0</v>
      </c>
      <c r="F429" s="1" t="s">
        <v>48</v>
      </c>
      <c r="G429" s="1">
        <v>0</v>
      </c>
      <c r="H429" s="1">
        <v>0</v>
      </c>
      <c r="I429" s="1">
        <v>0</v>
      </c>
      <c r="J429" s="1" t="s">
        <v>48</v>
      </c>
      <c r="K429" s="1">
        <v>0</v>
      </c>
      <c r="L429" s="1">
        <v>0</v>
      </c>
      <c r="M429" s="1">
        <v>0</v>
      </c>
      <c r="N429" s="1" t="s">
        <v>48</v>
      </c>
      <c r="O429" s="1">
        <v>0</v>
      </c>
      <c r="P429" s="1">
        <v>0</v>
      </c>
      <c r="Q429" s="1">
        <v>0</v>
      </c>
      <c r="R429" s="1" t="s">
        <v>48</v>
      </c>
      <c r="S429" s="1">
        <v>0</v>
      </c>
      <c r="T429" s="1">
        <v>0</v>
      </c>
      <c r="U429" s="1" t="s">
        <v>48</v>
      </c>
    </row>
    <row r="430" spans="1:21" s="1" customFormat="1">
      <c r="A430" s="4">
        <v>45924</v>
      </c>
      <c r="B430" s="1" t="s">
        <v>48</v>
      </c>
      <c r="C430" s="1" t="s">
        <v>48</v>
      </c>
      <c r="D430" s="1">
        <v>0</v>
      </c>
      <c r="E430" s="1">
        <v>0</v>
      </c>
      <c r="F430" s="1" t="s">
        <v>48</v>
      </c>
      <c r="G430" s="1" t="s">
        <v>48</v>
      </c>
      <c r="H430" s="1">
        <v>0</v>
      </c>
      <c r="I430" s="1">
        <v>0</v>
      </c>
      <c r="J430" s="1" t="s">
        <v>48</v>
      </c>
      <c r="K430" s="1" t="s">
        <v>48</v>
      </c>
      <c r="L430" s="1">
        <v>0</v>
      </c>
      <c r="M430" s="1">
        <v>0</v>
      </c>
      <c r="N430" s="1" t="s">
        <v>48</v>
      </c>
      <c r="O430" s="1" t="s">
        <v>48</v>
      </c>
      <c r="P430" s="1">
        <v>0</v>
      </c>
      <c r="Q430" s="1">
        <v>0</v>
      </c>
      <c r="R430" s="1" t="s">
        <v>48</v>
      </c>
      <c r="S430" s="1">
        <v>0</v>
      </c>
      <c r="T430" s="1">
        <v>0</v>
      </c>
      <c r="U430" s="1">
        <v>0</v>
      </c>
    </row>
    <row r="431" spans="1:21" s="1" customFormat="1">
      <c r="A431" s="4">
        <v>45925</v>
      </c>
      <c r="B431" s="1" t="s">
        <v>48</v>
      </c>
      <c r="C431" s="1">
        <v>0</v>
      </c>
      <c r="D431" s="1" t="s">
        <v>48</v>
      </c>
      <c r="E431" s="1">
        <v>0</v>
      </c>
      <c r="F431" s="1" t="s">
        <v>48</v>
      </c>
      <c r="G431" s="1">
        <v>0</v>
      </c>
      <c r="H431" s="1" t="s">
        <v>48</v>
      </c>
      <c r="I431" s="1">
        <v>0</v>
      </c>
      <c r="J431" s="1" t="s">
        <v>48</v>
      </c>
      <c r="K431" s="1">
        <v>0</v>
      </c>
      <c r="L431" s="1" t="s">
        <v>48</v>
      </c>
      <c r="M431" s="1">
        <v>0</v>
      </c>
      <c r="N431" s="1" t="s">
        <v>48</v>
      </c>
      <c r="O431" s="1">
        <v>0</v>
      </c>
      <c r="P431" s="1" t="s">
        <v>48</v>
      </c>
      <c r="Q431" s="1">
        <v>0</v>
      </c>
      <c r="R431" s="1" t="s">
        <v>48</v>
      </c>
      <c r="S431" s="1">
        <v>0</v>
      </c>
      <c r="T431" s="1">
        <v>0</v>
      </c>
      <c r="U431" s="1">
        <v>0</v>
      </c>
    </row>
    <row r="432" spans="1:21" s="1" customFormat="1">
      <c r="A432" s="4">
        <v>45926</v>
      </c>
      <c r="B432" s="1" t="s">
        <v>48</v>
      </c>
      <c r="C432" s="1">
        <v>0</v>
      </c>
      <c r="D432" s="1">
        <v>0</v>
      </c>
      <c r="E432" s="1" t="s">
        <v>48</v>
      </c>
      <c r="F432" s="1" t="s">
        <v>48</v>
      </c>
      <c r="G432" s="1">
        <v>0</v>
      </c>
      <c r="H432" s="1">
        <v>0</v>
      </c>
      <c r="I432" s="1" t="s">
        <v>48</v>
      </c>
      <c r="J432" s="1" t="s">
        <v>48</v>
      </c>
      <c r="K432" s="1">
        <v>0</v>
      </c>
      <c r="L432" s="1">
        <v>0</v>
      </c>
      <c r="M432" s="1" t="s">
        <v>48</v>
      </c>
      <c r="N432" s="1" t="s">
        <v>48</v>
      </c>
      <c r="O432" s="1">
        <v>0</v>
      </c>
      <c r="P432" s="1">
        <v>0</v>
      </c>
      <c r="Q432" s="1" t="s">
        <v>48</v>
      </c>
      <c r="R432" s="1" t="s">
        <v>48</v>
      </c>
      <c r="S432" s="1" t="s">
        <v>48</v>
      </c>
      <c r="T432" s="1" t="s">
        <v>48</v>
      </c>
      <c r="U432" s="1">
        <v>0</v>
      </c>
    </row>
    <row r="433" spans="1:21" s="1" customFormat="1">
      <c r="A433" s="4">
        <v>45929</v>
      </c>
      <c r="B433" s="1" t="s">
        <v>48</v>
      </c>
      <c r="C433" s="1">
        <v>0</v>
      </c>
      <c r="D433" s="1">
        <v>0</v>
      </c>
      <c r="E433" s="1">
        <v>0</v>
      </c>
      <c r="F433" s="1" t="s">
        <v>48</v>
      </c>
      <c r="G433" s="1">
        <v>0</v>
      </c>
      <c r="H433" s="1">
        <v>0</v>
      </c>
      <c r="I433" s="1">
        <v>0</v>
      </c>
      <c r="J433" s="1" t="s">
        <v>48</v>
      </c>
      <c r="K433" s="1">
        <v>0</v>
      </c>
      <c r="L433" s="1">
        <v>0</v>
      </c>
      <c r="M433" s="1">
        <v>0</v>
      </c>
      <c r="N433" s="1" t="s">
        <v>48</v>
      </c>
      <c r="O433" s="1">
        <v>0</v>
      </c>
      <c r="P433" s="1">
        <v>0</v>
      </c>
      <c r="Q433" s="1">
        <v>0</v>
      </c>
      <c r="R433" s="1" t="s">
        <v>48</v>
      </c>
      <c r="S433" s="1">
        <v>0</v>
      </c>
      <c r="T433" s="1">
        <v>0</v>
      </c>
      <c r="U433" s="1" t="s">
        <v>48</v>
      </c>
    </row>
    <row r="434" spans="1:21" s="1" customFormat="1">
      <c r="A434" s="4">
        <v>45930</v>
      </c>
      <c r="B434" s="1" t="s">
        <v>48</v>
      </c>
      <c r="C434" s="1">
        <v>0</v>
      </c>
      <c r="D434" s="1">
        <v>0</v>
      </c>
      <c r="E434" s="1">
        <v>0</v>
      </c>
      <c r="F434" s="1" t="s">
        <v>48</v>
      </c>
      <c r="G434" s="1">
        <v>0</v>
      </c>
      <c r="H434" s="1">
        <v>0</v>
      </c>
      <c r="I434" s="1">
        <v>0</v>
      </c>
      <c r="J434" s="1" t="s">
        <v>48</v>
      </c>
      <c r="K434" s="1">
        <v>0</v>
      </c>
      <c r="L434" s="1">
        <v>0</v>
      </c>
      <c r="M434" s="1">
        <v>0</v>
      </c>
      <c r="N434" s="1" t="s">
        <v>48</v>
      </c>
      <c r="O434" s="1">
        <v>0</v>
      </c>
      <c r="P434" s="1">
        <v>0</v>
      </c>
      <c r="Q434" s="1">
        <v>0</v>
      </c>
      <c r="R434" s="1" t="s">
        <v>48</v>
      </c>
      <c r="S434" s="1">
        <v>0</v>
      </c>
      <c r="T434" s="1">
        <v>0</v>
      </c>
      <c r="U434" s="1">
        <v>0</v>
      </c>
    </row>
    <row r="435" spans="1:21" s="1" customFormat="1">
      <c r="A435" s="4">
        <v>45931</v>
      </c>
      <c r="B435" s="1" t="s">
        <v>48</v>
      </c>
      <c r="C435" s="1">
        <v>0</v>
      </c>
      <c r="D435" s="1">
        <v>0</v>
      </c>
      <c r="E435" s="1">
        <v>0</v>
      </c>
      <c r="F435" s="1" t="s">
        <v>48</v>
      </c>
      <c r="G435" s="1">
        <v>0</v>
      </c>
      <c r="H435" s="1">
        <v>0</v>
      </c>
      <c r="I435" s="1">
        <v>0</v>
      </c>
      <c r="J435" s="1" t="s">
        <v>48</v>
      </c>
      <c r="K435" s="1">
        <v>0</v>
      </c>
      <c r="L435" s="1">
        <v>0</v>
      </c>
      <c r="M435" s="1">
        <v>0</v>
      </c>
      <c r="N435" s="1" t="s">
        <v>48</v>
      </c>
      <c r="O435" s="1" t="s">
        <v>48</v>
      </c>
      <c r="P435" s="1" t="s">
        <v>48</v>
      </c>
      <c r="Q435" s="1">
        <v>0</v>
      </c>
      <c r="R435" s="1" t="s">
        <v>48</v>
      </c>
      <c r="S435" s="1">
        <v>0</v>
      </c>
      <c r="T435" s="1">
        <v>0</v>
      </c>
      <c r="U435" s="1">
        <v>0</v>
      </c>
    </row>
    <row r="436" spans="1:21" s="1" customFormat="1">
      <c r="A436" s="4">
        <v>45933</v>
      </c>
      <c r="B436" s="1" t="s">
        <v>48</v>
      </c>
      <c r="C436" s="1">
        <v>0</v>
      </c>
      <c r="D436" s="1">
        <v>0</v>
      </c>
      <c r="E436" s="1">
        <v>0</v>
      </c>
      <c r="F436" s="1" t="s">
        <v>48</v>
      </c>
      <c r="G436" s="1">
        <v>0</v>
      </c>
      <c r="H436" s="1">
        <v>0</v>
      </c>
      <c r="I436" s="1">
        <v>0</v>
      </c>
      <c r="J436" s="1" t="s">
        <v>48</v>
      </c>
      <c r="K436" s="1">
        <v>0</v>
      </c>
      <c r="L436" s="1">
        <v>0</v>
      </c>
      <c r="M436" s="1">
        <v>0</v>
      </c>
      <c r="N436" s="1" t="s">
        <v>48</v>
      </c>
      <c r="O436" s="1">
        <v>0</v>
      </c>
      <c r="P436" s="1">
        <v>0</v>
      </c>
      <c r="Q436" s="1" t="s">
        <v>48</v>
      </c>
      <c r="R436" s="1" t="s">
        <v>48</v>
      </c>
      <c r="S436" s="1" t="s">
        <v>48</v>
      </c>
      <c r="T436" s="1">
        <v>0</v>
      </c>
      <c r="U436" s="1">
        <v>0</v>
      </c>
    </row>
    <row r="437" spans="1:21" s="1" customFormat="1">
      <c r="A437" s="4">
        <v>45936</v>
      </c>
      <c r="B437" s="1" t="s">
        <v>48</v>
      </c>
      <c r="C437" s="1">
        <v>0</v>
      </c>
      <c r="D437" s="1">
        <v>0</v>
      </c>
      <c r="E437" s="1">
        <v>0</v>
      </c>
      <c r="F437" s="1" t="s">
        <v>48</v>
      </c>
      <c r="G437" s="1">
        <v>0</v>
      </c>
      <c r="H437" s="1">
        <v>0</v>
      </c>
      <c r="I437" s="1">
        <v>0</v>
      </c>
      <c r="J437" s="1" t="s">
        <v>48</v>
      </c>
      <c r="K437" s="1">
        <v>0</v>
      </c>
      <c r="L437" s="1">
        <v>0</v>
      </c>
      <c r="M437" s="1">
        <v>0</v>
      </c>
      <c r="N437" s="1" t="s">
        <v>48</v>
      </c>
      <c r="O437" s="1">
        <v>0</v>
      </c>
      <c r="P437" s="1">
        <v>0</v>
      </c>
      <c r="Q437" s="1">
        <v>0</v>
      </c>
      <c r="R437" s="1" t="s">
        <v>48</v>
      </c>
      <c r="S437" s="1">
        <v>0</v>
      </c>
      <c r="T437" s="1" t="s">
        <v>48</v>
      </c>
      <c r="U437" s="1">
        <v>0</v>
      </c>
    </row>
    <row r="438" spans="1:21" s="1" customFormat="1">
      <c r="A438" s="4">
        <v>45937</v>
      </c>
      <c r="B438" s="1" t="s">
        <v>48</v>
      </c>
      <c r="C438" s="1">
        <v>0</v>
      </c>
      <c r="D438" s="1">
        <v>0</v>
      </c>
      <c r="E438" s="1">
        <v>0</v>
      </c>
      <c r="F438" s="1" t="s">
        <v>48</v>
      </c>
      <c r="G438" s="1">
        <v>0</v>
      </c>
      <c r="H438" s="1">
        <v>0</v>
      </c>
      <c r="I438" s="1">
        <v>0</v>
      </c>
      <c r="J438" s="1" t="s">
        <v>48</v>
      </c>
      <c r="K438" s="1">
        <v>0</v>
      </c>
      <c r="L438" s="1">
        <v>0</v>
      </c>
      <c r="M438" s="1">
        <v>0</v>
      </c>
      <c r="N438" s="1" t="s">
        <v>48</v>
      </c>
      <c r="O438" s="1">
        <v>0</v>
      </c>
      <c r="P438" s="1">
        <v>0</v>
      </c>
      <c r="Q438" s="1">
        <v>0</v>
      </c>
      <c r="R438" s="1" t="s">
        <v>48</v>
      </c>
      <c r="S438" s="1">
        <v>0</v>
      </c>
      <c r="T438" s="1">
        <v>0</v>
      </c>
      <c r="U438" s="1" t="s">
        <v>48</v>
      </c>
    </row>
    <row r="439" spans="1:21" s="1" customFormat="1">
      <c r="A439" s="4">
        <v>45938</v>
      </c>
      <c r="B439" s="1" t="s">
        <v>48</v>
      </c>
      <c r="C439" s="1">
        <v>0</v>
      </c>
      <c r="D439" s="1">
        <v>0</v>
      </c>
      <c r="E439" s="1">
        <v>0</v>
      </c>
      <c r="F439" s="1" t="s">
        <v>48</v>
      </c>
      <c r="G439" s="1">
        <v>0</v>
      </c>
      <c r="H439" s="1">
        <v>0</v>
      </c>
      <c r="I439" s="1">
        <v>0</v>
      </c>
      <c r="J439" s="1" t="s">
        <v>48</v>
      </c>
      <c r="K439" s="1">
        <v>0</v>
      </c>
      <c r="L439" s="1">
        <v>0</v>
      </c>
      <c r="M439" s="1">
        <v>0</v>
      </c>
      <c r="N439" s="1" t="s">
        <v>48</v>
      </c>
      <c r="O439" s="1" t="s">
        <v>48</v>
      </c>
      <c r="P439" s="1">
        <v>0</v>
      </c>
      <c r="Q439" s="1">
        <v>0</v>
      </c>
      <c r="R439" s="1" t="s">
        <v>48</v>
      </c>
      <c r="S439" s="1">
        <v>0</v>
      </c>
      <c r="T439" s="1">
        <v>0</v>
      </c>
      <c r="U439" s="1">
        <v>0</v>
      </c>
    </row>
    <row r="440" spans="1:21" s="1" customFormat="1">
      <c r="A440" s="4">
        <v>45939</v>
      </c>
      <c r="B440" s="1" t="s">
        <v>48</v>
      </c>
      <c r="C440" s="1">
        <v>0</v>
      </c>
      <c r="D440" s="1">
        <v>0</v>
      </c>
      <c r="E440" s="1">
        <v>0</v>
      </c>
      <c r="F440" s="1" t="s">
        <v>48</v>
      </c>
      <c r="G440" s="1">
        <v>0</v>
      </c>
      <c r="H440" s="1">
        <v>0</v>
      </c>
      <c r="I440" s="1">
        <v>0</v>
      </c>
      <c r="J440" s="1" t="s">
        <v>48</v>
      </c>
      <c r="K440" s="1">
        <v>0</v>
      </c>
      <c r="L440" s="1">
        <v>0</v>
      </c>
      <c r="M440" s="1">
        <v>0</v>
      </c>
      <c r="N440" s="1" t="s">
        <v>48</v>
      </c>
      <c r="O440" s="1">
        <v>0</v>
      </c>
      <c r="P440" s="1" t="s">
        <v>48</v>
      </c>
      <c r="Q440" s="1">
        <v>0</v>
      </c>
      <c r="R440" s="1" t="s">
        <v>48</v>
      </c>
      <c r="S440" s="1">
        <v>0</v>
      </c>
      <c r="T440" s="1">
        <v>0</v>
      </c>
      <c r="U440" s="1">
        <v>0</v>
      </c>
    </row>
    <row r="441" spans="1:21" s="1" customFormat="1">
      <c r="A441" s="4">
        <v>45940</v>
      </c>
      <c r="B441" s="1" t="s">
        <v>48</v>
      </c>
      <c r="C441" s="1">
        <v>0</v>
      </c>
      <c r="D441" s="1">
        <v>0</v>
      </c>
      <c r="E441" s="1">
        <v>0</v>
      </c>
      <c r="F441" s="1" t="s">
        <v>48</v>
      </c>
      <c r="G441" s="1">
        <v>0</v>
      </c>
      <c r="H441" s="1">
        <v>0</v>
      </c>
      <c r="I441" s="1">
        <v>0</v>
      </c>
      <c r="J441" s="1" t="s">
        <v>48</v>
      </c>
      <c r="K441" s="1">
        <v>0</v>
      </c>
      <c r="L441" s="1">
        <v>0</v>
      </c>
      <c r="M441" s="1">
        <v>0</v>
      </c>
      <c r="N441" s="1" t="s">
        <v>48</v>
      </c>
      <c r="O441" s="1">
        <v>0</v>
      </c>
      <c r="P441" s="1">
        <v>0</v>
      </c>
      <c r="Q441" s="1" t="s">
        <v>48</v>
      </c>
      <c r="R441" s="1" t="s">
        <v>48</v>
      </c>
      <c r="S441" s="1" t="s">
        <v>48</v>
      </c>
      <c r="T441" s="1">
        <v>0</v>
      </c>
      <c r="U441" s="1">
        <v>0</v>
      </c>
    </row>
    <row r="442" spans="1:21" s="1" customFormat="1">
      <c r="A442" s="4">
        <v>45943</v>
      </c>
      <c r="B442" s="1" t="s">
        <v>48</v>
      </c>
      <c r="C442" s="1">
        <v>0</v>
      </c>
      <c r="D442" s="1">
        <v>0</v>
      </c>
      <c r="E442" s="1">
        <v>0</v>
      </c>
      <c r="F442" s="1" t="s">
        <v>48</v>
      </c>
      <c r="G442" s="1">
        <v>0</v>
      </c>
      <c r="H442" s="1">
        <v>0</v>
      </c>
      <c r="I442" s="1">
        <v>0</v>
      </c>
      <c r="J442" s="1" t="s">
        <v>48</v>
      </c>
      <c r="K442" s="1">
        <v>0</v>
      </c>
      <c r="L442" s="1">
        <v>0</v>
      </c>
      <c r="M442" s="1">
        <v>0</v>
      </c>
      <c r="N442" s="1" t="s">
        <v>48</v>
      </c>
      <c r="O442" s="1">
        <v>0</v>
      </c>
      <c r="P442" s="1">
        <v>0</v>
      </c>
      <c r="Q442" s="1">
        <v>0</v>
      </c>
      <c r="R442" s="1" t="s">
        <v>48</v>
      </c>
      <c r="S442" s="1">
        <v>0</v>
      </c>
      <c r="T442" s="1" t="s">
        <v>48</v>
      </c>
      <c r="U442" s="1">
        <v>0</v>
      </c>
    </row>
    <row r="443" spans="1:21" s="1" customFormat="1">
      <c r="A443" s="4">
        <v>45944</v>
      </c>
      <c r="B443" s="1" t="s">
        <v>48</v>
      </c>
      <c r="C443" s="1">
        <v>0</v>
      </c>
      <c r="D443" s="1">
        <v>0</v>
      </c>
      <c r="E443" s="1">
        <v>0</v>
      </c>
      <c r="F443" s="1" t="s">
        <v>48</v>
      </c>
      <c r="G443" s="1">
        <v>0</v>
      </c>
      <c r="H443" s="1">
        <v>0</v>
      </c>
      <c r="I443" s="1">
        <v>0</v>
      </c>
      <c r="J443" s="1" t="s">
        <v>48</v>
      </c>
      <c r="K443" s="1">
        <v>0</v>
      </c>
      <c r="L443" s="1">
        <v>0</v>
      </c>
      <c r="M443" s="1">
        <v>0</v>
      </c>
      <c r="N443" s="1" t="s">
        <v>48</v>
      </c>
      <c r="O443" s="1">
        <v>0</v>
      </c>
      <c r="P443" s="1">
        <v>0</v>
      </c>
      <c r="Q443" s="1">
        <v>0</v>
      </c>
      <c r="R443" s="1" t="s">
        <v>48</v>
      </c>
      <c r="S443" s="1">
        <v>0</v>
      </c>
      <c r="T443" s="1">
        <v>0</v>
      </c>
      <c r="U443" s="1" t="s">
        <v>48</v>
      </c>
    </row>
    <row r="444" spans="1:21" s="1" customFormat="1">
      <c r="A444" s="4">
        <v>45945</v>
      </c>
      <c r="B444" s="1" t="s">
        <v>48</v>
      </c>
      <c r="C444" s="1">
        <v>0</v>
      </c>
      <c r="D444" s="1">
        <v>0</v>
      </c>
      <c r="E444" s="1">
        <v>0</v>
      </c>
      <c r="F444" s="1" t="s">
        <v>48</v>
      </c>
      <c r="G444" s="1">
        <v>0</v>
      </c>
      <c r="H444" s="1">
        <v>0</v>
      </c>
      <c r="I444" s="1">
        <v>0</v>
      </c>
      <c r="J444" s="1" t="s">
        <v>48</v>
      </c>
      <c r="K444" s="1">
        <v>0</v>
      </c>
      <c r="L444" s="1">
        <v>0</v>
      </c>
      <c r="M444" s="1">
        <v>0</v>
      </c>
      <c r="N444" s="1" t="s">
        <v>48</v>
      </c>
      <c r="O444" s="1" t="s">
        <v>48</v>
      </c>
      <c r="P444" s="1" t="s">
        <v>48</v>
      </c>
      <c r="Q444" s="1">
        <v>0</v>
      </c>
      <c r="R444" s="1" t="s">
        <v>48</v>
      </c>
      <c r="S444" s="1">
        <v>0</v>
      </c>
      <c r="T444" s="1">
        <v>0</v>
      </c>
      <c r="U444" s="1">
        <v>0</v>
      </c>
    </row>
    <row r="445" spans="1:21" s="1" customFormat="1">
      <c r="A445" s="4">
        <v>45946</v>
      </c>
      <c r="B445" s="1" t="s">
        <v>48</v>
      </c>
      <c r="C445" s="1">
        <v>0</v>
      </c>
      <c r="D445" s="1">
        <v>0</v>
      </c>
      <c r="E445" s="1">
        <v>0</v>
      </c>
      <c r="F445" s="1" t="s">
        <v>48</v>
      </c>
      <c r="G445" s="1">
        <v>0</v>
      </c>
      <c r="H445" s="1">
        <v>0</v>
      </c>
      <c r="I445" s="1">
        <v>0</v>
      </c>
      <c r="J445" s="1" t="s">
        <v>48</v>
      </c>
      <c r="K445" s="1">
        <v>0</v>
      </c>
      <c r="L445" s="1">
        <v>0</v>
      </c>
      <c r="M445" s="1">
        <v>0</v>
      </c>
      <c r="N445" s="1" t="s">
        <v>48</v>
      </c>
      <c r="O445" s="1">
        <v>0</v>
      </c>
      <c r="P445" s="1">
        <v>0</v>
      </c>
      <c r="Q445" s="1" t="s">
        <v>48</v>
      </c>
      <c r="R445" s="1" t="s">
        <v>48</v>
      </c>
      <c r="S445" s="1">
        <v>0</v>
      </c>
      <c r="T445" s="1">
        <v>0</v>
      </c>
      <c r="U445" s="1">
        <v>0</v>
      </c>
    </row>
    <row r="446" spans="1:21" s="1" customFormat="1">
      <c r="A446" s="4">
        <v>45947</v>
      </c>
      <c r="B446" s="1" t="s">
        <v>48</v>
      </c>
      <c r="C446" s="1">
        <v>0</v>
      </c>
      <c r="D446" s="1">
        <v>0</v>
      </c>
      <c r="E446" s="1">
        <v>0</v>
      </c>
      <c r="F446" s="1" t="s">
        <v>48</v>
      </c>
      <c r="G446" s="1">
        <v>0</v>
      </c>
      <c r="H446" s="1">
        <v>0</v>
      </c>
      <c r="I446" s="1">
        <v>0</v>
      </c>
      <c r="J446" s="1" t="s">
        <v>48</v>
      </c>
      <c r="K446" s="1">
        <v>0</v>
      </c>
      <c r="L446" s="1">
        <v>0</v>
      </c>
      <c r="M446" s="1">
        <v>0</v>
      </c>
      <c r="N446" s="1" t="s">
        <v>48</v>
      </c>
      <c r="O446" s="1">
        <v>0</v>
      </c>
      <c r="P446" s="1">
        <v>0</v>
      </c>
      <c r="Q446" s="1">
        <v>0</v>
      </c>
      <c r="R446" s="1" t="s">
        <v>48</v>
      </c>
      <c r="S446" s="1" t="s">
        <v>48</v>
      </c>
      <c r="T446" s="1" t="s">
        <v>48</v>
      </c>
      <c r="U446" s="1" t="s">
        <v>48</v>
      </c>
    </row>
    <row r="447" spans="1:21" s="1" customFormat="1">
      <c r="A447" s="4">
        <v>45950</v>
      </c>
      <c r="B447" s="1" t="s">
        <v>48</v>
      </c>
      <c r="C447" s="1" t="s">
        <v>48</v>
      </c>
      <c r="D447" s="1">
        <v>0</v>
      </c>
      <c r="E447" s="1">
        <v>0</v>
      </c>
      <c r="F447" s="1" t="s">
        <v>48</v>
      </c>
      <c r="G447" s="1" t="s">
        <v>48</v>
      </c>
      <c r="H447" s="1">
        <v>0</v>
      </c>
      <c r="I447" s="1">
        <v>0</v>
      </c>
      <c r="J447" s="1" t="s">
        <v>48</v>
      </c>
      <c r="K447" s="1" t="s">
        <v>48</v>
      </c>
      <c r="L447" s="1">
        <v>0</v>
      </c>
      <c r="M447" s="1">
        <v>0</v>
      </c>
      <c r="N447" s="1" t="s">
        <v>48</v>
      </c>
      <c r="O447" s="1">
        <v>0</v>
      </c>
      <c r="P447" s="1">
        <v>0</v>
      </c>
      <c r="Q447" s="1">
        <v>0</v>
      </c>
      <c r="R447" s="1" t="s">
        <v>48</v>
      </c>
      <c r="S447" s="1">
        <v>0</v>
      </c>
      <c r="T447" s="1">
        <v>0</v>
      </c>
      <c r="U447" s="1">
        <v>0</v>
      </c>
    </row>
    <row r="448" spans="1:21" s="1" customFormat="1">
      <c r="A448" s="4">
        <v>45953</v>
      </c>
      <c r="B448" s="1" t="s">
        <v>48</v>
      </c>
      <c r="C448" s="1">
        <v>0</v>
      </c>
      <c r="D448" s="1" t="s">
        <v>48</v>
      </c>
      <c r="E448" s="1">
        <v>0</v>
      </c>
      <c r="F448" s="1" t="s">
        <v>48</v>
      </c>
      <c r="G448" s="1">
        <v>0</v>
      </c>
      <c r="H448" s="1" t="s">
        <v>48</v>
      </c>
      <c r="I448" s="1">
        <v>0</v>
      </c>
      <c r="J448" s="1" t="s">
        <v>48</v>
      </c>
      <c r="K448" s="1">
        <v>0</v>
      </c>
      <c r="L448" s="1" t="s">
        <v>48</v>
      </c>
      <c r="M448" s="1">
        <v>0</v>
      </c>
      <c r="N448" s="1" t="s">
        <v>48</v>
      </c>
      <c r="O448" s="1" t="s">
        <v>48</v>
      </c>
      <c r="P448" s="1" t="s">
        <v>48</v>
      </c>
      <c r="Q448" s="1">
        <v>0</v>
      </c>
      <c r="R448" s="1" t="s">
        <v>48</v>
      </c>
      <c r="S448" s="1">
        <v>0</v>
      </c>
      <c r="T448" s="1">
        <v>0</v>
      </c>
      <c r="U448" s="1">
        <v>0</v>
      </c>
    </row>
    <row r="449" spans="1:21" s="1" customFormat="1">
      <c r="A449" s="4">
        <v>45954</v>
      </c>
      <c r="B449" s="1" t="s">
        <v>48</v>
      </c>
      <c r="C449" s="1">
        <v>0</v>
      </c>
      <c r="D449" s="1">
        <v>0</v>
      </c>
      <c r="E449" s="1" t="s">
        <v>48</v>
      </c>
      <c r="F449" s="1" t="s">
        <v>48</v>
      </c>
      <c r="G449" s="1">
        <v>0</v>
      </c>
      <c r="H449" s="1">
        <v>0</v>
      </c>
      <c r="I449" s="1" t="s">
        <v>48</v>
      </c>
      <c r="J449" s="1" t="s">
        <v>48</v>
      </c>
      <c r="K449" s="1">
        <v>0</v>
      </c>
      <c r="L449" s="1">
        <v>0</v>
      </c>
      <c r="M449" s="1" t="s">
        <v>48</v>
      </c>
      <c r="N449" s="1" t="s">
        <v>48</v>
      </c>
      <c r="O449" s="1">
        <v>0</v>
      </c>
      <c r="P449" s="1">
        <v>0</v>
      </c>
      <c r="Q449" s="1" t="s">
        <v>48</v>
      </c>
      <c r="R449" s="1" t="s">
        <v>48</v>
      </c>
      <c r="S449" s="1" t="s">
        <v>48</v>
      </c>
      <c r="T449" s="1">
        <v>0</v>
      </c>
      <c r="U449" s="1">
        <v>0</v>
      </c>
    </row>
    <row r="450" spans="1:21" s="1" customFormat="1">
      <c r="A450" s="4">
        <v>45957</v>
      </c>
      <c r="B450" s="1" t="s">
        <v>48</v>
      </c>
      <c r="C450" s="1">
        <v>0</v>
      </c>
      <c r="D450" s="1">
        <v>0</v>
      </c>
      <c r="E450" s="1">
        <v>0</v>
      </c>
      <c r="F450" s="1" t="s">
        <v>48</v>
      </c>
      <c r="G450" s="1">
        <v>0</v>
      </c>
      <c r="H450" s="1">
        <v>0</v>
      </c>
      <c r="I450" s="1">
        <v>0</v>
      </c>
      <c r="J450" s="1" t="s">
        <v>48</v>
      </c>
      <c r="K450" s="1">
        <v>0</v>
      </c>
      <c r="L450" s="1">
        <v>0</v>
      </c>
      <c r="M450" s="1">
        <v>0</v>
      </c>
      <c r="N450" s="1" t="s">
        <v>48</v>
      </c>
      <c r="O450" s="1">
        <v>0</v>
      </c>
      <c r="P450" s="1">
        <v>0</v>
      </c>
      <c r="Q450" s="1">
        <v>0</v>
      </c>
      <c r="R450" s="1" t="s">
        <v>48</v>
      </c>
      <c r="S450" s="1">
        <v>0</v>
      </c>
      <c r="T450" s="1" t="s">
        <v>48</v>
      </c>
      <c r="U450" s="1">
        <v>0</v>
      </c>
    </row>
    <row r="451" spans="1:21" s="1" customFormat="1">
      <c r="A451" s="4">
        <v>45958</v>
      </c>
      <c r="B451" s="1" t="s">
        <v>48</v>
      </c>
      <c r="C451" s="1">
        <v>0</v>
      </c>
      <c r="D451" s="1">
        <v>0</v>
      </c>
      <c r="E451" s="1">
        <v>0</v>
      </c>
      <c r="F451" s="1" t="s">
        <v>48</v>
      </c>
      <c r="G451" s="1">
        <v>0</v>
      </c>
      <c r="H451" s="1">
        <v>0</v>
      </c>
      <c r="I451" s="1">
        <v>0</v>
      </c>
      <c r="J451" s="1" t="s">
        <v>48</v>
      </c>
      <c r="K451" s="1">
        <v>0</v>
      </c>
      <c r="L451" s="1">
        <v>0</v>
      </c>
      <c r="M451" s="1">
        <v>0</v>
      </c>
      <c r="N451" s="1" t="s">
        <v>48</v>
      </c>
      <c r="O451" s="1">
        <v>0</v>
      </c>
      <c r="P451" s="1">
        <v>0</v>
      </c>
      <c r="Q451" s="1">
        <v>0</v>
      </c>
      <c r="R451" s="1" t="s">
        <v>48</v>
      </c>
      <c r="S451" s="1">
        <v>0</v>
      </c>
      <c r="T451" s="1">
        <v>0</v>
      </c>
      <c r="U451" s="1" t="s">
        <v>48</v>
      </c>
    </row>
    <row r="452" spans="1:21" s="1" customFormat="1">
      <c r="A452" s="4">
        <v>45959</v>
      </c>
      <c r="B452" s="1" t="s">
        <v>48</v>
      </c>
      <c r="C452" s="1">
        <v>0</v>
      </c>
      <c r="D452" s="1">
        <v>0</v>
      </c>
      <c r="E452" s="1">
        <v>0</v>
      </c>
      <c r="F452" s="1" t="s">
        <v>48</v>
      </c>
      <c r="G452" s="1">
        <v>0</v>
      </c>
      <c r="H452" s="1">
        <v>0</v>
      </c>
      <c r="I452" s="1">
        <v>0</v>
      </c>
      <c r="J452" s="1" t="s">
        <v>48</v>
      </c>
      <c r="K452" s="1">
        <v>0</v>
      </c>
      <c r="L452" s="1">
        <v>0</v>
      </c>
      <c r="M452" s="1">
        <v>0</v>
      </c>
      <c r="N452" s="1" t="s">
        <v>48</v>
      </c>
      <c r="O452" s="1" t="s">
        <v>48</v>
      </c>
      <c r="P452" s="1">
        <v>0</v>
      </c>
      <c r="Q452" s="1">
        <v>0</v>
      </c>
      <c r="R452" s="1" t="s">
        <v>48</v>
      </c>
      <c r="S452" s="1">
        <v>0</v>
      </c>
      <c r="T452" s="1">
        <v>0</v>
      </c>
      <c r="U452" s="1">
        <v>0</v>
      </c>
    </row>
    <row r="453" spans="1:21" s="1" customFormat="1">
      <c r="A453" s="4">
        <v>45960</v>
      </c>
      <c r="B453" s="1" t="s">
        <v>48</v>
      </c>
      <c r="C453" s="1">
        <v>0</v>
      </c>
      <c r="D453" s="1">
        <v>0</v>
      </c>
      <c r="E453" s="1">
        <v>0</v>
      </c>
      <c r="F453" s="1" t="s">
        <v>48</v>
      </c>
      <c r="G453" s="1">
        <v>0</v>
      </c>
      <c r="H453" s="1">
        <v>0</v>
      </c>
      <c r="I453" s="1">
        <v>0</v>
      </c>
      <c r="J453" s="1" t="s">
        <v>48</v>
      </c>
      <c r="K453" s="1">
        <v>0</v>
      </c>
      <c r="L453" s="1">
        <v>0</v>
      </c>
      <c r="M453" s="1">
        <v>0</v>
      </c>
      <c r="N453" s="1" t="s">
        <v>48</v>
      </c>
      <c r="O453" s="1">
        <v>0</v>
      </c>
      <c r="P453" s="1" t="s">
        <v>48</v>
      </c>
      <c r="Q453" s="1">
        <v>0</v>
      </c>
      <c r="R453" s="1" t="s">
        <v>48</v>
      </c>
      <c r="S453" s="1">
        <v>0</v>
      </c>
      <c r="T453" s="1">
        <v>0</v>
      </c>
      <c r="U453" s="1">
        <v>0</v>
      </c>
    </row>
    <row r="454" spans="1:21" s="1" customFormat="1">
      <c r="A454" s="4">
        <v>45961</v>
      </c>
      <c r="B454" s="1" t="s">
        <v>48</v>
      </c>
      <c r="C454" s="1">
        <v>0</v>
      </c>
      <c r="D454" s="1">
        <v>0</v>
      </c>
      <c r="E454" s="1">
        <v>0</v>
      </c>
      <c r="F454" s="1" t="s">
        <v>48</v>
      </c>
      <c r="G454" s="1">
        <v>0</v>
      </c>
      <c r="H454" s="1">
        <v>0</v>
      </c>
      <c r="I454" s="1">
        <v>0</v>
      </c>
      <c r="J454" s="1" t="s">
        <v>48</v>
      </c>
      <c r="K454" s="1">
        <v>0</v>
      </c>
      <c r="L454" s="1">
        <v>0</v>
      </c>
      <c r="M454" s="1">
        <v>0</v>
      </c>
      <c r="N454" s="1" t="s">
        <v>48</v>
      </c>
      <c r="O454" s="1">
        <v>0</v>
      </c>
      <c r="P454" s="1">
        <v>0</v>
      </c>
      <c r="Q454" s="1" t="s">
        <v>48</v>
      </c>
      <c r="R454" s="1" t="s">
        <v>48</v>
      </c>
      <c r="S454" s="1" t="s">
        <v>48</v>
      </c>
      <c r="T454" s="1" t="s">
        <v>48</v>
      </c>
      <c r="U454" s="1">
        <v>0</v>
      </c>
    </row>
    <row r="455" spans="1:21" s="1" customFormat="1">
      <c r="A455" s="4">
        <v>45964</v>
      </c>
      <c r="B455" s="1" t="s">
        <v>48</v>
      </c>
      <c r="C455" s="1">
        <v>0</v>
      </c>
      <c r="D455" s="1">
        <v>0</v>
      </c>
      <c r="E455" s="1">
        <v>0</v>
      </c>
      <c r="F455" s="1" t="s">
        <v>48</v>
      </c>
      <c r="G455" s="1">
        <v>0</v>
      </c>
      <c r="H455" s="1">
        <v>0</v>
      </c>
      <c r="I455" s="1">
        <v>0</v>
      </c>
      <c r="J455" s="1" t="s">
        <v>48</v>
      </c>
      <c r="K455" s="1">
        <v>0</v>
      </c>
      <c r="L455" s="1">
        <v>0</v>
      </c>
      <c r="M455" s="1">
        <v>0</v>
      </c>
      <c r="N455" s="1" t="s">
        <v>48</v>
      </c>
      <c r="O455" s="1">
        <v>0</v>
      </c>
      <c r="P455" s="1">
        <v>0</v>
      </c>
      <c r="Q455" s="1">
        <v>0</v>
      </c>
      <c r="R455" s="1" t="s">
        <v>48</v>
      </c>
      <c r="S455" s="1">
        <v>0</v>
      </c>
      <c r="T455" s="1">
        <v>0</v>
      </c>
      <c r="U455" s="1" t="s">
        <v>48</v>
      </c>
    </row>
    <row r="456" spans="1:21" s="1" customFormat="1">
      <c r="A456" s="4">
        <v>45965</v>
      </c>
      <c r="B456" s="1" t="s">
        <v>48</v>
      </c>
      <c r="C456" s="1">
        <v>0</v>
      </c>
      <c r="D456" s="1">
        <v>0</v>
      </c>
      <c r="E456" s="1">
        <v>0</v>
      </c>
      <c r="F456" s="1" t="s">
        <v>48</v>
      </c>
      <c r="G456" s="1">
        <v>0</v>
      </c>
      <c r="H456" s="1">
        <v>0</v>
      </c>
      <c r="I456" s="1">
        <v>0</v>
      </c>
      <c r="J456" s="1" t="s">
        <v>48</v>
      </c>
      <c r="K456" s="1">
        <v>0</v>
      </c>
      <c r="L456" s="1">
        <v>0</v>
      </c>
      <c r="M456" s="1">
        <v>0</v>
      </c>
      <c r="N456" s="1" t="s">
        <v>48</v>
      </c>
      <c r="O456" s="1">
        <v>0</v>
      </c>
      <c r="P456" s="1">
        <v>0</v>
      </c>
      <c r="Q456" s="1">
        <v>0</v>
      </c>
      <c r="R456" s="1" t="s">
        <v>48</v>
      </c>
      <c r="S456" s="1">
        <v>0</v>
      </c>
      <c r="T456" s="1">
        <v>0</v>
      </c>
      <c r="U456" s="1">
        <v>0</v>
      </c>
    </row>
    <row r="457" spans="1:21" s="1" customFormat="1">
      <c r="A457" s="4">
        <v>45967</v>
      </c>
      <c r="B457" s="1" t="s">
        <v>48</v>
      </c>
      <c r="C457" s="1">
        <v>0</v>
      </c>
      <c r="D457" s="1">
        <v>0</v>
      </c>
      <c r="E457" s="1">
        <v>0</v>
      </c>
      <c r="F457" s="1" t="s">
        <v>48</v>
      </c>
      <c r="G457" s="1">
        <v>0</v>
      </c>
      <c r="H457" s="1">
        <v>0</v>
      </c>
      <c r="I457" s="1">
        <v>0</v>
      </c>
      <c r="J457" s="1" t="s">
        <v>48</v>
      </c>
      <c r="K457" s="1">
        <v>0</v>
      </c>
      <c r="L457" s="1">
        <v>0</v>
      </c>
      <c r="M457" s="1">
        <v>0</v>
      </c>
      <c r="N457" s="1" t="s">
        <v>48</v>
      </c>
      <c r="O457" s="1" t="s">
        <v>48</v>
      </c>
      <c r="P457" s="1" t="s">
        <v>48</v>
      </c>
      <c r="Q457" s="1">
        <v>0</v>
      </c>
      <c r="R457" s="1" t="s">
        <v>48</v>
      </c>
      <c r="S457" s="1">
        <v>0</v>
      </c>
      <c r="T457" s="1">
        <v>0</v>
      </c>
      <c r="U457" s="1">
        <v>0</v>
      </c>
    </row>
    <row r="458" spans="1:21" s="1" customFormat="1">
      <c r="A458" s="4">
        <v>45968</v>
      </c>
      <c r="B458" s="1" t="s">
        <v>48</v>
      </c>
      <c r="C458" s="1">
        <v>0</v>
      </c>
      <c r="D458" s="1">
        <v>0</v>
      </c>
      <c r="E458" s="1">
        <v>0</v>
      </c>
      <c r="F458" s="1" t="s">
        <v>48</v>
      </c>
      <c r="G458" s="1">
        <v>0</v>
      </c>
      <c r="H458" s="1">
        <v>0</v>
      </c>
      <c r="I458" s="1">
        <v>0</v>
      </c>
      <c r="J458" s="1" t="s">
        <v>48</v>
      </c>
      <c r="K458" s="1">
        <v>0</v>
      </c>
      <c r="L458" s="1">
        <v>0</v>
      </c>
      <c r="M458" s="1">
        <v>0</v>
      </c>
      <c r="N458" s="1" t="s">
        <v>48</v>
      </c>
      <c r="O458" s="1">
        <v>0</v>
      </c>
      <c r="P458" s="1">
        <v>0</v>
      </c>
      <c r="Q458" s="1" t="s">
        <v>48</v>
      </c>
      <c r="R458" s="1" t="s">
        <v>48</v>
      </c>
      <c r="S458" s="1" t="s">
        <v>48</v>
      </c>
      <c r="T458" s="1">
        <v>0</v>
      </c>
      <c r="U458" s="1">
        <v>0</v>
      </c>
    </row>
    <row r="459" spans="1:21" s="1" customFormat="1">
      <c r="A459" s="4">
        <v>45971</v>
      </c>
      <c r="B459" s="1" t="s">
        <v>48</v>
      </c>
      <c r="C459" s="1">
        <v>0</v>
      </c>
      <c r="D459" s="1">
        <v>0</v>
      </c>
      <c r="E459" s="1">
        <v>0</v>
      </c>
      <c r="F459" s="1" t="s">
        <v>48</v>
      </c>
      <c r="G459" s="1">
        <v>0</v>
      </c>
      <c r="H459" s="1">
        <v>0</v>
      </c>
      <c r="I459" s="1">
        <v>0</v>
      </c>
      <c r="J459" s="1" t="s">
        <v>48</v>
      </c>
      <c r="K459" s="1">
        <v>0</v>
      </c>
      <c r="L459" s="1">
        <v>0</v>
      </c>
      <c r="M459" s="1">
        <v>0</v>
      </c>
      <c r="N459" s="1" t="s">
        <v>48</v>
      </c>
      <c r="O459" s="1">
        <v>0</v>
      </c>
      <c r="P459" s="1">
        <v>0</v>
      </c>
      <c r="Q459" s="1">
        <v>0</v>
      </c>
      <c r="R459" s="1" t="s">
        <v>48</v>
      </c>
      <c r="S459" s="1">
        <v>0</v>
      </c>
      <c r="T459" s="1" t="s">
        <v>48</v>
      </c>
      <c r="U459" s="1">
        <v>0</v>
      </c>
    </row>
    <row r="460" spans="1:21" s="1" customFormat="1">
      <c r="A460" s="4">
        <v>45972</v>
      </c>
      <c r="B460" s="1" t="s">
        <v>48</v>
      </c>
      <c r="C460" s="1">
        <v>0</v>
      </c>
      <c r="D460" s="1">
        <v>0</v>
      </c>
      <c r="E460" s="1">
        <v>0</v>
      </c>
      <c r="F460" s="1" t="s">
        <v>48</v>
      </c>
      <c r="G460" s="1">
        <v>0</v>
      </c>
      <c r="H460" s="1">
        <v>0</v>
      </c>
      <c r="I460" s="1">
        <v>0</v>
      </c>
      <c r="J460" s="1" t="s">
        <v>48</v>
      </c>
      <c r="K460" s="1">
        <v>0</v>
      </c>
      <c r="L460" s="1">
        <v>0</v>
      </c>
      <c r="M460" s="1">
        <v>0</v>
      </c>
      <c r="N460" s="1" t="s">
        <v>48</v>
      </c>
      <c r="O460" s="1">
        <v>0</v>
      </c>
      <c r="P460" s="1">
        <v>0</v>
      </c>
      <c r="Q460" s="1">
        <v>0</v>
      </c>
      <c r="R460" s="1" t="s">
        <v>48</v>
      </c>
      <c r="S460" s="1">
        <v>0</v>
      </c>
      <c r="T460" s="1">
        <v>0</v>
      </c>
      <c r="U460" s="1" t="s">
        <v>48</v>
      </c>
    </row>
    <row r="461" spans="1:21" s="1" customFormat="1">
      <c r="A461" s="4">
        <v>45973</v>
      </c>
      <c r="B461" s="1" t="s">
        <v>48</v>
      </c>
      <c r="C461" s="1">
        <v>0</v>
      </c>
      <c r="D461" s="1">
        <v>0</v>
      </c>
      <c r="E461" s="1">
        <v>0</v>
      </c>
      <c r="F461" s="1" t="s">
        <v>48</v>
      </c>
      <c r="G461" s="1">
        <v>0</v>
      </c>
      <c r="H461" s="1">
        <v>0</v>
      </c>
      <c r="I461" s="1">
        <v>0</v>
      </c>
      <c r="J461" s="1" t="s">
        <v>48</v>
      </c>
      <c r="K461" s="1">
        <v>0</v>
      </c>
      <c r="L461" s="1">
        <v>0</v>
      </c>
      <c r="M461" s="1">
        <v>0</v>
      </c>
      <c r="N461" s="1" t="s">
        <v>48</v>
      </c>
      <c r="O461" s="1" t="s">
        <v>48</v>
      </c>
      <c r="P461" s="1">
        <v>0</v>
      </c>
      <c r="Q461" s="1">
        <v>0</v>
      </c>
      <c r="R461" s="1" t="s">
        <v>48</v>
      </c>
      <c r="S461" s="1">
        <v>0</v>
      </c>
      <c r="T461" s="1">
        <v>0</v>
      </c>
      <c r="U461" s="1">
        <v>0</v>
      </c>
    </row>
    <row r="462" spans="1:21" s="1" customFormat="1">
      <c r="A462" s="4">
        <v>45974</v>
      </c>
      <c r="B462" s="1" t="s">
        <v>48</v>
      </c>
      <c r="C462" s="1">
        <v>0</v>
      </c>
      <c r="D462" s="1">
        <v>0</v>
      </c>
      <c r="E462" s="1">
        <v>0</v>
      </c>
      <c r="F462" s="1" t="s">
        <v>48</v>
      </c>
      <c r="G462" s="1">
        <v>0</v>
      </c>
      <c r="H462" s="1">
        <v>0</v>
      </c>
      <c r="I462" s="1">
        <v>0</v>
      </c>
      <c r="J462" s="1" t="s">
        <v>48</v>
      </c>
      <c r="K462" s="1">
        <v>0</v>
      </c>
      <c r="L462" s="1">
        <v>0</v>
      </c>
      <c r="M462" s="1">
        <v>0</v>
      </c>
      <c r="N462" s="1" t="s">
        <v>48</v>
      </c>
      <c r="O462" s="1">
        <v>0</v>
      </c>
      <c r="P462" s="1" t="s">
        <v>48</v>
      </c>
      <c r="Q462" s="1">
        <v>0</v>
      </c>
      <c r="R462" s="1" t="s">
        <v>48</v>
      </c>
      <c r="S462" s="1">
        <v>0</v>
      </c>
      <c r="T462" s="1">
        <v>0</v>
      </c>
      <c r="U462" s="1">
        <v>0</v>
      </c>
    </row>
    <row r="463" spans="1:21" s="1" customFormat="1">
      <c r="A463" s="4">
        <v>45975</v>
      </c>
      <c r="B463" s="1" t="s">
        <v>48</v>
      </c>
      <c r="C463" s="1">
        <v>0</v>
      </c>
      <c r="D463" s="1">
        <v>0</v>
      </c>
      <c r="E463" s="1">
        <v>0</v>
      </c>
      <c r="F463" s="1" t="s">
        <v>48</v>
      </c>
      <c r="G463" s="1">
        <v>0</v>
      </c>
      <c r="H463" s="1">
        <v>0</v>
      </c>
      <c r="I463" s="1">
        <v>0</v>
      </c>
      <c r="J463" s="1" t="s">
        <v>48</v>
      </c>
      <c r="K463" s="1">
        <v>0</v>
      </c>
      <c r="L463" s="1">
        <v>0</v>
      </c>
      <c r="M463" s="1">
        <v>0</v>
      </c>
      <c r="N463" s="1" t="s">
        <v>48</v>
      </c>
      <c r="O463" s="1">
        <v>0</v>
      </c>
      <c r="P463" s="1">
        <v>0</v>
      </c>
      <c r="Q463" s="1" t="s">
        <v>48</v>
      </c>
      <c r="R463" s="1" t="s">
        <v>48</v>
      </c>
      <c r="S463" s="1" t="s">
        <v>48</v>
      </c>
      <c r="T463" s="1">
        <v>0</v>
      </c>
      <c r="U463" s="1">
        <v>0</v>
      </c>
    </row>
    <row r="464" spans="1:21" s="1" customFormat="1">
      <c r="A464" s="4">
        <v>45978</v>
      </c>
      <c r="B464" s="1" t="s">
        <v>48</v>
      </c>
      <c r="C464" s="1">
        <v>0</v>
      </c>
      <c r="D464" s="1">
        <v>0</v>
      </c>
      <c r="E464" s="1">
        <v>0</v>
      </c>
      <c r="F464" s="1" t="s">
        <v>48</v>
      </c>
      <c r="G464" s="1">
        <v>0</v>
      </c>
      <c r="H464" s="1">
        <v>0</v>
      </c>
      <c r="I464" s="1">
        <v>0</v>
      </c>
      <c r="J464" s="1" t="s">
        <v>48</v>
      </c>
      <c r="K464" s="1">
        <v>0</v>
      </c>
      <c r="L464" s="1">
        <v>0</v>
      </c>
      <c r="M464" s="1">
        <v>0</v>
      </c>
      <c r="N464" s="1" t="s">
        <v>48</v>
      </c>
      <c r="O464" s="1">
        <v>0</v>
      </c>
      <c r="P464" s="1">
        <v>0</v>
      </c>
      <c r="Q464" s="1">
        <v>0</v>
      </c>
      <c r="R464" s="1" t="s">
        <v>48</v>
      </c>
      <c r="S464" s="1">
        <v>0</v>
      </c>
      <c r="T464" s="1" t="s">
        <v>48</v>
      </c>
      <c r="U464" s="1">
        <v>0</v>
      </c>
    </row>
    <row r="465" spans="1:21" s="1" customFormat="1">
      <c r="A465" s="4">
        <v>45979</v>
      </c>
      <c r="B465" s="1" t="s">
        <v>48</v>
      </c>
      <c r="C465" s="1">
        <v>0</v>
      </c>
      <c r="D465" s="1">
        <v>0</v>
      </c>
      <c r="E465" s="1">
        <v>0</v>
      </c>
      <c r="F465" s="1" t="s">
        <v>48</v>
      </c>
      <c r="G465" s="1">
        <v>0</v>
      </c>
      <c r="H465" s="1">
        <v>0</v>
      </c>
      <c r="I465" s="1">
        <v>0</v>
      </c>
      <c r="J465" s="1" t="s">
        <v>48</v>
      </c>
      <c r="K465" s="1">
        <v>0</v>
      </c>
      <c r="L465" s="1">
        <v>0</v>
      </c>
      <c r="M465" s="1">
        <v>0</v>
      </c>
      <c r="N465" s="1" t="s">
        <v>48</v>
      </c>
      <c r="O465" s="1">
        <v>0</v>
      </c>
      <c r="P465" s="1">
        <v>0</v>
      </c>
      <c r="Q465" s="1">
        <v>0</v>
      </c>
      <c r="R465" s="1" t="s">
        <v>48</v>
      </c>
      <c r="S465" s="1">
        <v>0</v>
      </c>
      <c r="T465" s="1">
        <v>0</v>
      </c>
      <c r="U465" s="1" t="s">
        <v>48</v>
      </c>
    </row>
    <row r="466" spans="1:21" s="1" customFormat="1">
      <c r="A466" s="4">
        <v>45980</v>
      </c>
      <c r="B466" s="1" t="s">
        <v>48</v>
      </c>
      <c r="C466" s="1" t="s">
        <v>48</v>
      </c>
      <c r="D466" s="1">
        <v>0</v>
      </c>
      <c r="E466" s="1">
        <v>0</v>
      </c>
      <c r="F466" s="1" t="s">
        <v>48</v>
      </c>
      <c r="G466" s="1" t="s">
        <v>48</v>
      </c>
      <c r="H466" s="1">
        <v>0</v>
      </c>
      <c r="I466" s="1">
        <v>0</v>
      </c>
      <c r="J466" s="1" t="s">
        <v>48</v>
      </c>
      <c r="K466" s="1" t="s">
        <v>48</v>
      </c>
      <c r="L466" s="1">
        <v>0</v>
      </c>
      <c r="M466" s="1">
        <v>0</v>
      </c>
      <c r="N466" s="1" t="s">
        <v>48</v>
      </c>
      <c r="O466" s="1" t="s">
        <v>48</v>
      </c>
      <c r="P466" s="1">
        <v>0</v>
      </c>
      <c r="Q466" s="1">
        <v>0</v>
      </c>
      <c r="R466" s="1" t="s">
        <v>48</v>
      </c>
      <c r="S466" s="1">
        <v>0</v>
      </c>
      <c r="T466" s="1">
        <v>0</v>
      </c>
      <c r="U466" s="1">
        <v>0</v>
      </c>
    </row>
    <row r="467" spans="1:21" s="1" customFormat="1">
      <c r="A467" s="4">
        <v>45981</v>
      </c>
      <c r="B467" s="1" t="s">
        <v>48</v>
      </c>
      <c r="C467" s="1">
        <v>0</v>
      </c>
      <c r="D467" s="1" t="s">
        <v>48</v>
      </c>
      <c r="E467" s="1">
        <v>0</v>
      </c>
      <c r="F467" s="1" t="s">
        <v>48</v>
      </c>
      <c r="G467" s="1">
        <v>0</v>
      </c>
      <c r="H467" s="1" t="s">
        <v>48</v>
      </c>
      <c r="I467" s="1">
        <v>0</v>
      </c>
      <c r="J467" s="1" t="s">
        <v>48</v>
      </c>
      <c r="K467" s="1">
        <v>0</v>
      </c>
      <c r="L467" s="1" t="s">
        <v>48</v>
      </c>
      <c r="M467" s="1">
        <v>0</v>
      </c>
      <c r="N467" s="1" t="s">
        <v>48</v>
      </c>
      <c r="O467" s="1">
        <v>0</v>
      </c>
      <c r="P467" s="1" t="s">
        <v>48</v>
      </c>
      <c r="Q467" s="1">
        <v>0</v>
      </c>
      <c r="R467" s="1" t="s">
        <v>48</v>
      </c>
      <c r="S467" s="1">
        <v>0</v>
      </c>
      <c r="T467" s="1">
        <v>0</v>
      </c>
      <c r="U467" s="1">
        <v>0</v>
      </c>
    </row>
    <row r="468" spans="1:21" s="1" customFormat="1">
      <c r="A468" s="4">
        <v>45982</v>
      </c>
      <c r="B468" s="1" t="s">
        <v>48</v>
      </c>
      <c r="C468" s="1">
        <v>0</v>
      </c>
      <c r="D468" s="1">
        <v>0</v>
      </c>
      <c r="E468" s="1" t="s">
        <v>48</v>
      </c>
      <c r="F468" s="1" t="s">
        <v>48</v>
      </c>
      <c r="G468" s="1">
        <v>0</v>
      </c>
      <c r="H468" s="1">
        <v>0</v>
      </c>
      <c r="I468" s="1" t="s">
        <v>48</v>
      </c>
      <c r="J468" s="1" t="s">
        <v>48</v>
      </c>
      <c r="K468" s="1">
        <v>0</v>
      </c>
      <c r="L468" s="1">
        <v>0</v>
      </c>
      <c r="M468" s="1" t="s">
        <v>48</v>
      </c>
      <c r="N468" s="1" t="s">
        <v>48</v>
      </c>
      <c r="O468" s="1">
        <v>0</v>
      </c>
      <c r="P468" s="1">
        <v>0</v>
      </c>
      <c r="Q468" s="1" t="s">
        <v>48</v>
      </c>
      <c r="R468" s="1" t="s">
        <v>48</v>
      </c>
      <c r="S468" s="1" t="s">
        <v>48</v>
      </c>
      <c r="T468" s="1">
        <v>0</v>
      </c>
      <c r="U468" s="1">
        <v>0</v>
      </c>
    </row>
    <row r="469" spans="1:21" s="1" customFormat="1">
      <c r="A469" s="4">
        <v>45985</v>
      </c>
      <c r="B469" s="1" t="s">
        <v>48</v>
      </c>
      <c r="C469" s="1">
        <v>0</v>
      </c>
      <c r="D469" s="1">
        <v>0</v>
      </c>
      <c r="E469" s="1">
        <v>0</v>
      </c>
      <c r="F469" s="1" t="s">
        <v>48</v>
      </c>
      <c r="G469" s="1">
        <v>0</v>
      </c>
      <c r="H469" s="1">
        <v>0</v>
      </c>
      <c r="I469" s="1">
        <v>0</v>
      </c>
      <c r="J469" s="1" t="s">
        <v>48</v>
      </c>
      <c r="K469" s="1">
        <v>0</v>
      </c>
      <c r="L469" s="1">
        <v>0</v>
      </c>
      <c r="M469" s="1">
        <v>0</v>
      </c>
      <c r="N469" s="1" t="s">
        <v>48</v>
      </c>
      <c r="O469" s="1">
        <v>0</v>
      </c>
      <c r="P469" s="1">
        <v>0</v>
      </c>
      <c r="Q469" s="1">
        <v>0</v>
      </c>
      <c r="R469" s="1" t="s">
        <v>48</v>
      </c>
      <c r="S469" s="1">
        <v>0</v>
      </c>
      <c r="T469" s="1" t="s">
        <v>48</v>
      </c>
      <c r="U469" s="1">
        <v>0</v>
      </c>
    </row>
    <row r="470" spans="1:21" s="1" customFormat="1">
      <c r="A470" s="4">
        <v>45986</v>
      </c>
      <c r="B470" s="1" t="s">
        <v>48</v>
      </c>
      <c r="C470" s="1">
        <v>0</v>
      </c>
      <c r="D470" s="1">
        <v>0</v>
      </c>
      <c r="E470" s="1">
        <v>0</v>
      </c>
      <c r="F470" s="1" t="s">
        <v>48</v>
      </c>
      <c r="G470" s="1">
        <v>0</v>
      </c>
      <c r="H470" s="1">
        <v>0</v>
      </c>
      <c r="I470" s="1">
        <v>0</v>
      </c>
      <c r="J470" s="1" t="s">
        <v>48</v>
      </c>
      <c r="K470" s="1">
        <v>0</v>
      </c>
      <c r="L470" s="1">
        <v>0</v>
      </c>
      <c r="M470" s="1">
        <v>0</v>
      </c>
      <c r="N470" s="1" t="s">
        <v>48</v>
      </c>
      <c r="O470" s="1">
        <v>0</v>
      </c>
      <c r="P470" s="1">
        <v>0</v>
      </c>
      <c r="Q470" s="1">
        <v>0</v>
      </c>
      <c r="R470" s="1" t="s">
        <v>48</v>
      </c>
      <c r="S470" s="1">
        <v>0</v>
      </c>
      <c r="T470" s="1">
        <v>0</v>
      </c>
      <c r="U470" s="1" t="s">
        <v>48</v>
      </c>
    </row>
    <row r="471" spans="1:21" s="1" customFormat="1">
      <c r="A471" s="4">
        <v>45987</v>
      </c>
      <c r="B471" s="1" t="s">
        <v>48</v>
      </c>
      <c r="C471" s="1">
        <v>0</v>
      </c>
      <c r="D471" s="1">
        <v>0</v>
      </c>
      <c r="E471" s="1">
        <v>0</v>
      </c>
      <c r="F471" s="1" t="s">
        <v>48</v>
      </c>
      <c r="G471" s="1">
        <v>0</v>
      </c>
      <c r="H471" s="1">
        <v>0</v>
      </c>
      <c r="I471" s="1">
        <v>0</v>
      </c>
      <c r="J471" s="1" t="s">
        <v>48</v>
      </c>
      <c r="K471" s="1">
        <v>0</v>
      </c>
      <c r="L471" s="1">
        <v>0</v>
      </c>
      <c r="M471" s="1">
        <v>0</v>
      </c>
      <c r="N471" s="1" t="s">
        <v>48</v>
      </c>
      <c r="O471" s="1" t="s">
        <v>48</v>
      </c>
      <c r="P471" s="1">
        <v>0</v>
      </c>
      <c r="Q471" s="1">
        <v>0</v>
      </c>
      <c r="R471" s="1" t="s">
        <v>48</v>
      </c>
      <c r="S471" s="1">
        <v>0</v>
      </c>
      <c r="T471" s="1">
        <v>0</v>
      </c>
      <c r="U471" s="1">
        <v>0</v>
      </c>
    </row>
    <row r="472" spans="1:21" s="1" customFormat="1">
      <c r="A472" s="4">
        <v>45988</v>
      </c>
      <c r="B472" s="1" t="s">
        <v>48</v>
      </c>
      <c r="C472" s="1">
        <v>0</v>
      </c>
      <c r="D472" s="1">
        <v>0</v>
      </c>
      <c r="E472" s="1">
        <v>0</v>
      </c>
      <c r="F472" s="1" t="s">
        <v>48</v>
      </c>
      <c r="G472" s="1">
        <v>0</v>
      </c>
      <c r="H472" s="1">
        <v>0</v>
      </c>
      <c r="I472" s="1">
        <v>0</v>
      </c>
      <c r="J472" s="1" t="s">
        <v>48</v>
      </c>
      <c r="K472" s="1">
        <v>0</v>
      </c>
      <c r="L472" s="1">
        <v>0</v>
      </c>
      <c r="M472" s="1">
        <v>0</v>
      </c>
      <c r="N472" s="1" t="s">
        <v>48</v>
      </c>
      <c r="O472" s="1">
        <v>0</v>
      </c>
      <c r="P472" s="1" t="s">
        <v>48</v>
      </c>
      <c r="Q472" s="1">
        <v>0</v>
      </c>
      <c r="R472" s="1" t="s">
        <v>48</v>
      </c>
      <c r="S472" s="1">
        <v>0</v>
      </c>
      <c r="T472" s="1">
        <v>0</v>
      </c>
      <c r="U472" s="1">
        <v>0</v>
      </c>
    </row>
    <row r="473" spans="1:21" s="1" customFormat="1">
      <c r="A473" s="4">
        <v>45989</v>
      </c>
      <c r="B473" s="1" t="s">
        <v>48</v>
      </c>
      <c r="C473" s="1">
        <v>0</v>
      </c>
      <c r="D473" s="1">
        <v>0</v>
      </c>
      <c r="E473" s="1">
        <v>0</v>
      </c>
      <c r="F473" s="1" t="s">
        <v>48</v>
      </c>
      <c r="G473" s="1">
        <v>0</v>
      </c>
      <c r="H473" s="1">
        <v>0</v>
      </c>
      <c r="I473" s="1">
        <v>0</v>
      </c>
      <c r="J473" s="1" t="s">
        <v>48</v>
      </c>
      <c r="K473" s="1">
        <v>0</v>
      </c>
      <c r="L473" s="1">
        <v>0</v>
      </c>
      <c r="M473" s="1">
        <v>0</v>
      </c>
      <c r="N473" s="1" t="s">
        <v>48</v>
      </c>
      <c r="O473" s="1">
        <v>0</v>
      </c>
      <c r="P473" s="1">
        <v>0</v>
      </c>
      <c r="Q473" s="1" t="s">
        <v>48</v>
      </c>
      <c r="R473" s="1" t="s">
        <v>48</v>
      </c>
      <c r="S473" s="1" t="s">
        <v>48</v>
      </c>
      <c r="T473" s="1">
        <v>0</v>
      </c>
      <c r="U473" s="1">
        <v>0</v>
      </c>
    </row>
    <row r="474" spans="1:21" s="1" customFormat="1">
      <c r="A474" s="4">
        <v>45992</v>
      </c>
      <c r="B474" s="1" t="s">
        <v>48</v>
      </c>
      <c r="C474" s="1">
        <v>0</v>
      </c>
      <c r="D474" s="1">
        <v>0</v>
      </c>
      <c r="E474" s="1">
        <v>0</v>
      </c>
      <c r="F474" s="1" t="s">
        <v>48</v>
      </c>
      <c r="G474" s="1">
        <v>0</v>
      </c>
      <c r="H474" s="1">
        <v>0</v>
      </c>
      <c r="I474" s="1">
        <v>0</v>
      </c>
      <c r="J474" s="1" t="s">
        <v>48</v>
      </c>
      <c r="K474" s="1">
        <v>0</v>
      </c>
      <c r="L474" s="1">
        <v>0</v>
      </c>
      <c r="M474" s="1">
        <v>0</v>
      </c>
      <c r="N474" s="1" t="s">
        <v>48</v>
      </c>
      <c r="O474" s="1">
        <v>0</v>
      </c>
      <c r="P474" s="1">
        <v>0</v>
      </c>
      <c r="Q474" s="1">
        <v>0</v>
      </c>
      <c r="R474" s="1" t="s">
        <v>48</v>
      </c>
      <c r="S474" s="1">
        <v>0</v>
      </c>
      <c r="T474" s="1" t="s">
        <v>48</v>
      </c>
      <c r="U474" s="1">
        <v>0</v>
      </c>
    </row>
    <row r="475" spans="1:21" s="1" customFormat="1">
      <c r="A475" s="4">
        <v>45993</v>
      </c>
      <c r="B475" s="1" t="s">
        <v>48</v>
      </c>
      <c r="C475" s="1">
        <v>0</v>
      </c>
      <c r="D475" s="1">
        <v>0</v>
      </c>
      <c r="E475" s="1">
        <v>0</v>
      </c>
      <c r="F475" s="1" t="s">
        <v>48</v>
      </c>
      <c r="G475" s="1">
        <v>0</v>
      </c>
      <c r="H475" s="1">
        <v>0</v>
      </c>
      <c r="I475" s="1">
        <v>0</v>
      </c>
      <c r="J475" s="1" t="s">
        <v>48</v>
      </c>
      <c r="K475" s="1">
        <v>0</v>
      </c>
      <c r="L475" s="1">
        <v>0</v>
      </c>
      <c r="M475" s="1">
        <v>0</v>
      </c>
      <c r="N475" s="1" t="s">
        <v>48</v>
      </c>
      <c r="O475" s="1">
        <v>0</v>
      </c>
      <c r="P475" s="1">
        <v>0</v>
      </c>
      <c r="Q475" s="1">
        <v>0</v>
      </c>
      <c r="R475" s="1" t="s">
        <v>48</v>
      </c>
      <c r="S475" s="1">
        <v>0</v>
      </c>
      <c r="T475" s="1">
        <v>0</v>
      </c>
      <c r="U475" s="1" t="s">
        <v>48</v>
      </c>
    </row>
    <row r="476" spans="1:21" s="1" customFormat="1">
      <c r="A476" s="4">
        <v>45994</v>
      </c>
      <c r="B476" s="1" t="s">
        <v>48</v>
      </c>
      <c r="C476" s="1">
        <v>0</v>
      </c>
      <c r="D476" s="1">
        <v>0</v>
      </c>
      <c r="E476" s="1">
        <v>0</v>
      </c>
      <c r="F476" s="1" t="s">
        <v>48</v>
      </c>
      <c r="G476" s="1">
        <v>0</v>
      </c>
      <c r="H476" s="1">
        <v>0</v>
      </c>
      <c r="I476" s="1">
        <v>0</v>
      </c>
      <c r="J476" s="1" t="s">
        <v>48</v>
      </c>
      <c r="K476" s="1">
        <v>0</v>
      </c>
      <c r="L476" s="1">
        <v>0</v>
      </c>
      <c r="M476" s="1">
        <v>0</v>
      </c>
      <c r="N476" s="1" t="s">
        <v>48</v>
      </c>
      <c r="O476" s="1" t="s">
        <v>48</v>
      </c>
      <c r="P476" s="1">
        <v>0</v>
      </c>
      <c r="Q476" s="1">
        <v>0</v>
      </c>
      <c r="R476" s="1" t="s">
        <v>48</v>
      </c>
      <c r="S476" s="1">
        <v>0</v>
      </c>
      <c r="T476" s="1">
        <v>0</v>
      </c>
      <c r="U476" s="1">
        <v>0</v>
      </c>
    </row>
    <row r="477" spans="1:21" s="1" customFormat="1">
      <c r="A477" s="4">
        <v>45995</v>
      </c>
      <c r="B477" s="1" t="s">
        <v>48</v>
      </c>
      <c r="C477" s="1">
        <v>0</v>
      </c>
      <c r="D477" s="1">
        <v>0</v>
      </c>
      <c r="E477" s="1">
        <v>0</v>
      </c>
      <c r="F477" s="1" t="s">
        <v>48</v>
      </c>
      <c r="G477" s="1">
        <v>0</v>
      </c>
      <c r="H477" s="1">
        <v>0</v>
      </c>
      <c r="I477" s="1">
        <v>0</v>
      </c>
      <c r="J477" s="1" t="s">
        <v>48</v>
      </c>
      <c r="K477" s="1">
        <v>0</v>
      </c>
      <c r="L477" s="1">
        <v>0</v>
      </c>
      <c r="M477" s="1">
        <v>0</v>
      </c>
      <c r="N477" s="1" t="s">
        <v>48</v>
      </c>
      <c r="O477" s="1">
        <v>0</v>
      </c>
      <c r="P477" s="1" t="s">
        <v>48</v>
      </c>
      <c r="Q477" s="1">
        <v>0</v>
      </c>
      <c r="R477" s="1" t="s">
        <v>48</v>
      </c>
      <c r="S477" s="1">
        <v>0</v>
      </c>
      <c r="T477" s="1">
        <v>0</v>
      </c>
      <c r="U477" s="1">
        <v>0</v>
      </c>
    </row>
    <row r="478" spans="1:21" s="1" customFormat="1">
      <c r="A478" s="4">
        <v>45996</v>
      </c>
      <c r="B478" s="1" t="s">
        <v>48</v>
      </c>
      <c r="C478" s="1">
        <v>0</v>
      </c>
      <c r="D478" s="1">
        <v>0</v>
      </c>
      <c r="E478" s="1">
        <v>0</v>
      </c>
      <c r="F478" s="1" t="s">
        <v>48</v>
      </c>
      <c r="G478" s="1">
        <v>0</v>
      </c>
      <c r="H478" s="1">
        <v>0</v>
      </c>
      <c r="I478" s="1">
        <v>0</v>
      </c>
      <c r="J478" s="1" t="s">
        <v>48</v>
      </c>
      <c r="K478" s="1">
        <v>0</v>
      </c>
      <c r="L478" s="1">
        <v>0</v>
      </c>
      <c r="M478" s="1">
        <v>0</v>
      </c>
      <c r="N478" s="1" t="s">
        <v>48</v>
      </c>
      <c r="O478" s="1">
        <v>0</v>
      </c>
      <c r="P478" s="1">
        <v>0</v>
      </c>
      <c r="Q478" s="1" t="s">
        <v>48</v>
      </c>
      <c r="R478" s="1" t="s">
        <v>48</v>
      </c>
      <c r="S478" s="1" t="s">
        <v>48</v>
      </c>
      <c r="T478" s="1">
        <v>0</v>
      </c>
      <c r="U478" s="1">
        <v>0</v>
      </c>
    </row>
    <row r="479" spans="1:21" s="1" customFormat="1">
      <c r="A479" s="4">
        <v>45999</v>
      </c>
      <c r="B479" s="1" t="s">
        <v>48</v>
      </c>
      <c r="C479" s="1">
        <v>0</v>
      </c>
      <c r="D479" s="1">
        <v>0</v>
      </c>
      <c r="E479" s="1">
        <v>0</v>
      </c>
      <c r="F479" s="1" t="s">
        <v>48</v>
      </c>
      <c r="G479" s="1">
        <v>0</v>
      </c>
      <c r="H479" s="1">
        <v>0</v>
      </c>
      <c r="I479" s="1">
        <v>0</v>
      </c>
      <c r="J479" s="1" t="s">
        <v>48</v>
      </c>
      <c r="K479" s="1">
        <v>0</v>
      </c>
      <c r="L479" s="1">
        <v>0</v>
      </c>
      <c r="M479" s="1">
        <v>0</v>
      </c>
      <c r="N479" s="1" t="s">
        <v>48</v>
      </c>
      <c r="O479" s="1">
        <v>0</v>
      </c>
      <c r="P479" s="1">
        <v>0</v>
      </c>
      <c r="Q479" s="1">
        <v>0</v>
      </c>
      <c r="R479" s="1" t="s">
        <v>48</v>
      </c>
      <c r="S479" s="1">
        <v>0</v>
      </c>
      <c r="T479" s="1" t="s">
        <v>48</v>
      </c>
      <c r="U479" s="1">
        <v>0</v>
      </c>
    </row>
    <row r="480" spans="1:21" s="1" customFormat="1">
      <c r="A480" s="4">
        <v>46000</v>
      </c>
      <c r="B480" s="1" t="s">
        <v>48</v>
      </c>
      <c r="C480" s="1">
        <v>0</v>
      </c>
      <c r="D480" s="1">
        <v>0</v>
      </c>
      <c r="E480" s="1">
        <v>0</v>
      </c>
      <c r="F480" s="1" t="s">
        <v>48</v>
      </c>
      <c r="G480" s="1">
        <v>0</v>
      </c>
      <c r="H480" s="1">
        <v>0</v>
      </c>
      <c r="I480" s="1">
        <v>0</v>
      </c>
      <c r="J480" s="1" t="s">
        <v>48</v>
      </c>
      <c r="K480" s="1">
        <v>0</v>
      </c>
      <c r="L480" s="1">
        <v>0</v>
      </c>
      <c r="M480" s="1">
        <v>0</v>
      </c>
      <c r="N480" s="1" t="s">
        <v>48</v>
      </c>
      <c r="O480" s="1">
        <v>0</v>
      </c>
      <c r="P480" s="1">
        <v>0</v>
      </c>
      <c r="Q480" s="1">
        <v>0</v>
      </c>
      <c r="R480" s="1" t="s">
        <v>48</v>
      </c>
      <c r="S480" s="1">
        <v>0</v>
      </c>
      <c r="T480" s="1">
        <v>0</v>
      </c>
      <c r="U480" s="1" t="s">
        <v>48</v>
      </c>
    </row>
    <row r="481" spans="1:21" s="1" customFormat="1">
      <c r="A481" s="4">
        <v>46001</v>
      </c>
      <c r="B481" s="1" t="s">
        <v>48</v>
      </c>
      <c r="C481" s="1">
        <v>0</v>
      </c>
      <c r="D481" s="1">
        <v>0</v>
      </c>
      <c r="E481" s="1">
        <v>0</v>
      </c>
      <c r="F481" s="1" t="s">
        <v>48</v>
      </c>
      <c r="G481" s="1">
        <v>0</v>
      </c>
      <c r="H481" s="1">
        <v>0</v>
      </c>
      <c r="I481" s="1">
        <v>0</v>
      </c>
      <c r="J481" s="1" t="s">
        <v>48</v>
      </c>
      <c r="K481" s="1">
        <v>0</v>
      </c>
      <c r="L481" s="1">
        <v>0</v>
      </c>
      <c r="M481" s="1">
        <v>0</v>
      </c>
      <c r="N481" s="1" t="s">
        <v>48</v>
      </c>
      <c r="O481" s="1" t="s">
        <v>48</v>
      </c>
      <c r="P481" s="1">
        <v>0</v>
      </c>
      <c r="Q481" s="1">
        <v>0</v>
      </c>
      <c r="R481" s="1" t="s">
        <v>48</v>
      </c>
      <c r="S481" s="1">
        <v>0</v>
      </c>
      <c r="T481" s="1">
        <v>0</v>
      </c>
      <c r="U481" s="1">
        <v>0</v>
      </c>
    </row>
    <row r="482" spans="1:21" s="1" customFormat="1">
      <c r="A482" s="4">
        <v>46002</v>
      </c>
      <c r="B482" s="1" t="s">
        <v>48</v>
      </c>
      <c r="C482" s="1">
        <v>0</v>
      </c>
      <c r="D482" s="1">
        <v>0</v>
      </c>
      <c r="E482" s="1">
        <v>0</v>
      </c>
      <c r="F482" s="1" t="s">
        <v>48</v>
      </c>
      <c r="G482" s="1">
        <v>0</v>
      </c>
      <c r="H482" s="1">
        <v>0</v>
      </c>
      <c r="I482" s="1">
        <v>0</v>
      </c>
      <c r="J482" s="1" t="s">
        <v>48</v>
      </c>
      <c r="K482" s="1">
        <v>0</v>
      </c>
      <c r="L482" s="1">
        <v>0</v>
      </c>
      <c r="M482" s="1">
        <v>0</v>
      </c>
      <c r="N482" s="1" t="s">
        <v>48</v>
      </c>
      <c r="O482" s="1">
        <v>0</v>
      </c>
      <c r="P482" s="1" t="s">
        <v>48</v>
      </c>
      <c r="Q482" s="1">
        <v>0</v>
      </c>
      <c r="R482" s="1" t="s">
        <v>48</v>
      </c>
      <c r="S482" s="1">
        <v>0</v>
      </c>
      <c r="T482" s="1">
        <v>0</v>
      </c>
      <c r="U482" s="1">
        <v>0</v>
      </c>
    </row>
    <row r="483" spans="1:21" s="1" customFormat="1">
      <c r="A483" s="4">
        <v>46003</v>
      </c>
      <c r="B483" s="1" t="s">
        <v>48</v>
      </c>
      <c r="C483" s="1">
        <v>0</v>
      </c>
      <c r="D483" s="1">
        <v>0</v>
      </c>
      <c r="E483" s="1">
        <v>0</v>
      </c>
      <c r="F483" s="1" t="s">
        <v>48</v>
      </c>
      <c r="G483" s="1">
        <v>0</v>
      </c>
      <c r="H483" s="1">
        <v>0</v>
      </c>
      <c r="I483" s="1">
        <v>0</v>
      </c>
      <c r="J483" s="1" t="s">
        <v>48</v>
      </c>
      <c r="K483" s="1">
        <v>0</v>
      </c>
      <c r="L483" s="1">
        <v>0</v>
      </c>
      <c r="M483" s="1">
        <v>0</v>
      </c>
      <c r="N483" s="1" t="s">
        <v>48</v>
      </c>
      <c r="O483" s="1">
        <v>0</v>
      </c>
      <c r="P483" s="1">
        <v>0</v>
      </c>
      <c r="Q483" s="1" t="s">
        <v>48</v>
      </c>
      <c r="R483" s="1" t="s">
        <v>48</v>
      </c>
      <c r="S483" s="1" t="s">
        <v>48</v>
      </c>
      <c r="T483" s="1">
        <v>0</v>
      </c>
      <c r="U483" s="1">
        <v>0</v>
      </c>
    </row>
    <row r="484" spans="1:21" s="1" customFormat="1">
      <c r="A484" s="4">
        <v>46006</v>
      </c>
      <c r="B484" s="1" t="s">
        <v>48</v>
      </c>
      <c r="C484" s="1">
        <v>0</v>
      </c>
      <c r="D484" s="1">
        <v>0</v>
      </c>
      <c r="E484" s="1">
        <v>0</v>
      </c>
      <c r="F484" s="1" t="s">
        <v>48</v>
      </c>
      <c r="G484" s="1">
        <v>0</v>
      </c>
      <c r="H484" s="1">
        <v>0</v>
      </c>
      <c r="I484" s="1">
        <v>0</v>
      </c>
      <c r="J484" s="1" t="s">
        <v>48</v>
      </c>
      <c r="K484" s="1">
        <v>0</v>
      </c>
      <c r="L484" s="1">
        <v>0</v>
      </c>
      <c r="M484" s="1">
        <v>0</v>
      </c>
      <c r="N484" s="1" t="s">
        <v>48</v>
      </c>
      <c r="O484" s="1">
        <v>0</v>
      </c>
      <c r="P484" s="1">
        <v>0</v>
      </c>
      <c r="Q484" s="1">
        <v>0</v>
      </c>
      <c r="R484" s="1" t="s">
        <v>48</v>
      </c>
      <c r="S484" s="1">
        <v>0</v>
      </c>
      <c r="T484" s="1" t="s">
        <v>48</v>
      </c>
      <c r="U484" s="1">
        <v>0</v>
      </c>
    </row>
    <row r="485" spans="1:21" s="1" customFormat="1">
      <c r="A485" s="4">
        <v>46007</v>
      </c>
      <c r="B485" s="1" t="s">
        <v>48</v>
      </c>
      <c r="C485" s="1">
        <v>0</v>
      </c>
      <c r="D485" s="1">
        <v>0</v>
      </c>
      <c r="E485" s="1">
        <v>0</v>
      </c>
      <c r="F485" s="1" t="s">
        <v>48</v>
      </c>
      <c r="G485" s="1">
        <v>0</v>
      </c>
      <c r="H485" s="1">
        <v>0</v>
      </c>
      <c r="I485" s="1">
        <v>0</v>
      </c>
      <c r="J485" s="1" t="s">
        <v>48</v>
      </c>
      <c r="K485" s="1">
        <v>0</v>
      </c>
      <c r="L485" s="1">
        <v>0</v>
      </c>
      <c r="M485" s="1">
        <v>0</v>
      </c>
      <c r="N485" s="1" t="s">
        <v>48</v>
      </c>
      <c r="O485" s="1">
        <v>0</v>
      </c>
      <c r="P485" s="1">
        <v>0</v>
      </c>
      <c r="Q485" s="1">
        <v>0</v>
      </c>
      <c r="R485" s="1" t="s">
        <v>48</v>
      </c>
      <c r="S485" s="1">
        <v>0</v>
      </c>
      <c r="T485" s="1">
        <v>0</v>
      </c>
      <c r="U485" s="1" t="s">
        <v>48</v>
      </c>
    </row>
    <row r="486" spans="1:21" s="1" customFormat="1">
      <c r="A486" s="4">
        <v>46008</v>
      </c>
      <c r="B486" s="1" t="s">
        <v>48</v>
      </c>
      <c r="C486" s="1">
        <v>0</v>
      </c>
      <c r="D486" s="1">
        <v>0</v>
      </c>
      <c r="E486" s="1">
        <v>0</v>
      </c>
      <c r="F486" s="1" t="s">
        <v>48</v>
      </c>
      <c r="G486" s="1">
        <v>0</v>
      </c>
      <c r="H486" s="1">
        <v>0</v>
      </c>
      <c r="I486" s="1">
        <v>0</v>
      </c>
      <c r="J486" s="1" t="s">
        <v>48</v>
      </c>
      <c r="K486" s="1">
        <v>0</v>
      </c>
      <c r="L486" s="1">
        <v>0</v>
      </c>
      <c r="M486" s="1">
        <v>0</v>
      </c>
      <c r="N486" s="1" t="s">
        <v>48</v>
      </c>
      <c r="O486" s="1" t="s">
        <v>48</v>
      </c>
      <c r="P486" s="1">
        <v>0</v>
      </c>
      <c r="Q486" s="1">
        <v>0</v>
      </c>
      <c r="R486" s="1" t="s">
        <v>48</v>
      </c>
      <c r="S486" s="1">
        <v>0</v>
      </c>
      <c r="T486" s="1">
        <v>0</v>
      </c>
      <c r="U486" s="1">
        <v>0</v>
      </c>
    </row>
    <row r="487" spans="1:21" s="1" customFormat="1">
      <c r="A487" s="4">
        <v>46009</v>
      </c>
      <c r="B487" s="1" t="s">
        <v>48</v>
      </c>
      <c r="C487" s="1">
        <v>0</v>
      </c>
      <c r="D487" s="1">
        <v>0</v>
      </c>
      <c r="E487" s="1">
        <v>0</v>
      </c>
      <c r="F487" s="1" t="s">
        <v>48</v>
      </c>
      <c r="G487" s="1">
        <v>0</v>
      </c>
      <c r="H487" s="1">
        <v>0</v>
      </c>
      <c r="I487" s="1">
        <v>0</v>
      </c>
      <c r="J487" s="1" t="s">
        <v>48</v>
      </c>
      <c r="K487" s="1">
        <v>0</v>
      </c>
      <c r="L487" s="1">
        <v>0</v>
      </c>
      <c r="M487" s="1">
        <v>0</v>
      </c>
      <c r="N487" s="1" t="s">
        <v>48</v>
      </c>
      <c r="O487" s="1">
        <v>0</v>
      </c>
      <c r="P487" s="1" t="s">
        <v>48</v>
      </c>
      <c r="Q487" s="1">
        <v>0</v>
      </c>
      <c r="R487" s="1" t="s">
        <v>48</v>
      </c>
      <c r="S487" s="1">
        <v>0</v>
      </c>
      <c r="T487" s="1">
        <v>0</v>
      </c>
      <c r="U487" s="1">
        <v>0</v>
      </c>
    </row>
    <row r="488" spans="1:21" s="1" customFormat="1">
      <c r="A488" s="4">
        <v>46010</v>
      </c>
      <c r="B488" s="1" t="s">
        <v>48</v>
      </c>
      <c r="C488" s="1">
        <v>0</v>
      </c>
      <c r="D488" s="1">
        <v>0</v>
      </c>
      <c r="E488" s="1">
        <v>0</v>
      </c>
      <c r="F488" s="1" t="s">
        <v>48</v>
      </c>
      <c r="G488" s="1">
        <v>0</v>
      </c>
      <c r="H488" s="1">
        <v>0</v>
      </c>
      <c r="I488" s="1">
        <v>0</v>
      </c>
      <c r="J488" s="1" t="s">
        <v>48</v>
      </c>
      <c r="K488" s="1">
        <v>0</v>
      </c>
      <c r="L488" s="1">
        <v>0</v>
      </c>
      <c r="M488" s="1">
        <v>0</v>
      </c>
      <c r="N488" s="1" t="s">
        <v>48</v>
      </c>
      <c r="O488" s="1">
        <v>0</v>
      </c>
      <c r="P488" s="1">
        <v>0</v>
      </c>
      <c r="Q488" s="1" t="s">
        <v>48</v>
      </c>
      <c r="R488" s="1" t="s">
        <v>48</v>
      </c>
      <c r="S488" s="1" t="s">
        <v>48</v>
      </c>
      <c r="T488" s="1" t="s">
        <v>48</v>
      </c>
      <c r="U488" s="1">
        <v>0</v>
      </c>
    </row>
    <row r="489" spans="1:21" s="1" customFormat="1">
      <c r="A489" s="4">
        <v>46013</v>
      </c>
      <c r="B489" s="1" t="s">
        <v>48</v>
      </c>
      <c r="C489" s="1">
        <v>0</v>
      </c>
      <c r="D489" s="1">
        <v>0</v>
      </c>
      <c r="E489" s="1">
        <v>0</v>
      </c>
      <c r="F489" s="1" t="s">
        <v>48</v>
      </c>
      <c r="G489" s="1">
        <v>0</v>
      </c>
      <c r="H489" s="1">
        <v>0</v>
      </c>
      <c r="I489" s="1">
        <v>0</v>
      </c>
      <c r="J489" s="1" t="s">
        <v>48</v>
      </c>
      <c r="K489" s="1">
        <v>0</v>
      </c>
      <c r="L489" s="1">
        <v>0</v>
      </c>
      <c r="M489" s="1">
        <v>0</v>
      </c>
      <c r="N489" s="1" t="s">
        <v>48</v>
      </c>
      <c r="O489" s="1">
        <v>0</v>
      </c>
      <c r="P489" s="1">
        <v>0</v>
      </c>
      <c r="Q489" s="1">
        <v>0</v>
      </c>
      <c r="R489" s="1" t="s">
        <v>48</v>
      </c>
      <c r="S489" s="1">
        <v>0</v>
      </c>
      <c r="T489" s="1">
        <v>0</v>
      </c>
      <c r="U489" s="1" t="s">
        <v>48</v>
      </c>
    </row>
    <row r="490" spans="1:21" s="1" customFormat="1">
      <c r="A490" s="4">
        <v>46014</v>
      </c>
      <c r="B490" s="1" t="s">
        <v>48</v>
      </c>
      <c r="C490" s="1" t="s">
        <v>48</v>
      </c>
      <c r="D490" s="1">
        <v>0</v>
      </c>
      <c r="E490" s="1">
        <v>0</v>
      </c>
      <c r="F490" s="1" t="s">
        <v>48</v>
      </c>
      <c r="G490" s="1" t="s">
        <v>48</v>
      </c>
      <c r="H490" s="1">
        <v>0</v>
      </c>
      <c r="I490" s="1">
        <v>0</v>
      </c>
      <c r="J490" s="1" t="s">
        <v>48</v>
      </c>
      <c r="K490" s="1" t="s">
        <v>48</v>
      </c>
      <c r="L490" s="1">
        <v>0</v>
      </c>
      <c r="M490" s="1">
        <v>0</v>
      </c>
      <c r="N490" s="1" t="s">
        <v>48</v>
      </c>
      <c r="O490" s="1">
        <v>0</v>
      </c>
      <c r="P490" s="1">
        <v>0</v>
      </c>
      <c r="Q490" s="1">
        <v>0</v>
      </c>
      <c r="R490" s="1" t="s">
        <v>48</v>
      </c>
      <c r="S490" s="1">
        <v>0</v>
      </c>
      <c r="T490" s="1">
        <v>0</v>
      </c>
      <c r="U490" s="1">
        <v>0</v>
      </c>
    </row>
    <row r="491" spans="1:21" s="1" customFormat="1">
      <c r="A491" s="4">
        <v>46015</v>
      </c>
      <c r="B491" s="1" t="s">
        <v>48</v>
      </c>
      <c r="C491" s="1">
        <v>0</v>
      </c>
      <c r="D491" s="1" t="s">
        <v>48</v>
      </c>
      <c r="E491" s="1">
        <v>0</v>
      </c>
      <c r="F491" s="1" t="s">
        <v>48</v>
      </c>
      <c r="G491" s="1">
        <v>0</v>
      </c>
      <c r="H491" s="1" t="s">
        <v>48</v>
      </c>
      <c r="I491" s="1">
        <v>0</v>
      </c>
      <c r="J491" s="1" t="s">
        <v>48</v>
      </c>
      <c r="K491" s="1">
        <v>0</v>
      </c>
      <c r="L491" s="1" t="s">
        <v>48</v>
      </c>
      <c r="M491" s="1">
        <v>0</v>
      </c>
      <c r="N491" s="1" t="s">
        <v>48</v>
      </c>
      <c r="O491" s="1" t="s">
        <v>48</v>
      </c>
      <c r="P491" s="1" t="s">
        <v>48</v>
      </c>
      <c r="Q491" s="1">
        <v>0</v>
      </c>
      <c r="R491" s="1" t="s">
        <v>48</v>
      </c>
      <c r="S491" s="1">
        <v>0</v>
      </c>
      <c r="T491" s="1">
        <v>0</v>
      </c>
      <c r="U491" s="1">
        <v>0</v>
      </c>
    </row>
    <row r="492" spans="1:21" s="1" customFormat="1">
      <c r="A492" s="4">
        <v>46017</v>
      </c>
      <c r="B492" s="1" t="s">
        <v>48</v>
      </c>
      <c r="C492" s="1">
        <v>0</v>
      </c>
      <c r="D492" s="1">
        <v>0</v>
      </c>
      <c r="E492" s="1" t="s">
        <v>48</v>
      </c>
      <c r="F492" s="1" t="s">
        <v>48</v>
      </c>
      <c r="G492" s="1">
        <v>0</v>
      </c>
      <c r="H492" s="1">
        <v>0</v>
      </c>
      <c r="I492" s="1" t="s">
        <v>48</v>
      </c>
      <c r="J492" s="1" t="s">
        <v>48</v>
      </c>
      <c r="K492" s="1">
        <v>0</v>
      </c>
      <c r="L492" s="1">
        <v>0</v>
      </c>
      <c r="M492" s="1" t="s">
        <v>48</v>
      </c>
      <c r="N492" s="1" t="s">
        <v>48</v>
      </c>
      <c r="O492" s="1">
        <v>0</v>
      </c>
      <c r="P492" s="1">
        <v>0</v>
      </c>
      <c r="Q492" s="1" t="s">
        <v>48</v>
      </c>
      <c r="R492" s="1" t="s">
        <v>48</v>
      </c>
      <c r="S492" s="1" t="s">
        <v>48</v>
      </c>
      <c r="T492" s="1">
        <v>0</v>
      </c>
      <c r="U492" s="1">
        <v>0</v>
      </c>
    </row>
    <row r="493" spans="1:21" s="1" customFormat="1">
      <c r="A493" s="4">
        <v>46020</v>
      </c>
      <c r="B493" s="1" t="s">
        <v>48</v>
      </c>
      <c r="C493" s="1">
        <v>0</v>
      </c>
      <c r="D493" s="1">
        <v>0</v>
      </c>
      <c r="E493" s="1">
        <v>0</v>
      </c>
      <c r="F493" s="1" t="s">
        <v>48</v>
      </c>
      <c r="G493" s="1">
        <v>0</v>
      </c>
      <c r="H493" s="1">
        <v>0</v>
      </c>
      <c r="I493" s="1">
        <v>0</v>
      </c>
      <c r="J493" s="1" t="s">
        <v>48</v>
      </c>
      <c r="K493" s="1">
        <v>0</v>
      </c>
      <c r="L493" s="1">
        <v>0</v>
      </c>
      <c r="M493" s="1">
        <v>0</v>
      </c>
      <c r="N493" s="1" t="s">
        <v>48</v>
      </c>
      <c r="O493" s="1">
        <v>0</v>
      </c>
      <c r="P493" s="1">
        <v>0</v>
      </c>
      <c r="Q493" s="1">
        <v>0</v>
      </c>
      <c r="R493" s="1" t="s">
        <v>48</v>
      </c>
      <c r="S493" s="1">
        <v>0</v>
      </c>
      <c r="T493" s="1" t="s">
        <v>48</v>
      </c>
      <c r="U493" s="1">
        <v>0</v>
      </c>
    </row>
    <row r="494" spans="1:21" s="1" customFormat="1">
      <c r="A494" s="4">
        <v>46021</v>
      </c>
      <c r="B494" s="1" t="s">
        <v>48</v>
      </c>
      <c r="C494" s="1">
        <v>0</v>
      </c>
      <c r="D494" s="1">
        <v>0</v>
      </c>
      <c r="E494" s="1">
        <v>0</v>
      </c>
      <c r="F494" s="1" t="s">
        <v>48</v>
      </c>
      <c r="G494" s="1">
        <v>0</v>
      </c>
      <c r="H494" s="1">
        <v>0</v>
      </c>
      <c r="I494" s="1">
        <v>0</v>
      </c>
      <c r="J494" s="1" t="s">
        <v>48</v>
      </c>
      <c r="K494" s="1">
        <v>0</v>
      </c>
      <c r="L494" s="1">
        <v>0</v>
      </c>
      <c r="M494" s="1">
        <v>0</v>
      </c>
      <c r="N494" s="1" t="s">
        <v>48</v>
      </c>
      <c r="O494" s="1">
        <v>0</v>
      </c>
      <c r="P494" s="1">
        <v>0</v>
      </c>
      <c r="Q494" s="1">
        <v>0</v>
      </c>
      <c r="R494" s="1" t="s">
        <v>48</v>
      </c>
      <c r="S494" s="1">
        <v>0</v>
      </c>
      <c r="T494" s="1">
        <v>0</v>
      </c>
      <c r="U494" s="1" t="s">
        <v>48</v>
      </c>
    </row>
    <row r="495" spans="1:21" s="1" customFormat="1">
      <c r="A495" s="4">
        <v>46022</v>
      </c>
      <c r="B495" s="1" t="s">
        <v>48</v>
      </c>
      <c r="C495" s="1">
        <v>0</v>
      </c>
      <c r="D495" s="1">
        <v>0</v>
      </c>
      <c r="E495" s="1">
        <v>0</v>
      </c>
      <c r="F495" s="1" t="s">
        <v>48</v>
      </c>
      <c r="G495" s="1">
        <v>0</v>
      </c>
      <c r="H495" s="1">
        <v>0</v>
      </c>
      <c r="I495" s="1">
        <v>0</v>
      </c>
      <c r="J495" s="1" t="s">
        <v>48</v>
      </c>
      <c r="K495" s="1">
        <v>0</v>
      </c>
      <c r="L495" s="1">
        <v>0</v>
      </c>
      <c r="M495" s="1">
        <v>0</v>
      </c>
      <c r="N495" s="1" t="s">
        <v>48</v>
      </c>
      <c r="O495" s="1" t="s">
        <v>48</v>
      </c>
      <c r="P495" s="1">
        <v>0</v>
      </c>
      <c r="Q495" s="1">
        <v>0</v>
      </c>
      <c r="R495" s="1" t="s">
        <v>48</v>
      </c>
      <c r="S495" s="1">
        <v>0</v>
      </c>
      <c r="T495" s="1">
        <v>0</v>
      </c>
      <c r="U495" s="1">
        <v>0</v>
      </c>
    </row>
    <row r="496" spans="1:21" s="1" customFormat="1">
      <c r="A496" s="4">
        <v>46023</v>
      </c>
      <c r="B496" s="1" t="s">
        <v>48</v>
      </c>
      <c r="C496" s="1">
        <v>0</v>
      </c>
      <c r="D496" s="1">
        <v>0</v>
      </c>
      <c r="E496" s="1">
        <v>0</v>
      </c>
      <c r="F496" s="1" t="s">
        <v>48</v>
      </c>
      <c r="G496" s="1">
        <v>0</v>
      </c>
      <c r="H496" s="1">
        <v>0</v>
      </c>
      <c r="I496" s="1">
        <v>0</v>
      </c>
      <c r="J496" s="1" t="s">
        <v>48</v>
      </c>
      <c r="K496" s="1">
        <v>0</v>
      </c>
      <c r="L496" s="1">
        <v>0</v>
      </c>
      <c r="M496" s="1">
        <v>0</v>
      </c>
      <c r="N496" s="1" t="s">
        <v>48</v>
      </c>
      <c r="O496" s="1">
        <v>0</v>
      </c>
      <c r="P496" s="1" t="s">
        <v>48</v>
      </c>
      <c r="Q496" s="1">
        <v>0</v>
      </c>
      <c r="R496" s="1" t="s">
        <v>48</v>
      </c>
      <c r="S496" s="1">
        <v>0</v>
      </c>
      <c r="T496" s="1">
        <v>0</v>
      </c>
      <c r="U496" s="1">
        <v>0</v>
      </c>
    </row>
    <row r="497" spans="1:21" s="1" customFormat="1">
      <c r="A497" s="4">
        <v>46024</v>
      </c>
      <c r="B497" s="1" t="s">
        <v>48</v>
      </c>
      <c r="C497" s="1">
        <v>0</v>
      </c>
      <c r="D497" s="1">
        <v>0</v>
      </c>
      <c r="E497" s="1">
        <v>0</v>
      </c>
      <c r="F497" s="1" t="s">
        <v>48</v>
      </c>
      <c r="G497" s="1">
        <v>0</v>
      </c>
      <c r="H497" s="1">
        <v>0</v>
      </c>
      <c r="I497" s="1">
        <v>0</v>
      </c>
      <c r="J497" s="1" t="s">
        <v>48</v>
      </c>
      <c r="K497" s="1">
        <v>0</v>
      </c>
      <c r="L497" s="1">
        <v>0</v>
      </c>
      <c r="M497" s="1">
        <v>0</v>
      </c>
      <c r="N497" s="1" t="s">
        <v>48</v>
      </c>
      <c r="O497" s="1">
        <v>0</v>
      </c>
      <c r="P497" s="1">
        <v>0</v>
      </c>
      <c r="Q497" s="1" t="s">
        <v>48</v>
      </c>
      <c r="R497" s="1" t="s">
        <v>48</v>
      </c>
      <c r="S497" s="1" t="s">
        <v>48</v>
      </c>
      <c r="T497" s="1">
        <v>0</v>
      </c>
      <c r="U497" s="1">
        <v>0</v>
      </c>
    </row>
    <row r="498" spans="1:21" s="1" customFormat="1">
      <c r="A498" s="4">
        <v>46027</v>
      </c>
      <c r="B498" s="1" t="s">
        <v>48</v>
      </c>
      <c r="C498" s="1">
        <v>0</v>
      </c>
      <c r="D498" s="1">
        <v>0</v>
      </c>
      <c r="E498" s="1">
        <v>0</v>
      </c>
      <c r="F498" s="1" t="s">
        <v>48</v>
      </c>
      <c r="G498" s="1">
        <v>0</v>
      </c>
      <c r="H498" s="1">
        <v>0</v>
      </c>
      <c r="I498" s="1">
        <v>0</v>
      </c>
      <c r="J498" s="1" t="s">
        <v>48</v>
      </c>
      <c r="K498" s="1">
        <v>0</v>
      </c>
      <c r="L498" s="1">
        <v>0</v>
      </c>
      <c r="M498" s="1">
        <v>0</v>
      </c>
      <c r="N498" s="1" t="s">
        <v>48</v>
      </c>
      <c r="O498" s="1">
        <v>0</v>
      </c>
      <c r="P498" s="1">
        <v>0</v>
      </c>
      <c r="Q498" s="1">
        <v>0</v>
      </c>
      <c r="R498" s="1" t="s">
        <v>48</v>
      </c>
      <c r="S498" s="1">
        <v>0</v>
      </c>
      <c r="T498" s="1" t="s">
        <v>48</v>
      </c>
      <c r="U498" s="1">
        <v>0</v>
      </c>
    </row>
    <row r="499" spans="1:21" s="1" customFormat="1">
      <c r="A499" s="4">
        <v>46028</v>
      </c>
      <c r="B499" s="1" t="s">
        <v>48</v>
      </c>
      <c r="C499" s="1">
        <v>0</v>
      </c>
      <c r="D499" s="1">
        <v>0</v>
      </c>
      <c r="E499" s="1">
        <v>0</v>
      </c>
      <c r="F499" s="1" t="s">
        <v>48</v>
      </c>
      <c r="G499" s="1">
        <v>0</v>
      </c>
      <c r="H499" s="1">
        <v>0</v>
      </c>
      <c r="I499" s="1">
        <v>0</v>
      </c>
      <c r="J499" s="1" t="s">
        <v>48</v>
      </c>
      <c r="K499" s="1">
        <v>0</v>
      </c>
      <c r="L499" s="1">
        <v>0</v>
      </c>
      <c r="M499" s="1">
        <v>0</v>
      </c>
      <c r="N499" s="1" t="s">
        <v>48</v>
      </c>
      <c r="O499" s="1">
        <v>0</v>
      </c>
      <c r="P499" s="1">
        <v>0</v>
      </c>
      <c r="Q499" s="1">
        <v>0</v>
      </c>
      <c r="R499" s="1" t="s">
        <v>48</v>
      </c>
      <c r="S499" s="1">
        <v>0</v>
      </c>
      <c r="T499" s="1">
        <v>0</v>
      </c>
      <c r="U499" s="1" t="s">
        <v>48</v>
      </c>
    </row>
    <row r="500" spans="1:21" s="1" customFormat="1">
      <c r="A500" s="4">
        <v>46029</v>
      </c>
      <c r="B500" s="1" t="s">
        <v>48</v>
      </c>
      <c r="C500" s="1">
        <v>0</v>
      </c>
      <c r="D500" s="1">
        <v>0</v>
      </c>
      <c r="E500" s="1">
        <v>0</v>
      </c>
      <c r="F500" s="1" t="s">
        <v>48</v>
      </c>
      <c r="G500" s="1">
        <v>0</v>
      </c>
      <c r="H500" s="1">
        <v>0</v>
      </c>
      <c r="I500" s="1">
        <v>0</v>
      </c>
      <c r="J500" s="1" t="s">
        <v>48</v>
      </c>
      <c r="K500" s="1">
        <v>0</v>
      </c>
      <c r="L500" s="1">
        <v>0</v>
      </c>
      <c r="M500" s="1">
        <v>0</v>
      </c>
      <c r="N500" s="1" t="s">
        <v>48</v>
      </c>
      <c r="O500" s="1" t="s">
        <v>48</v>
      </c>
      <c r="P500" s="1">
        <v>0</v>
      </c>
      <c r="Q500" s="1">
        <v>0</v>
      </c>
      <c r="R500" s="1" t="s">
        <v>48</v>
      </c>
      <c r="S500" s="1">
        <v>0</v>
      </c>
      <c r="T500" s="1">
        <v>0</v>
      </c>
      <c r="U500" s="1">
        <v>0</v>
      </c>
    </row>
    <row r="501" spans="1:21" s="1" customFormat="1">
      <c r="A501" s="4">
        <v>46030</v>
      </c>
      <c r="B501" s="1" t="s">
        <v>48</v>
      </c>
      <c r="C501" s="1">
        <v>0</v>
      </c>
      <c r="D501" s="1">
        <v>0</v>
      </c>
      <c r="E501" s="1">
        <v>0</v>
      </c>
      <c r="F501" s="1" t="s">
        <v>48</v>
      </c>
      <c r="G501" s="1">
        <v>0</v>
      </c>
      <c r="H501" s="1">
        <v>0</v>
      </c>
      <c r="I501" s="1">
        <v>0</v>
      </c>
      <c r="J501" s="1" t="s">
        <v>48</v>
      </c>
      <c r="K501" s="1">
        <v>0</v>
      </c>
      <c r="L501" s="1">
        <v>0</v>
      </c>
      <c r="M501" s="1">
        <v>0</v>
      </c>
      <c r="N501" s="1" t="s">
        <v>48</v>
      </c>
      <c r="O501" s="1">
        <v>0</v>
      </c>
      <c r="P501" s="1" t="s">
        <v>48</v>
      </c>
      <c r="Q501" s="1">
        <v>0</v>
      </c>
      <c r="R501" s="1" t="s">
        <v>48</v>
      </c>
      <c r="S501" s="1">
        <v>0</v>
      </c>
      <c r="T501" s="1">
        <v>0</v>
      </c>
      <c r="U501" s="1">
        <v>0</v>
      </c>
    </row>
    <row r="502" spans="1:21" s="1" customFormat="1">
      <c r="A502" s="4">
        <v>46031</v>
      </c>
      <c r="B502" s="1" t="s">
        <v>48</v>
      </c>
      <c r="C502" s="1">
        <v>0</v>
      </c>
      <c r="D502" s="1">
        <v>0</v>
      </c>
      <c r="E502" s="1">
        <v>0</v>
      </c>
      <c r="F502" s="1" t="s">
        <v>48</v>
      </c>
      <c r="G502" s="1">
        <v>0</v>
      </c>
      <c r="H502" s="1">
        <v>0</v>
      </c>
      <c r="I502" s="1">
        <v>0</v>
      </c>
      <c r="J502" s="1" t="s">
        <v>48</v>
      </c>
      <c r="K502" s="1">
        <v>0</v>
      </c>
      <c r="L502" s="1">
        <v>0</v>
      </c>
      <c r="M502" s="1">
        <v>0</v>
      </c>
      <c r="N502" s="1" t="s">
        <v>48</v>
      </c>
      <c r="O502" s="1">
        <v>0</v>
      </c>
      <c r="P502" s="1">
        <v>0</v>
      </c>
      <c r="Q502" s="1" t="s">
        <v>48</v>
      </c>
      <c r="R502" s="1" t="s">
        <v>48</v>
      </c>
      <c r="S502" s="1" t="s">
        <v>48</v>
      </c>
      <c r="T502" s="1" t="s">
        <v>48</v>
      </c>
      <c r="U502" s="1">
        <v>0</v>
      </c>
    </row>
    <row r="503" spans="1:21" s="1" customFormat="1">
      <c r="A503" s="4">
        <v>46034</v>
      </c>
      <c r="B503" s="1" t="s">
        <v>48</v>
      </c>
      <c r="C503" s="1">
        <v>0</v>
      </c>
      <c r="D503" s="1">
        <v>0</v>
      </c>
      <c r="E503" s="1">
        <v>0</v>
      </c>
      <c r="F503" s="1" t="s">
        <v>48</v>
      </c>
      <c r="G503" s="1">
        <v>0</v>
      </c>
      <c r="H503" s="1">
        <v>0</v>
      </c>
      <c r="I503" s="1">
        <v>0</v>
      </c>
      <c r="J503" s="1" t="s">
        <v>48</v>
      </c>
      <c r="K503" s="1">
        <v>0</v>
      </c>
      <c r="L503" s="1">
        <v>0</v>
      </c>
      <c r="M503" s="1">
        <v>0</v>
      </c>
      <c r="N503" s="1" t="s">
        <v>48</v>
      </c>
      <c r="O503" s="1">
        <v>0</v>
      </c>
      <c r="P503" s="1">
        <v>0</v>
      </c>
      <c r="Q503" s="1">
        <v>0</v>
      </c>
      <c r="R503" s="1" t="s">
        <v>48</v>
      </c>
      <c r="S503" s="1">
        <v>0</v>
      </c>
      <c r="T503" s="1">
        <v>0</v>
      </c>
      <c r="U503" s="1" t="s">
        <v>48</v>
      </c>
    </row>
    <row r="504" spans="1:21" s="1" customFormat="1">
      <c r="A504" s="4">
        <v>46035</v>
      </c>
      <c r="B504" s="1" t="s">
        <v>48</v>
      </c>
      <c r="C504" s="1">
        <v>0</v>
      </c>
      <c r="D504" s="1">
        <v>0</v>
      </c>
      <c r="E504" s="1">
        <v>0</v>
      </c>
      <c r="F504" s="1" t="s">
        <v>48</v>
      </c>
      <c r="G504" s="1">
        <v>0</v>
      </c>
      <c r="H504" s="1">
        <v>0</v>
      </c>
      <c r="I504" s="1">
        <v>0</v>
      </c>
      <c r="J504" s="1" t="s">
        <v>48</v>
      </c>
      <c r="K504" s="1">
        <v>0</v>
      </c>
      <c r="L504" s="1">
        <v>0</v>
      </c>
      <c r="M504" s="1">
        <v>0</v>
      </c>
      <c r="N504" s="1" t="s">
        <v>48</v>
      </c>
      <c r="O504" s="1">
        <v>0</v>
      </c>
      <c r="P504" s="1">
        <v>0</v>
      </c>
      <c r="Q504" s="1">
        <v>0</v>
      </c>
      <c r="R504" s="1" t="s">
        <v>48</v>
      </c>
      <c r="S504" s="1">
        <v>0</v>
      </c>
      <c r="T504" s="1">
        <v>0</v>
      </c>
      <c r="U504" s="1">
        <v>0</v>
      </c>
    </row>
    <row r="505" spans="1:21" s="1" customFormat="1">
      <c r="A505" s="4">
        <v>46036</v>
      </c>
      <c r="B505" s="1" t="s">
        <v>48</v>
      </c>
      <c r="C505" s="1">
        <v>0</v>
      </c>
      <c r="D505" s="1">
        <v>0</v>
      </c>
      <c r="E505" s="1">
        <v>0</v>
      </c>
      <c r="F505" s="1" t="s">
        <v>48</v>
      </c>
      <c r="G505" s="1">
        <v>0</v>
      </c>
      <c r="H505" s="1">
        <v>0</v>
      </c>
      <c r="I505" s="1">
        <v>0</v>
      </c>
      <c r="J505" s="1" t="s">
        <v>48</v>
      </c>
      <c r="K505" s="1">
        <v>0</v>
      </c>
      <c r="L505" s="1">
        <v>0</v>
      </c>
      <c r="M505" s="1">
        <v>0</v>
      </c>
      <c r="N505" s="1" t="s">
        <v>48</v>
      </c>
      <c r="O505" s="1" t="s">
        <v>48</v>
      </c>
      <c r="P505" s="1" t="s">
        <v>48</v>
      </c>
      <c r="Q505" s="1">
        <v>0</v>
      </c>
      <c r="R505" s="1" t="s">
        <v>48</v>
      </c>
      <c r="S505" s="1">
        <v>0</v>
      </c>
      <c r="T505" s="1">
        <v>0</v>
      </c>
      <c r="U505" s="1">
        <v>0</v>
      </c>
    </row>
    <row r="506" spans="1:21" s="1" customFormat="1">
      <c r="A506" s="4">
        <v>46038</v>
      </c>
      <c r="B506" s="1" t="s">
        <v>48</v>
      </c>
      <c r="C506" s="1" t="s">
        <v>48</v>
      </c>
      <c r="D506" s="1">
        <v>0</v>
      </c>
      <c r="E506" s="1">
        <v>0</v>
      </c>
      <c r="F506" s="1" t="s">
        <v>48</v>
      </c>
      <c r="G506" s="1" t="s">
        <v>48</v>
      </c>
      <c r="H506" s="1">
        <v>0</v>
      </c>
      <c r="I506" s="1">
        <v>0</v>
      </c>
      <c r="J506" s="1" t="s">
        <v>48</v>
      </c>
      <c r="K506" s="1" t="s">
        <v>48</v>
      </c>
      <c r="L506" s="1">
        <v>0</v>
      </c>
      <c r="M506" s="1">
        <v>0</v>
      </c>
      <c r="N506" s="1" t="s">
        <v>48</v>
      </c>
      <c r="O506" s="1">
        <v>0</v>
      </c>
      <c r="P506" s="1">
        <v>0</v>
      </c>
      <c r="Q506" s="1" t="s">
        <v>48</v>
      </c>
      <c r="R506" s="1" t="s">
        <v>48</v>
      </c>
      <c r="S506" s="1" t="s">
        <v>48</v>
      </c>
      <c r="T506" s="1">
        <v>0</v>
      </c>
      <c r="U506" s="1">
        <v>0</v>
      </c>
    </row>
    <row r="507" spans="1:21" s="1" customFormat="1">
      <c r="A507" s="4">
        <v>46041</v>
      </c>
      <c r="B507" s="1" t="s">
        <v>48</v>
      </c>
      <c r="C507" s="1">
        <v>0</v>
      </c>
      <c r="D507" s="1" t="s">
        <v>48</v>
      </c>
      <c r="E507" s="1">
        <v>0</v>
      </c>
      <c r="F507" s="1" t="s">
        <v>48</v>
      </c>
      <c r="G507" s="1">
        <v>0</v>
      </c>
      <c r="H507" s="1" t="s">
        <v>48</v>
      </c>
      <c r="I507" s="1">
        <v>0</v>
      </c>
      <c r="J507" s="1" t="s">
        <v>48</v>
      </c>
      <c r="K507" s="1">
        <v>0</v>
      </c>
      <c r="L507" s="1" t="s">
        <v>48</v>
      </c>
      <c r="M507" s="1">
        <v>0</v>
      </c>
      <c r="N507" s="1" t="s">
        <v>48</v>
      </c>
      <c r="O507" s="1">
        <v>0</v>
      </c>
      <c r="P507" s="1">
        <v>0</v>
      </c>
      <c r="Q507" s="1">
        <v>0</v>
      </c>
      <c r="R507" s="1" t="s">
        <v>48</v>
      </c>
      <c r="S507" s="1">
        <v>0</v>
      </c>
      <c r="T507" s="1" t="s">
        <v>48</v>
      </c>
      <c r="U507" s="1">
        <v>0</v>
      </c>
    </row>
    <row r="508" spans="1:21" s="1" customFormat="1">
      <c r="A508" s="4">
        <v>46042</v>
      </c>
      <c r="B508" s="1" t="s">
        <v>48</v>
      </c>
      <c r="C508" s="1">
        <v>0</v>
      </c>
      <c r="D508" s="1">
        <v>0</v>
      </c>
      <c r="E508" s="1" t="s">
        <v>48</v>
      </c>
      <c r="F508" s="1" t="s">
        <v>48</v>
      </c>
      <c r="G508" s="1">
        <v>0</v>
      </c>
      <c r="H508" s="1">
        <v>0</v>
      </c>
      <c r="I508" s="1" t="s">
        <v>48</v>
      </c>
      <c r="J508" s="1" t="s">
        <v>48</v>
      </c>
      <c r="K508" s="1">
        <v>0</v>
      </c>
      <c r="L508" s="1">
        <v>0</v>
      </c>
      <c r="M508" s="1" t="s">
        <v>48</v>
      </c>
      <c r="N508" s="1" t="s">
        <v>48</v>
      </c>
      <c r="O508" s="1">
        <v>0</v>
      </c>
      <c r="P508" s="1">
        <v>0</v>
      </c>
      <c r="Q508" s="1">
        <v>0</v>
      </c>
      <c r="R508" s="1" t="s">
        <v>48</v>
      </c>
      <c r="S508" s="1">
        <v>0</v>
      </c>
      <c r="T508" s="1">
        <v>0</v>
      </c>
      <c r="U508" s="1" t="s">
        <v>48</v>
      </c>
    </row>
    <row r="509" spans="1:21" s="1" customFormat="1">
      <c r="A509" s="4">
        <v>46043</v>
      </c>
      <c r="B509" s="1" t="s">
        <v>48</v>
      </c>
      <c r="C509" s="1">
        <v>0</v>
      </c>
      <c r="D509" s="1">
        <v>0</v>
      </c>
      <c r="E509" s="1">
        <v>0</v>
      </c>
      <c r="F509" s="1" t="s">
        <v>48</v>
      </c>
      <c r="G509" s="1">
        <v>0</v>
      </c>
      <c r="H509" s="1">
        <v>0</v>
      </c>
      <c r="I509" s="1">
        <v>0</v>
      </c>
      <c r="J509" s="1" t="s">
        <v>48</v>
      </c>
      <c r="K509" s="1">
        <v>0</v>
      </c>
      <c r="L509" s="1">
        <v>0</v>
      </c>
      <c r="M509" s="1">
        <v>0</v>
      </c>
      <c r="N509" s="1" t="s">
        <v>48</v>
      </c>
      <c r="O509" s="1" t="s">
        <v>48</v>
      </c>
      <c r="P509" s="1" t="s">
        <v>48</v>
      </c>
      <c r="Q509" s="1" t="s">
        <v>48</v>
      </c>
      <c r="R509" s="1" t="s">
        <v>48</v>
      </c>
      <c r="S509" s="1">
        <v>0</v>
      </c>
      <c r="T509" s="1">
        <v>0</v>
      </c>
      <c r="U509" s="1">
        <v>0</v>
      </c>
    </row>
    <row r="510" spans="1:21" s="1" customFormat="1">
      <c r="A510" s="4">
        <v>46044</v>
      </c>
      <c r="B510" s="1" t="s">
        <v>48</v>
      </c>
      <c r="C510" s="1">
        <v>0</v>
      </c>
      <c r="D510" s="1">
        <v>0</v>
      </c>
      <c r="E510" s="1">
        <v>0</v>
      </c>
      <c r="F510" s="1" t="s">
        <v>48</v>
      </c>
      <c r="G510" s="1">
        <v>0</v>
      </c>
      <c r="H510" s="1">
        <v>0</v>
      </c>
      <c r="I510" s="1">
        <v>0</v>
      </c>
      <c r="J510" s="1" t="s">
        <v>48</v>
      </c>
      <c r="K510" s="1">
        <v>0</v>
      </c>
      <c r="L510" s="1">
        <v>0</v>
      </c>
      <c r="M510" s="1">
        <v>0</v>
      </c>
      <c r="N510" s="1" t="s">
        <v>48</v>
      </c>
      <c r="O510" s="1">
        <v>0</v>
      </c>
      <c r="P510" s="1">
        <v>0</v>
      </c>
      <c r="Q510" s="1">
        <v>0</v>
      </c>
      <c r="R510" s="1" t="s">
        <v>55</v>
      </c>
      <c r="S510" s="1">
        <v>0</v>
      </c>
      <c r="T510" s="1">
        <v>0</v>
      </c>
      <c r="U510" s="1">
        <v>0</v>
      </c>
    </row>
    <row r="511" spans="1:21" s="1" customFormat="1"/>
    <row r="512" spans="1:21" s="1" customFormat="1"/>
    <row r="513" s="1" customFormat="1"/>
    <row r="514" s="1" customFormat="1"/>
    <row r="515" s="1" customFormat="1"/>
    <row r="516" s="1" customFormat="1"/>
    <row r="517" s="1" customFormat="1"/>
    <row r="518" s="1" customFormat="1"/>
    <row r="519" s="1" customFormat="1"/>
    <row r="520" s="1" customFormat="1"/>
    <row r="521" s="1" customFormat="1"/>
    <row r="522" s="1" customFormat="1"/>
    <row r="523" s="1" customFormat="1"/>
    <row r="524" s="1" customFormat="1"/>
    <row r="525" s="1" customFormat="1"/>
    <row r="526" s="1" customFormat="1"/>
    <row r="527" s="1" customFormat="1"/>
    <row r="528" s="1" customFormat="1"/>
    <row r="529" s="1" customFormat="1"/>
    <row r="530" s="1" customFormat="1"/>
    <row r="531" s="1" customFormat="1"/>
    <row r="532" s="1" customFormat="1"/>
    <row r="533" s="1" customFormat="1"/>
    <row r="534" s="1" customFormat="1"/>
    <row r="535" s="1" customFormat="1"/>
    <row r="536" s="1" customFormat="1"/>
    <row r="537" s="1" customFormat="1"/>
    <row r="538" s="1" customFormat="1"/>
    <row r="539" s="1" customFormat="1"/>
    <row r="540" s="1" customFormat="1"/>
    <row r="541" s="1" customFormat="1"/>
    <row r="542" s="1" customFormat="1"/>
    <row r="543" s="1" customFormat="1"/>
    <row r="544" s="1" customFormat="1"/>
    <row r="545" s="1" customFormat="1"/>
    <row r="546" s="1" customFormat="1"/>
    <row r="547" s="1" customFormat="1"/>
    <row r="548" s="1" customFormat="1"/>
    <row r="549" s="1" customFormat="1"/>
    <row r="550" s="1" customFormat="1"/>
    <row r="551" s="1" customFormat="1"/>
    <row r="552" s="1" customFormat="1"/>
    <row r="553" s="1" customFormat="1"/>
    <row r="554" s="1" customFormat="1"/>
    <row r="555" s="1" customFormat="1"/>
    <row r="556" s="1" customFormat="1"/>
    <row r="557" s="1" customFormat="1"/>
    <row r="558" s="1" customFormat="1"/>
    <row r="559" s="1" customFormat="1"/>
    <row r="560" s="1" customFormat="1"/>
    <row r="561" s="1" customFormat="1"/>
    <row r="562" s="1" customFormat="1"/>
    <row r="563" s="1" customFormat="1"/>
    <row r="564" s="1" customFormat="1"/>
    <row r="565" s="1" customFormat="1"/>
    <row r="566" s="1" customFormat="1"/>
    <row r="567" s="1" customFormat="1"/>
    <row r="568" s="1" customFormat="1"/>
    <row r="569" s="1" customFormat="1"/>
    <row r="570" s="1" customFormat="1"/>
    <row r="571" s="1" customFormat="1"/>
    <row r="572" s="1" customFormat="1"/>
    <row r="573" s="1" customFormat="1"/>
    <row r="574" s="1" customFormat="1"/>
    <row r="575" s="1" customFormat="1"/>
    <row r="576" s="1" customFormat="1"/>
    <row r="577" s="1" customFormat="1"/>
    <row r="578" s="1" customFormat="1"/>
    <row r="579" s="1" customFormat="1"/>
    <row r="580" s="1" customFormat="1"/>
    <row r="581" s="1" customFormat="1"/>
    <row r="582" s="1" customFormat="1"/>
    <row r="583" s="1" customFormat="1"/>
    <row r="584" s="1" customFormat="1"/>
    <row r="585" s="1" customFormat="1"/>
    <row r="586" s="1" customFormat="1"/>
    <row r="587" s="1" customFormat="1"/>
    <row r="588" s="1" customFormat="1"/>
    <row r="589" s="1" customFormat="1"/>
    <row r="590" s="1" customFormat="1"/>
    <row r="591" s="1" customFormat="1"/>
    <row r="592" s="1" customFormat="1"/>
    <row r="593" s="1" customFormat="1"/>
    <row r="594" s="1" customFormat="1"/>
    <row r="595" s="1" customFormat="1"/>
    <row r="596" s="1" customFormat="1"/>
    <row r="597" s="1" customFormat="1"/>
    <row r="598" s="1" customFormat="1"/>
    <row r="599" s="1" customFormat="1"/>
    <row r="600" s="1" customFormat="1"/>
    <row r="601" s="1" customFormat="1"/>
    <row r="602" s="1" customFormat="1"/>
    <row r="603" s="1" customFormat="1"/>
    <row r="604" s="1" customFormat="1"/>
    <row r="605" s="1" customFormat="1"/>
    <row r="606" s="1" customFormat="1"/>
    <row r="607" s="1" customFormat="1"/>
    <row r="608" s="1" customFormat="1"/>
    <row r="609" s="1" customFormat="1"/>
    <row r="610" s="1" customFormat="1"/>
    <row r="611" s="1" customFormat="1"/>
    <row r="612" s="1" customFormat="1"/>
    <row r="613" s="1" customFormat="1"/>
    <row r="614" s="1" customFormat="1"/>
    <row r="615" s="1" customFormat="1"/>
    <row r="616" s="1" customFormat="1"/>
    <row r="617" s="1" customFormat="1"/>
    <row r="618" s="1" customFormat="1"/>
    <row r="619" s="1" customFormat="1"/>
    <row r="620" s="1" customFormat="1"/>
    <row r="621" s="1" customFormat="1"/>
    <row r="622" s="1" customFormat="1"/>
    <row r="623" s="1" customFormat="1"/>
    <row r="624" s="1" customFormat="1"/>
    <row r="625" s="1" customFormat="1"/>
    <row r="626" s="1" customFormat="1"/>
    <row r="627" s="1" customFormat="1"/>
    <row r="628" s="1" customFormat="1"/>
    <row r="629" s="1" customFormat="1"/>
    <row r="630" s="1" customFormat="1"/>
    <row r="631" s="1" customFormat="1"/>
    <row r="632" s="1" customFormat="1"/>
    <row r="633" s="1" customFormat="1"/>
    <row r="634" s="1" customFormat="1"/>
    <row r="635" s="1" customFormat="1"/>
    <row r="636" s="1" customFormat="1"/>
    <row r="637" s="1" customFormat="1"/>
    <row r="638" s="1" customFormat="1"/>
    <row r="639" s="1" customFormat="1"/>
    <row r="640" s="1" customFormat="1"/>
    <row r="641" s="1" customFormat="1"/>
    <row r="642" s="1" customFormat="1"/>
    <row r="643" s="1" customFormat="1"/>
    <row r="644" s="1" customFormat="1"/>
    <row r="645" s="1" customFormat="1"/>
    <row r="646" s="1" customFormat="1"/>
    <row r="647" s="1" customFormat="1"/>
    <row r="648" s="1" customFormat="1"/>
    <row r="649" s="1" customFormat="1"/>
    <row r="650" s="1" customFormat="1"/>
    <row r="651" s="1" customFormat="1"/>
    <row r="652" s="1" customFormat="1"/>
    <row r="653" s="1" customFormat="1"/>
    <row r="654" s="1" customFormat="1"/>
    <row r="655" s="1" customFormat="1"/>
    <row r="656" s="1" customFormat="1"/>
    <row r="657" s="1" customFormat="1"/>
    <row r="658" s="1" customFormat="1"/>
    <row r="659" s="1" customFormat="1"/>
    <row r="660" s="1" customFormat="1"/>
    <row r="661" s="1" customFormat="1"/>
    <row r="662" s="1" customFormat="1"/>
    <row r="663" s="1" customFormat="1"/>
    <row r="664" s="1" customFormat="1"/>
    <row r="665" s="1" customFormat="1"/>
    <row r="666" s="1" customFormat="1"/>
    <row r="667" s="1" customFormat="1"/>
    <row r="668" s="1" customFormat="1"/>
    <row r="669" s="1" customFormat="1"/>
    <row r="670" s="1" customFormat="1"/>
    <row r="671" s="1" customFormat="1"/>
    <row r="672" s="1" customFormat="1"/>
    <row r="673" s="1" customFormat="1"/>
    <row r="674" s="1" customFormat="1"/>
    <row r="675" s="1" customFormat="1"/>
    <row r="676" s="1" customFormat="1"/>
    <row r="677" s="1" customFormat="1"/>
    <row r="678" s="1" customFormat="1"/>
    <row r="679" s="1" customFormat="1"/>
    <row r="680" s="1" customFormat="1"/>
    <row r="681" s="1" customFormat="1"/>
    <row r="682" s="1" customFormat="1"/>
    <row r="683" s="1" customFormat="1"/>
    <row r="684" s="1" customFormat="1"/>
    <row r="685" s="1" customFormat="1"/>
    <row r="686" s="1" customFormat="1"/>
    <row r="687" s="1" customFormat="1"/>
    <row r="688" s="1" customFormat="1"/>
    <row r="689" s="1" customFormat="1"/>
    <row r="690" s="1" customFormat="1"/>
    <row r="691" s="1" customFormat="1"/>
    <row r="692" s="1" customFormat="1"/>
    <row r="693" s="1" customFormat="1"/>
    <row r="694" s="1" customFormat="1"/>
    <row r="695" s="1" customFormat="1"/>
    <row r="696" s="1" customFormat="1"/>
    <row r="697" s="1" customFormat="1"/>
    <row r="698" s="1" customFormat="1"/>
    <row r="699" s="1" customFormat="1"/>
    <row r="700" s="1" customFormat="1"/>
    <row r="701" s="1" customFormat="1"/>
    <row r="702" s="1" customFormat="1"/>
    <row r="703" s="1" customFormat="1"/>
    <row r="704" s="1" customFormat="1"/>
    <row r="705" s="1" customFormat="1"/>
    <row r="706" s="1" customFormat="1"/>
    <row r="707" s="1" customFormat="1"/>
    <row r="708" s="1" customFormat="1"/>
    <row r="709" s="1" customFormat="1"/>
    <row r="710" s="1" customFormat="1"/>
    <row r="711" s="1" customFormat="1"/>
    <row r="712" s="1" customFormat="1"/>
    <row r="713" s="1" customFormat="1"/>
    <row r="714" s="1" customFormat="1"/>
    <row r="715" s="1" customFormat="1"/>
    <row r="716" s="1" customFormat="1"/>
    <row r="717" s="1" customFormat="1"/>
    <row r="718" s="1" customFormat="1"/>
    <row r="719" s="1" customFormat="1"/>
    <row r="720" s="1" customFormat="1"/>
    <row r="721" s="1" customFormat="1"/>
    <row r="722" s="1" customFormat="1"/>
    <row r="723" s="1" customFormat="1"/>
    <row r="724" s="1" customFormat="1"/>
    <row r="725" s="1" customFormat="1"/>
    <row r="726" s="1" customFormat="1"/>
    <row r="727" s="1" customFormat="1"/>
    <row r="728" s="1" customFormat="1"/>
    <row r="729" s="1" customFormat="1"/>
    <row r="730" s="1" customFormat="1"/>
    <row r="731" s="1" customFormat="1"/>
    <row r="732" s="1" customFormat="1"/>
    <row r="733" s="1" customFormat="1"/>
    <row r="734" s="1" customFormat="1"/>
    <row r="735" s="1" customFormat="1"/>
    <row r="736" s="1" customFormat="1"/>
    <row r="737" s="1" customFormat="1"/>
    <row r="738" s="1" customFormat="1"/>
    <row r="739" s="1" customFormat="1"/>
    <row r="740" s="1" customFormat="1"/>
    <row r="741" s="1" customFormat="1"/>
    <row r="742" s="1" customFormat="1"/>
    <row r="743" s="1" customFormat="1"/>
    <row r="744" s="1" customFormat="1"/>
    <row r="745" s="1" customFormat="1"/>
    <row r="746" s="1" customFormat="1"/>
    <row r="747" s="1" customFormat="1"/>
    <row r="748" s="1" customFormat="1"/>
    <row r="749" s="1" customFormat="1"/>
    <row r="750" s="1" customFormat="1"/>
    <row r="751" s="1" customFormat="1"/>
    <row r="752" s="1" customFormat="1"/>
    <row r="753" s="1" customFormat="1"/>
    <row r="754" s="1" customFormat="1"/>
    <row r="755" s="1" customFormat="1"/>
    <row r="756" s="1" customFormat="1"/>
    <row r="757" s="1" customFormat="1"/>
    <row r="758" s="1" customFormat="1"/>
    <row r="759" s="1" customFormat="1"/>
    <row r="760" s="1" customFormat="1"/>
    <row r="761" s="1" customFormat="1"/>
    <row r="762" s="1" customFormat="1"/>
    <row r="763" s="1" customFormat="1"/>
    <row r="764" s="1" customFormat="1"/>
    <row r="765" s="1" customFormat="1"/>
    <row r="766" s="1" customFormat="1"/>
    <row r="767" s="1" customFormat="1"/>
    <row r="768" s="1" customFormat="1"/>
    <row r="769" s="1" customFormat="1"/>
    <row r="770" s="1" customFormat="1"/>
    <row r="771" s="1" customFormat="1"/>
    <row r="772" s="1" customFormat="1"/>
    <row r="773" s="1" customFormat="1"/>
    <row r="774" s="1" customFormat="1"/>
    <row r="775" s="1" customFormat="1"/>
    <row r="776" s="1" customFormat="1"/>
    <row r="777" s="1" customFormat="1"/>
    <row r="778" s="1" customFormat="1"/>
    <row r="779" s="1" customFormat="1"/>
    <row r="780" s="1" customFormat="1"/>
    <row r="781" s="1" customFormat="1"/>
    <row r="782" s="1" customFormat="1"/>
    <row r="783" s="1" customFormat="1"/>
    <row r="784" s="1" customFormat="1"/>
    <row r="785" s="1" customFormat="1"/>
    <row r="786" s="1" customFormat="1"/>
    <row r="787" s="1" customFormat="1"/>
    <row r="788" s="1" customFormat="1"/>
    <row r="789" s="1" customFormat="1"/>
    <row r="790" s="1" customFormat="1"/>
    <row r="791" s="1" customFormat="1"/>
    <row r="792" s="1" customFormat="1"/>
    <row r="793" s="1" customFormat="1"/>
    <row r="794" s="1" customFormat="1"/>
    <row r="795" s="1" customFormat="1"/>
    <row r="796" s="1" customFormat="1"/>
    <row r="797" s="1" customFormat="1"/>
    <row r="798" s="1" customFormat="1"/>
    <row r="799" s="1" customFormat="1"/>
    <row r="800" s="1" customFormat="1"/>
    <row r="801" s="1" customFormat="1"/>
    <row r="802" s="1" customFormat="1"/>
    <row r="803" s="1" customFormat="1"/>
    <row r="804" s="1" customFormat="1"/>
    <row r="805" s="1" customFormat="1"/>
    <row r="806" s="1" customFormat="1"/>
    <row r="807" s="1" customFormat="1"/>
    <row r="808" s="1" customFormat="1"/>
    <row r="809" s="1" customFormat="1"/>
    <row r="810" s="1" customFormat="1"/>
    <row r="811" s="1" customFormat="1"/>
    <row r="812" s="1" customFormat="1"/>
    <row r="813" s="1" customFormat="1"/>
    <row r="814" s="1" customFormat="1"/>
    <row r="815" s="1" customFormat="1"/>
    <row r="816" s="1" customFormat="1"/>
    <row r="817" s="1" customFormat="1"/>
    <row r="818" s="1" customFormat="1"/>
    <row r="819" s="1" customFormat="1"/>
    <row r="820" s="1" customFormat="1"/>
    <row r="821" s="1" customFormat="1"/>
    <row r="822" s="1" customFormat="1"/>
    <row r="823" s="1" customFormat="1"/>
    <row r="824" s="1" customFormat="1"/>
    <row r="825" s="1" customFormat="1"/>
    <row r="826" s="1" customFormat="1"/>
    <row r="827" s="1" customFormat="1"/>
    <row r="828" s="1" customFormat="1"/>
    <row r="829" s="1" customFormat="1"/>
    <row r="830" s="1" customFormat="1"/>
    <row r="831" s="1" customFormat="1"/>
    <row r="832" s="1" customFormat="1"/>
    <row r="833" s="1" customFormat="1"/>
    <row r="834" s="1" customFormat="1"/>
    <row r="835" s="1" customFormat="1"/>
    <row r="836" s="1" customFormat="1"/>
    <row r="837" s="1" customFormat="1"/>
    <row r="838" s="1" customFormat="1"/>
    <row r="839" s="1" customFormat="1"/>
    <row r="840" s="1" customFormat="1"/>
    <row r="841" s="1" customFormat="1"/>
    <row r="842" s="1" customFormat="1"/>
    <row r="843" s="1" customFormat="1"/>
    <row r="844" s="1" customFormat="1"/>
    <row r="845" s="1" customFormat="1"/>
    <row r="846" s="1" customFormat="1"/>
    <row r="847" s="1" customFormat="1"/>
    <row r="848" s="1" customFormat="1"/>
    <row r="849" s="1" customFormat="1"/>
    <row r="850" s="1" customFormat="1"/>
    <row r="851" s="1" customFormat="1"/>
    <row r="852" s="1" customFormat="1"/>
    <row r="853" s="1" customFormat="1"/>
    <row r="854" s="1" customFormat="1"/>
    <row r="855" s="1" customFormat="1"/>
    <row r="856" s="1" customFormat="1"/>
    <row r="857" s="1" customFormat="1"/>
    <row r="858" s="1" customFormat="1"/>
    <row r="859" s="1" customFormat="1"/>
    <row r="860" s="1" customFormat="1"/>
    <row r="861" s="1" customFormat="1"/>
    <row r="862" s="1" customFormat="1"/>
    <row r="863" s="1" customFormat="1"/>
    <row r="864" s="1" customFormat="1"/>
    <row r="865" s="1" customFormat="1"/>
    <row r="866" s="1" customFormat="1"/>
    <row r="867" s="1" customFormat="1"/>
    <row r="868" s="1" customFormat="1"/>
    <row r="869" s="1" customFormat="1"/>
    <row r="870" s="1" customFormat="1"/>
    <row r="871" s="1" customFormat="1"/>
    <row r="872" s="1" customFormat="1"/>
    <row r="873" s="1" customFormat="1"/>
    <row r="874" s="1" customFormat="1"/>
    <row r="875" s="1" customFormat="1"/>
    <row r="876" s="1" customFormat="1"/>
    <row r="877" s="1" customFormat="1"/>
    <row r="878" s="1" customFormat="1"/>
    <row r="879" s="1" customFormat="1"/>
    <row r="880" s="1" customFormat="1"/>
    <row r="881" s="1" customFormat="1"/>
    <row r="882" s="1" customFormat="1"/>
    <row r="883" s="1" customFormat="1"/>
    <row r="884" s="1" customFormat="1"/>
    <row r="885" s="1" customFormat="1"/>
    <row r="886" s="1" customFormat="1"/>
    <row r="887" s="1" customFormat="1"/>
    <row r="888" s="1" customFormat="1"/>
    <row r="889" s="1" customFormat="1"/>
    <row r="890" s="1" customFormat="1"/>
    <row r="891" s="1" customFormat="1"/>
    <row r="892" s="1" customFormat="1"/>
    <row r="893" s="1" customFormat="1"/>
    <row r="894" s="1" customFormat="1"/>
    <row r="895" s="1" customFormat="1"/>
    <row r="896" s="1" customFormat="1"/>
    <row r="897" s="1" customFormat="1"/>
    <row r="898" s="1" customFormat="1"/>
    <row r="899" s="1" customFormat="1"/>
    <row r="900" s="1" customFormat="1"/>
    <row r="901" s="1" customFormat="1"/>
    <row r="902" s="1" customFormat="1"/>
    <row r="903" s="1" customFormat="1"/>
    <row r="904" s="1" customFormat="1"/>
    <row r="905" s="1" customFormat="1"/>
    <row r="906" s="1" customFormat="1"/>
    <row r="907" s="1" customFormat="1"/>
    <row r="908" s="1" customFormat="1"/>
    <row r="909" s="1" customFormat="1"/>
    <row r="910" s="1" customFormat="1"/>
    <row r="911" s="1" customFormat="1"/>
    <row r="912" s="1" customFormat="1"/>
    <row r="913" s="1" customFormat="1"/>
    <row r="914" s="1" customFormat="1"/>
    <row r="915" s="1" customFormat="1"/>
    <row r="916" s="1" customFormat="1"/>
    <row r="917" s="1" customFormat="1"/>
    <row r="918" s="1" customFormat="1"/>
    <row r="919" s="1" customFormat="1"/>
    <row r="920" s="1" customFormat="1"/>
    <row r="921" s="1" customFormat="1"/>
    <row r="922" s="1" customFormat="1"/>
    <row r="923" s="1" customFormat="1"/>
    <row r="924" s="1" customFormat="1"/>
    <row r="925" s="1" customFormat="1"/>
    <row r="926" s="1" customFormat="1"/>
    <row r="927" s="1" customFormat="1"/>
    <row r="928" s="1" customFormat="1"/>
    <row r="929" s="1" customFormat="1"/>
    <row r="930" s="1" customFormat="1"/>
    <row r="931" s="1" customFormat="1"/>
    <row r="932" s="1" customFormat="1"/>
    <row r="933" s="1" customFormat="1"/>
    <row r="934" s="1" customFormat="1"/>
    <row r="935" s="1" customFormat="1"/>
    <row r="936" s="1" customFormat="1"/>
    <row r="937" s="1" customFormat="1"/>
    <row r="938" s="1" customFormat="1"/>
    <row r="939" s="1" customFormat="1"/>
    <row r="940" s="1" customFormat="1"/>
    <row r="941" s="1" customFormat="1"/>
    <row r="942" s="1" customFormat="1"/>
    <row r="943" s="1" customFormat="1"/>
    <row r="944" s="1" customFormat="1"/>
    <row r="945" s="1" customFormat="1"/>
    <row r="946" s="1" customFormat="1"/>
    <row r="947" s="1" customFormat="1"/>
    <row r="948" s="1" customFormat="1"/>
    <row r="949" s="1" customFormat="1"/>
    <row r="950" s="1" customFormat="1"/>
    <row r="951" s="1" customFormat="1"/>
    <row r="952" s="1" customFormat="1"/>
    <row r="953" s="1" customFormat="1"/>
    <row r="954" s="1" customFormat="1"/>
    <row r="955" s="1" customFormat="1"/>
    <row r="956" s="1" customFormat="1"/>
    <row r="957" s="1" customFormat="1"/>
    <row r="958" s="1" customFormat="1"/>
    <row r="959" s="1" customFormat="1"/>
    <row r="960" s="1" customFormat="1"/>
    <row r="961" s="1" customFormat="1"/>
    <row r="962" s="1" customFormat="1"/>
    <row r="963" s="1" customFormat="1"/>
    <row r="964" s="1" customFormat="1"/>
    <row r="965" s="1" customFormat="1"/>
    <row r="966" s="1" customFormat="1"/>
    <row r="967" s="1" customFormat="1"/>
    <row r="968" s="1" customFormat="1"/>
    <row r="969" s="1" customFormat="1"/>
    <row r="970" s="1" customFormat="1"/>
    <row r="971" s="1" customFormat="1"/>
    <row r="972" s="1" customFormat="1"/>
    <row r="973" s="1" customFormat="1"/>
    <row r="974" s="1" customFormat="1"/>
    <row r="975" s="1" customFormat="1"/>
    <row r="976" s="1" customFormat="1"/>
    <row r="977" s="1" customFormat="1"/>
    <row r="978" s="1" customFormat="1"/>
    <row r="979" s="1" customFormat="1"/>
    <row r="980" s="1" customFormat="1"/>
    <row r="981" s="1" customFormat="1"/>
    <row r="982" s="1" customFormat="1"/>
    <row r="983" s="1" customFormat="1"/>
    <row r="984" s="1" customFormat="1"/>
    <row r="985" s="1" customFormat="1"/>
    <row r="986" s="1" customFormat="1"/>
    <row r="987" s="1" customFormat="1"/>
    <row r="988" s="1" customFormat="1"/>
    <row r="989" s="1" customFormat="1"/>
    <row r="990" s="1" customFormat="1"/>
    <row r="991" s="1" customFormat="1"/>
    <row r="992" s="1" customFormat="1"/>
    <row r="993" s="1" customFormat="1"/>
    <row r="994" s="1" customFormat="1"/>
    <row r="995" s="1" customFormat="1"/>
    <row r="996" s="1" customFormat="1"/>
    <row r="997" s="1" customFormat="1"/>
    <row r="998" s="1" customFormat="1"/>
    <row r="999" s="1" customFormat="1"/>
    <row r="1000" s="1" customFormat="1"/>
    <row r="1001" s="1" customFormat="1"/>
    <row r="1002" s="1" customFormat="1"/>
    <row r="1003" s="1" customFormat="1"/>
    <row r="1004" s="1" customFormat="1"/>
    <row r="1005" s="1" customFormat="1"/>
    <row r="1006" s="1" customFormat="1"/>
    <row r="1007" s="1" customFormat="1"/>
    <row r="1008" s="1" customFormat="1"/>
    <row r="1009" s="1" customFormat="1"/>
    <row r="1010" s="1" customFormat="1"/>
    <row r="1011" s="1" customFormat="1"/>
    <row r="1012" s="1" customFormat="1"/>
    <row r="1013" s="1" customFormat="1"/>
    <row r="1014" s="1" customFormat="1"/>
    <row r="1015" s="1" customFormat="1"/>
    <row r="1016" s="1" customFormat="1"/>
    <row r="1017" s="1" customFormat="1"/>
    <row r="1018" s="1" customFormat="1"/>
    <row r="1019" s="1" customFormat="1"/>
    <row r="1020" s="1" customFormat="1"/>
    <row r="1021" s="1" customFormat="1"/>
    <row r="1022" s="1" customFormat="1"/>
    <row r="1023" s="1" customFormat="1"/>
    <row r="1024" s="1" customFormat="1"/>
    <row r="1025" s="1" customFormat="1"/>
    <row r="1026" s="1" customFormat="1"/>
    <row r="1027" s="1" customFormat="1"/>
    <row r="1028" s="1" customFormat="1"/>
    <row r="1029" s="1" customFormat="1"/>
    <row r="1030" s="1" customFormat="1"/>
    <row r="1031" s="1" customFormat="1"/>
    <row r="1032" s="1" customFormat="1"/>
    <row r="1033" s="1" customFormat="1"/>
    <row r="1034" s="1" customFormat="1"/>
    <row r="1035" s="1" customFormat="1"/>
    <row r="1036" s="1" customFormat="1"/>
    <row r="1037" s="1" customFormat="1"/>
    <row r="1038" s="1" customFormat="1"/>
    <row r="1039" s="1" customFormat="1"/>
    <row r="1040" s="1" customFormat="1"/>
    <row r="1041" s="1" customFormat="1"/>
    <row r="1042" s="1" customFormat="1"/>
    <row r="1043" s="1" customFormat="1"/>
    <row r="1044" s="1" customFormat="1"/>
    <row r="1045" s="1" customFormat="1"/>
    <row r="1046" s="1" customFormat="1"/>
    <row r="1047" s="1" customFormat="1"/>
    <row r="1048" s="1" customFormat="1"/>
    <row r="1049" s="1" customFormat="1"/>
    <row r="1050" s="1" customFormat="1"/>
    <row r="1051" s="1" customFormat="1"/>
    <row r="1052" s="1" customFormat="1"/>
    <row r="1053" s="1" customFormat="1"/>
    <row r="1054" s="1" customFormat="1"/>
    <row r="1055" s="1" customFormat="1"/>
    <row r="1056" s="1" customFormat="1"/>
    <row r="1057" s="1" customFormat="1"/>
    <row r="1058" s="1" customFormat="1"/>
    <row r="1059" s="1" customFormat="1"/>
    <row r="1060" s="1" customFormat="1"/>
    <row r="1061" s="1" customFormat="1"/>
    <row r="1062" s="1" customFormat="1"/>
    <row r="1063" s="1" customFormat="1"/>
    <row r="1064" s="1" customFormat="1"/>
    <row r="1065" s="1" customFormat="1"/>
    <row r="1066" s="1" customFormat="1"/>
    <row r="1067" s="1" customFormat="1"/>
    <row r="1068" s="1" customFormat="1"/>
    <row r="1069" s="1" customFormat="1"/>
    <row r="1070" s="1" customFormat="1"/>
    <row r="1071" s="1" customFormat="1"/>
    <row r="1072" s="1" customFormat="1"/>
    <row r="1073" s="1" customFormat="1"/>
    <row r="1074" s="1" customFormat="1"/>
    <row r="1075" s="1" customFormat="1"/>
    <row r="1076" s="1" customFormat="1"/>
    <row r="1077" s="1" customFormat="1"/>
    <row r="1078" s="1" customFormat="1"/>
    <row r="1079" s="1" customFormat="1"/>
    <row r="1080" s="1" customFormat="1"/>
    <row r="1081" s="1" customFormat="1"/>
    <row r="1082" s="1" customFormat="1"/>
    <row r="1083" s="1" customFormat="1"/>
    <row r="1084" s="1" customFormat="1"/>
    <row r="1085" s="1" customFormat="1"/>
    <row r="1086" s="1" customFormat="1"/>
    <row r="1087" s="1" customFormat="1"/>
    <row r="1088" s="1" customFormat="1"/>
    <row r="1089" s="1" customFormat="1"/>
    <row r="1090" s="1" customFormat="1"/>
    <row r="1091" s="1" customFormat="1"/>
    <row r="1092" s="1" customFormat="1"/>
    <row r="1093" s="1" customFormat="1"/>
    <row r="1094" s="1" customFormat="1"/>
    <row r="1095" s="1" customFormat="1"/>
    <row r="1096" s="1" customFormat="1"/>
    <row r="1097" s="1" customFormat="1"/>
    <row r="1098" s="1" customFormat="1"/>
    <row r="1099" s="1" customFormat="1"/>
    <row r="1100" s="1" customFormat="1"/>
    <row r="1101" s="1" customFormat="1"/>
    <row r="1102" s="1" customFormat="1"/>
    <row r="1103" s="1" customFormat="1"/>
    <row r="1104" s="1" customFormat="1"/>
    <row r="1105" s="1" customFormat="1"/>
    <row r="1106" s="1" customFormat="1"/>
    <row r="1107" s="1" customFormat="1"/>
    <row r="1108" s="1" customFormat="1"/>
    <row r="1109" s="1" customFormat="1"/>
    <row r="1110" s="1" customFormat="1"/>
    <row r="1111" s="1" customFormat="1"/>
    <row r="1112" s="1" customFormat="1"/>
    <row r="1113" s="1" customFormat="1"/>
    <row r="1114" s="1" customFormat="1"/>
    <row r="1115" s="1" customFormat="1"/>
    <row r="1116" s="1" customFormat="1"/>
    <row r="1117" s="1" customFormat="1"/>
    <row r="1118" s="1" customFormat="1"/>
    <row r="1119" s="1" customFormat="1"/>
    <row r="1120" s="1" customFormat="1"/>
    <row r="1121" s="1" customFormat="1"/>
    <row r="1122" s="1" customFormat="1"/>
    <row r="1123" s="1" customFormat="1"/>
    <row r="1124" s="1" customFormat="1"/>
    <row r="1125" s="1" customFormat="1"/>
    <row r="1126" s="1" customFormat="1"/>
    <row r="1127" s="1" customFormat="1"/>
    <row r="1128" s="1" customFormat="1"/>
    <row r="1129" s="1" customFormat="1"/>
    <row r="1130" s="1" customFormat="1"/>
    <row r="1131" s="1" customFormat="1"/>
    <row r="1132" s="1" customFormat="1"/>
    <row r="1133" s="1" customFormat="1"/>
    <row r="1134" s="1" customFormat="1"/>
    <row r="1135" s="1" customFormat="1"/>
    <row r="1136" s="1" customFormat="1"/>
    <row r="1137" s="1" customFormat="1"/>
    <row r="1138" s="1" customFormat="1"/>
    <row r="1139" s="1" customFormat="1"/>
    <row r="1140" s="1" customFormat="1"/>
    <row r="1141" s="1" customFormat="1"/>
    <row r="1142" s="1" customFormat="1"/>
    <row r="1143" s="1" customFormat="1"/>
    <row r="1144" s="1" customFormat="1"/>
    <row r="1145" s="1" customFormat="1"/>
    <row r="1146" s="1" customFormat="1"/>
    <row r="1147" s="1" customFormat="1"/>
    <row r="1148" s="1" customFormat="1"/>
    <row r="1149" s="1" customFormat="1"/>
    <row r="1150" s="1" customFormat="1"/>
    <row r="1151" s="1" customFormat="1"/>
    <row r="1152" s="1" customFormat="1"/>
    <row r="1153" s="1" customFormat="1"/>
    <row r="1154" s="1" customFormat="1"/>
    <row r="1155" s="1" customFormat="1"/>
    <row r="1156" s="1" customFormat="1"/>
    <row r="1157" s="1" customFormat="1"/>
    <row r="1158" s="1" customFormat="1"/>
    <row r="1159" s="1" customFormat="1"/>
    <row r="1160" s="1" customFormat="1"/>
    <row r="1161" s="1" customFormat="1"/>
    <row r="1162" s="1" customFormat="1"/>
    <row r="1163" s="1" customFormat="1"/>
    <row r="1164" s="1" customFormat="1"/>
    <row r="1165" s="1" customFormat="1"/>
    <row r="1166" s="1" customFormat="1"/>
    <row r="1167" s="1" customFormat="1"/>
    <row r="1168" s="1" customFormat="1"/>
    <row r="1169" s="1" customFormat="1"/>
    <row r="1170" s="1" customFormat="1"/>
    <row r="1171" s="1" customFormat="1"/>
    <row r="1172" s="1" customFormat="1"/>
    <row r="1173" s="1" customFormat="1"/>
    <row r="1174" s="1" customFormat="1"/>
    <row r="1175" s="1" customFormat="1"/>
    <row r="1176" s="1" customFormat="1"/>
    <row r="1177" s="1" customFormat="1"/>
    <row r="1178" s="1" customFormat="1"/>
    <row r="1179" s="1" customFormat="1"/>
    <row r="1180" s="1" customFormat="1"/>
    <row r="1181" s="1" customFormat="1"/>
    <row r="1182" s="1" customFormat="1"/>
    <row r="1183" s="1" customFormat="1"/>
    <row r="1184" s="1" customFormat="1"/>
    <row r="1185" s="1" customFormat="1"/>
    <row r="1186" s="1" customFormat="1"/>
    <row r="1187" s="1" customFormat="1"/>
    <row r="1188" s="1" customFormat="1"/>
    <row r="1189" s="1" customFormat="1"/>
    <row r="1190" s="1" customFormat="1"/>
    <row r="1191" s="1" customFormat="1"/>
    <row r="1192" s="1" customFormat="1"/>
    <row r="1193" s="1" customFormat="1"/>
    <row r="1194" s="1" customFormat="1"/>
    <row r="1195" s="1" customFormat="1"/>
    <row r="1196" s="1" customFormat="1"/>
    <row r="1197" s="1" customFormat="1"/>
    <row r="1198" s="1" customFormat="1"/>
    <row r="1199" s="1" customFormat="1"/>
    <row r="1200" s="1" customFormat="1"/>
    <row r="1201" s="1" customFormat="1"/>
    <row r="1202" s="1" customFormat="1"/>
    <row r="1203" s="1" customFormat="1"/>
    <row r="1204" s="1" customFormat="1"/>
    <row r="1205" s="1" customFormat="1"/>
    <row r="1206" s="1" customFormat="1"/>
    <row r="1207" s="1" customFormat="1"/>
    <row r="1208" s="1" customFormat="1"/>
    <row r="1209" s="1" customFormat="1"/>
    <row r="1210" s="1" customFormat="1"/>
    <row r="1211" s="1" customFormat="1"/>
    <row r="1212" s="1" customFormat="1"/>
    <row r="1213" s="1" customFormat="1"/>
    <row r="1214" s="1" customFormat="1"/>
    <row r="1215" s="1" customFormat="1"/>
    <row r="1216" s="1" customFormat="1"/>
    <row r="1217" s="1" customFormat="1"/>
    <row r="1218" s="1" customFormat="1"/>
    <row r="1219" s="1" customFormat="1"/>
    <row r="1220" s="1" customFormat="1"/>
    <row r="1221" s="1" customFormat="1"/>
    <row r="1222" s="1" customFormat="1"/>
    <row r="1223" s="1" customFormat="1"/>
    <row r="1224" s="1" customFormat="1"/>
    <row r="1225" s="1" customFormat="1"/>
    <row r="1226" s="1" customFormat="1"/>
    <row r="1227" s="1" customFormat="1"/>
    <row r="1228" s="1" customFormat="1"/>
    <row r="1229" s="1" customFormat="1"/>
    <row r="1230" s="1" customFormat="1"/>
    <row r="1231" s="1" customFormat="1"/>
    <row r="1232" s="1" customFormat="1"/>
    <row r="1233" s="1" customFormat="1"/>
    <row r="1234" s="1" customFormat="1"/>
    <row r="1235" s="1" customFormat="1"/>
    <row r="1236" s="1" customFormat="1"/>
    <row r="1237" s="1" customFormat="1"/>
    <row r="1238" s="1" customFormat="1"/>
    <row r="1239" s="1" customFormat="1"/>
    <row r="1240" s="1" customFormat="1"/>
    <row r="1241" s="1" customFormat="1"/>
    <row r="1242" s="1" customFormat="1"/>
    <row r="1243" s="1" customFormat="1"/>
    <row r="1244" s="1" customFormat="1"/>
    <row r="1245" s="1" customFormat="1"/>
    <row r="1246" s="1" customFormat="1"/>
    <row r="1247" s="1" customFormat="1"/>
    <row r="1248" s="1" customFormat="1"/>
    <row r="1249" s="1" customFormat="1"/>
    <row r="1250" s="1" customFormat="1"/>
    <row r="1251" s="1" customFormat="1"/>
    <row r="1252" s="1" customFormat="1"/>
    <row r="1253" s="1" customFormat="1"/>
    <row r="1254" s="1" customFormat="1"/>
    <row r="1255" s="1" customFormat="1"/>
    <row r="1256" s="1" customFormat="1"/>
    <row r="1257" s="1" customFormat="1"/>
    <row r="1258" s="1" customFormat="1"/>
    <row r="1259" s="1" customFormat="1"/>
    <row r="1260" s="1" customFormat="1"/>
    <row r="1261" s="1" customFormat="1"/>
    <row r="1262" s="1" customFormat="1"/>
    <row r="1263" s="1" customFormat="1"/>
    <row r="1264" s="1" customFormat="1"/>
    <row r="1265" s="1" customFormat="1"/>
    <row r="1266" s="1" customFormat="1"/>
    <row r="1267" s="1" customFormat="1"/>
    <row r="1268" s="1" customFormat="1"/>
    <row r="1269" s="1" customFormat="1"/>
    <row r="1270" s="1" customFormat="1"/>
    <row r="1271" s="1" customFormat="1"/>
    <row r="1272" s="1" customFormat="1"/>
    <row r="1273" s="1" customFormat="1"/>
    <row r="1274" s="1" customFormat="1"/>
    <row r="1275" s="1" customFormat="1"/>
    <row r="1276" s="1" customFormat="1"/>
    <row r="1277" s="1" customFormat="1"/>
    <row r="1278" s="1" customFormat="1"/>
    <row r="1279" s="1" customFormat="1"/>
    <row r="1280" s="1" customFormat="1"/>
    <row r="1281" s="1" customFormat="1"/>
    <row r="1282" s="1" customFormat="1"/>
    <row r="1283" s="1" customFormat="1"/>
    <row r="1284" s="1" customFormat="1"/>
    <row r="1285" s="1" customFormat="1"/>
    <row r="1286" s="1" customFormat="1"/>
    <row r="1287" s="1" customFormat="1"/>
    <row r="1288" s="1" customFormat="1"/>
    <row r="1289" s="1" customFormat="1"/>
    <row r="1290" s="1" customFormat="1"/>
    <row r="1291" s="1" customFormat="1"/>
    <row r="1292" s="1" customFormat="1"/>
    <row r="1293" s="1" customFormat="1"/>
    <row r="1294" s="1" customFormat="1"/>
    <row r="1295" s="1" customFormat="1"/>
    <row r="1296" s="1" customFormat="1"/>
    <row r="1297" s="1" customFormat="1"/>
    <row r="1298" s="1" customFormat="1"/>
    <row r="1299" s="1" customFormat="1"/>
    <row r="1300" s="1" customFormat="1"/>
    <row r="1301" s="1" customFormat="1"/>
    <row r="1302" s="1" customFormat="1"/>
    <row r="1303" s="1" customFormat="1"/>
    <row r="1304" s="1" customFormat="1"/>
    <row r="1305" s="1" customFormat="1"/>
    <row r="1306" s="1" customFormat="1"/>
    <row r="1307" s="1" customFormat="1"/>
    <row r="1308" s="1" customFormat="1"/>
    <row r="1309" s="1" customFormat="1"/>
    <row r="1310" s="1" customFormat="1"/>
    <row r="1311" s="1" customFormat="1"/>
    <row r="1312" s="1" customFormat="1"/>
    <row r="1313" s="1" customFormat="1"/>
    <row r="1314" s="1" customFormat="1"/>
    <row r="1315" s="1" customFormat="1"/>
    <row r="1316" s="1" customFormat="1"/>
    <row r="1317" s="1" customFormat="1"/>
    <row r="1318" s="1" customFormat="1"/>
    <row r="1319" s="1" customFormat="1"/>
    <row r="1320" s="1" customFormat="1"/>
    <row r="1321" s="1" customFormat="1"/>
    <row r="1322" s="1" customFormat="1"/>
    <row r="1323" s="1" customFormat="1"/>
    <row r="1324" s="1" customFormat="1"/>
    <row r="1325" s="1" customFormat="1"/>
    <row r="1326" s="1" customFormat="1"/>
    <row r="1327" s="1" customFormat="1"/>
    <row r="1328" s="1" customFormat="1"/>
    <row r="1329" s="1" customFormat="1"/>
    <row r="1330" s="1" customFormat="1"/>
    <row r="1331" s="1" customFormat="1"/>
    <row r="1332" s="1" customFormat="1"/>
    <row r="1333" s="1" customFormat="1"/>
    <row r="1334" s="1" customFormat="1"/>
    <row r="1335" s="1" customFormat="1"/>
    <row r="1336" s="1" customFormat="1"/>
    <row r="1337" s="1" customFormat="1"/>
    <row r="1338" s="1" customFormat="1"/>
    <row r="1339" s="1" customFormat="1"/>
    <row r="1340" s="1" customFormat="1"/>
    <row r="1341" s="1" customFormat="1"/>
    <row r="1342" s="1" customFormat="1"/>
    <row r="1343" s="1" customFormat="1"/>
    <row r="1344" s="1" customFormat="1"/>
    <row r="1345" s="1" customFormat="1"/>
    <row r="1346" s="1" customFormat="1"/>
    <row r="1347" s="1" customFormat="1"/>
    <row r="1348" s="1" customFormat="1"/>
    <row r="1349" s="1" customFormat="1"/>
    <row r="1350" s="1" customFormat="1"/>
    <row r="1351" s="1" customFormat="1"/>
    <row r="1352" s="1" customFormat="1"/>
    <row r="1353" s="1" customFormat="1"/>
    <row r="1354" s="1" customFormat="1"/>
    <row r="1355" s="1" customFormat="1"/>
    <row r="1356" s="1" customFormat="1"/>
    <row r="1357" s="1" customFormat="1"/>
    <row r="1358" s="1" customFormat="1"/>
    <row r="1359" s="1" customFormat="1"/>
    <row r="1360" s="1" customFormat="1"/>
    <row r="1361" s="1" customFormat="1"/>
    <row r="1362" s="1" customFormat="1"/>
    <row r="1363" s="1" customFormat="1"/>
    <row r="1364" s="1" customFormat="1"/>
    <row r="1365" s="1" customFormat="1"/>
    <row r="1366" s="1" customFormat="1"/>
    <row r="1367" s="1" customFormat="1"/>
    <row r="1368" s="1" customFormat="1"/>
    <row r="1369" s="1" customFormat="1"/>
    <row r="1370" s="1" customFormat="1"/>
    <row r="1371" s="1" customFormat="1"/>
    <row r="1372" s="1" customFormat="1"/>
    <row r="1373" s="1" customFormat="1"/>
    <row r="1374" s="1" customFormat="1"/>
    <row r="1375" s="1" customFormat="1"/>
    <row r="1376" s="1" customFormat="1"/>
    <row r="1377" s="1" customFormat="1"/>
    <row r="1378" s="1" customFormat="1"/>
    <row r="1379" s="1" customFormat="1"/>
    <row r="1380" s="1" customFormat="1"/>
    <row r="1381" s="1" customFormat="1"/>
    <row r="1382" s="1" customFormat="1"/>
    <row r="1383" s="1" customFormat="1"/>
    <row r="1384" s="1" customFormat="1"/>
    <row r="1385" s="1" customFormat="1"/>
    <row r="1386" s="1" customFormat="1"/>
    <row r="1387" s="1" customFormat="1"/>
    <row r="1388" s="1" customFormat="1"/>
    <row r="1389" s="1" customFormat="1"/>
    <row r="1390" s="1" customFormat="1"/>
    <row r="1391" s="1" customFormat="1"/>
    <row r="1392" s="1" customFormat="1"/>
    <row r="1393" s="1" customFormat="1"/>
    <row r="1394" s="1" customFormat="1"/>
    <row r="1395" s="1" customFormat="1"/>
    <row r="1396" s="1" customFormat="1"/>
    <row r="1397" s="1" customFormat="1"/>
    <row r="1398" s="1" customFormat="1"/>
    <row r="1399" s="1" customFormat="1"/>
    <row r="1400" s="1" customFormat="1"/>
    <row r="1401" s="1" customFormat="1"/>
    <row r="1402" s="1" customFormat="1"/>
    <row r="1403" s="1" customFormat="1"/>
    <row r="1404" s="1" customFormat="1"/>
    <row r="1405" s="1" customFormat="1"/>
    <row r="1406" s="1" customFormat="1"/>
    <row r="1407" s="1" customFormat="1"/>
    <row r="1408" s="1" customFormat="1"/>
    <row r="1409" s="1" customFormat="1"/>
    <row r="1410" s="1" customFormat="1"/>
    <row r="1411" s="1" customFormat="1"/>
    <row r="1412" s="1" customFormat="1"/>
    <row r="1413" s="1" customFormat="1"/>
    <row r="1414" s="1" customFormat="1"/>
    <row r="1415" s="1" customFormat="1"/>
    <row r="1416" s="1" customFormat="1"/>
    <row r="1417" s="1" customFormat="1"/>
    <row r="1418" s="1" customFormat="1"/>
    <row r="1419" s="1" customFormat="1"/>
    <row r="1420" s="1" customFormat="1"/>
    <row r="1421" s="1" customFormat="1"/>
    <row r="1422" s="1" customFormat="1"/>
    <row r="1423" s="1" customFormat="1"/>
    <row r="1424" s="1" customFormat="1"/>
    <row r="1425" s="1" customFormat="1"/>
    <row r="1426" s="1" customFormat="1"/>
    <row r="1427" s="1" customFormat="1"/>
    <row r="1428" s="1" customFormat="1"/>
    <row r="1429" s="1" customFormat="1"/>
    <row r="1430" s="1" customFormat="1"/>
    <row r="1431" s="1" customFormat="1"/>
    <row r="1432" s="1" customFormat="1"/>
    <row r="1433" s="1" customFormat="1"/>
    <row r="1434" s="1" customFormat="1"/>
    <row r="1435" s="1" customFormat="1"/>
    <row r="1436" s="1" customFormat="1"/>
    <row r="1437" s="1" customFormat="1"/>
    <row r="1438" s="1" customFormat="1"/>
    <row r="1439" s="1" customFormat="1"/>
    <row r="1440" s="1" customFormat="1"/>
    <row r="1441" s="1" customFormat="1"/>
    <row r="1442" s="1" customFormat="1"/>
    <row r="1443" s="1" customFormat="1"/>
    <row r="1444" s="1" customFormat="1"/>
    <row r="1445" s="1" customFormat="1"/>
    <row r="1446" s="1" customFormat="1"/>
    <row r="1447" s="1" customFormat="1"/>
    <row r="1448" s="1" customFormat="1"/>
    <row r="1449" s="1" customFormat="1"/>
    <row r="1450" s="1" customFormat="1"/>
    <row r="1451" s="1" customFormat="1"/>
    <row r="1452" s="1" customFormat="1"/>
    <row r="1453" s="1" customFormat="1"/>
    <row r="1454" s="1" customFormat="1"/>
    <row r="1455" s="1" customFormat="1"/>
    <row r="1456" s="1" customFormat="1"/>
    <row r="1457" s="1" customFormat="1"/>
    <row r="1458" s="1" customFormat="1"/>
    <row r="1459" s="1" customFormat="1"/>
    <row r="1460" s="1" customFormat="1"/>
    <row r="1461" s="1" customFormat="1"/>
    <row r="1462" s="1" customFormat="1"/>
    <row r="1463" s="1" customFormat="1"/>
    <row r="1464" s="1" customFormat="1"/>
    <row r="1465" s="1" customFormat="1"/>
    <row r="1466" s="1" customFormat="1"/>
    <row r="1467" s="1" customFormat="1"/>
    <row r="1468" s="1" customFormat="1"/>
    <row r="1469" s="1" customFormat="1"/>
    <row r="1470" s="1" customFormat="1"/>
    <row r="1471" s="1" customFormat="1"/>
    <row r="1472" s="1" customFormat="1"/>
    <row r="1473" s="1" customFormat="1"/>
    <row r="1474" s="1" customFormat="1"/>
    <row r="1475" s="1" customFormat="1"/>
    <row r="1476" s="1" customFormat="1"/>
    <row r="1477" s="1" customFormat="1"/>
    <row r="1478" s="1" customFormat="1"/>
    <row r="1479" s="1" customFormat="1"/>
    <row r="1480" s="1" customFormat="1"/>
    <row r="1481" s="1" customFormat="1"/>
    <row r="1482" s="1" customFormat="1"/>
    <row r="1483" s="1" customFormat="1"/>
    <row r="1484" s="1" customFormat="1"/>
    <row r="1485" s="1" customFormat="1"/>
    <row r="1486" s="1" customFormat="1"/>
    <row r="1487" s="1" customFormat="1"/>
    <row r="1488" s="1" customFormat="1"/>
    <row r="1489" s="1" customFormat="1"/>
    <row r="1490" s="1" customFormat="1"/>
    <row r="1491" s="1" customFormat="1"/>
    <row r="1492" s="1" customFormat="1"/>
    <row r="1493" s="1" customFormat="1"/>
    <row r="1494" s="1" customFormat="1"/>
    <row r="1495" s="1" customFormat="1"/>
    <row r="1496" s="1" customFormat="1"/>
    <row r="1497" s="1" customFormat="1"/>
    <row r="1498" s="1" customFormat="1"/>
    <row r="1499" s="1" customFormat="1"/>
    <row r="1500" s="1" customFormat="1"/>
    <row r="1501" s="1" customFormat="1"/>
    <row r="1502" s="1" customFormat="1"/>
    <row r="1503" s="1" customFormat="1"/>
    <row r="1504" s="1" customFormat="1"/>
    <row r="1505" s="1" customFormat="1"/>
    <row r="1506" s="1" customFormat="1"/>
    <row r="1507" s="1" customFormat="1"/>
    <row r="1508" s="1" customFormat="1"/>
    <row r="1509" s="1" customFormat="1"/>
    <row r="1510" s="1" customFormat="1"/>
    <row r="1511" s="1" customFormat="1"/>
    <row r="1512" s="1" customFormat="1"/>
    <row r="1513" s="1" customFormat="1"/>
    <row r="1514" s="1" customFormat="1"/>
    <row r="1515" s="1" customFormat="1"/>
    <row r="1516" s="1" customFormat="1"/>
    <row r="1517" s="1" customFormat="1"/>
    <row r="1518" s="1" customFormat="1"/>
    <row r="1519" s="1" customFormat="1"/>
    <row r="1520" s="1" customFormat="1"/>
    <row r="1521" s="1" customFormat="1"/>
    <row r="1522" s="1" customFormat="1"/>
    <row r="1523" s="1" customFormat="1"/>
    <row r="1524" s="1" customFormat="1"/>
    <row r="1525" s="1" customFormat="1"/>
    <row r="1526" s="1" customFormat="1"/>
    <row r="1527" s="1" customFormat="1"/>
    <row r="1528" s="1" customFormat="1"/>
    <row r="1529" s="1" customFormat="1"/>
    <row r="1530" s="1" customFormat="1"/>
    <row r="1531" s="1" customFormat="1"/>
    <row r="1532" s="1" customFormat="1"/>
    <row r="1533" s="1" customFormat="1"/>
    <row r="1534" s="1" customFormat="1"/>
    <row r="1535" s="1" customFormat="1"/>
    <row r="1536" s="1" customFormat="1"/>
    <row r="1537" s="1" customFormat="1"/>
    <row r="1538" s="1" customFormat="1"/>
    <row r="1539" s="1" customFormat="1"/>
    <row r="1540" s="1" customFormat="1"/>
    <row r="1541" s="1" customFormat="1"/>
    <row r="1542" s="1" customFormat="1"/>
    <row r="1543" s="1" customFormat="1"/>
    <row r="1544" s="1" customFormat="1"/>
    <row r="1545" s="1" customFormat="1"/>
    <row r="1546" s="1" customFormat="1"/>
    <row r="1547" s="1" customFormat="1"/>
    <row r="1548" s="1" customFormat="1"/>
    <row r="1549" s="1" customFormat="1"/>
    <row r="1550" s="1" customFormat="1"/>
    <row r="1551" s="1" customFormat="1"/>
    <row r="1552" s="1" customFormat="1"/>
    <row r="1553" s="1" customFormat="1"/>
    <row r="1554" s="1" customFormat="1"/>
    <row r="1555" s="1" customFormat="1"/>
    <row r="1556" s="1" customFormat="1"/>
    <row r="1557" s="1" customFormat="1"/>
    <row r="1558" s="1" customFormat="1"/>
    <row r="1559" s="1" customFormat="1"/>
    <row r="1560" s="1" customFormat="1"/>
    <row r="1561" s="1" customFormat="1"/>
    <row r="1562" s="1" customFormat="1"/>
    <row r="1563" s="1" customFormat="1"/>
    <row r="1564" s="1" customFormat="1"/>
    <row r="1565" s="1" customFormat="1"/>
    <row r="1566" s="1" customFormat="1"/>
    <row r="1567" s="1" customFormat="1"/>
    <row r="1568" s="1" customFormat="1"/>
    <row r="1569" s="1" customFormat="1"/>
    <row r="1570" s="1" customFormat="1"/>
    <row r="1571" s="1" customFormat="1"/>
    <row r="1572" s="1" customFormat="1"/>
    <row r="1573" s="1" customFormat="1"/>
    <row r="1574" s="1" customFormat="1"/>
    <row r="1575" s="1" customFormat="1"/>
    <row r="1576" s="1" customFormat="1"/>
    <row r="1577" s="1" customFormat="1"/>
    <row r="1578" s="1" customFormat="1"/>
    <row r="1579" s="1" customFormat="1"/>
    <row r="1580" s="1" customFormat="1"/>
    <row r="1581" s="1" customFormat="1"/>
    <row r="1582" s="1" customFormat="1"/>
    <row r="1583" s="1" customFormat="1"/>
    <row r="1584" s="1" customFormat="1"/>
    <row r="1585" s="1" customFormat="1"/>
    <row r="1586" s="1" customFormat="1"/>
    <row r="1587" s="1" customFormat="1"/>
    <row r="1588" s="1" customFormat="1"/>
    <row r="1589" s="1" customFormat="1"/>
    <row r="1590" s="1" customFormat="1"/>
    <row r="1591" s="1" customFormat="1"/>
    <row r="1592" s="1" customFormat="1"/>
    <row r="1593" s="1" customFormat="1"/>
    <row r="1594" s="1" customFormat="1"/>
    <row r="1595" s="1" customFormat="1"/>
    <row r="1596" s="1" customFormat="1"/>
    <row r="1597" s="1" customFormat="1"/>
    <row r="1598" s="1" customFormat="1"/>
    <row r="1599" s="1" customFormat="1"/>
    <row r="1600" s="1" customFormat="1"/>
    <row r="1601" s="1" customFormat="1"/>
    <row r="1602" s="1" customFormat="1"/>
    <row r="1603" s="1" customFormat="1"/>
    <row r="1604" s="1" customFormat="1"/>
    <row r="1605" s="1" customFormat="1"/>
    <row r="1606" s="1" customFormat="1"/>
    <row r="1607" s="1" customFormat="1"/>
    <row r="1608" s="1" customFormat="1"/>
    <row r="1609" s="1" customFormat="1"/>
    <row r="1610" s="1" customFormat="1"/>
    <row r="1611" s="1" customFormat="1"/>
    <row r="1612" s="1" customFormat="1"/>
    <row r="1613" s="1" customFormat="1"/>
    <row r="1614" s="1" customFormat="1"/>
    <row r="1615" s="1" customFormat="1"/>
    <row r="1616" s="1" customFormat="1"/>
    <row r="1617" s="1" customFormat="1"/>
    <row r="1618" s="1" customFormat="1"/>
    <row r="1619" s="1" customFormat="1"/>
    <row r="1620" s="1" customFormat="1"/>
    <row r="1621" s="1" customFormat="1"/>
    <row r="1622" s="1" customFormat="1"/>
    <row r="1623" s="1" customFormat="1"/>
    <row r="1624" s="1" customFormat="1"/>
    <row r="1625" s="1" customFormat="1"/>
    <row r="1626" s="1" customFormat="1"/>
    <row r="1627" s="1" customFormat="1"/>
    <row r="1628" s="1" customFormat="1"/>
    <row r="1629" s="1" customFormat="1"/>
    <row r="1630" s="1" customFormat="1"/>
    <row r="1631" s="1" customFormat="1"/>
    <row r="1632" s="1" customFormat="1"/>
    <row r="1633" s="1" customFormat="1"/>
    <row r="1634" s="1" customFormat="1"/>
    <row r="1635" s="1" customFormat="1"/>
    <row r="1636" s="1" customFormat="1"/>
    <row r="1637" s="1" customFormat="1"/>
    <row r="1638" s="1" customFormat="1"/>
    <row r="1639" s="1" customFormat="1"/>
    <row r="1640" s="1" customFormat="1"/>
    <row r="1641" s="1" customFormat="1"/>
    <row r="1642" s="1" customFormat="1"/>
    <row r="1643" s="1" customFormat="1"/>
    <row r="1644" s="1" customFormat="1"/>
    <row r="1645" s="1" customFormat="1"/>
    <row r="1646" s="1" customFormat="1"/>
    <row r="1647" s="1" customFormat="1"/>
    <row r="1648" s="1" customFormat="1"/>
    <row r="1649" s="1" customFormat="1"/>
    <row r="1650" s="1" customFormat="1"/>
    <row r="1651" s="1" customFormat="1"/>
    <row r="1652" s="1" customFormat="1"/>
    <row r="1653" s="1" customFormat="1"/>
    <row r="1654" s="1" customFormat="1"/>
    <row r="1655" s="1" customFormat="1"/>
    <row r="1656" s="1" customFormat="1"/>
    <row r="1657" s="1" customFormat="1"/>
    <row r="1658" s="1" customFormat="1"/>
    <row r="1659" s="1" customFormat="1"/>
    <row r="1660" s="1" customFormat="1"/>
    <row r="1661" s="1" customFormat="1"/>
    <row r="1662" s="1" customFormat="1"/>
    <row r="1663" s="1" customFormat="1"/>
    <row r="1664" s="1" customFormat="1"/>
    <row r="1665" s="1" customFormat="1"/>
    <row r="1666" s="1" customFormat="1"/>
    <row r="1667" s="1" customFormat="1"/>
    <row r="1668" s="1" customFormat="1"/>
    <row r="1669" s="1" customFormat="1"/>
    <row r="1670" s="1" customFormat="1"/>
    <row r="1671" s="1" customFormat="1"/>
    <row r="1672" s="1" customFormat="1"/>
    <row r="1673" s="1" customFormat="1"/>
    <row r="1674" s="1" customFormat="1"/>
    <row r="1675" s="1" customFormat="1"/>
    <row r="1676" s="1" customFormat="1"/>
    <row r="1677" s="1" customFormat="1"/>
    <row r="1678" s="1" customFormat="1"/>
    <row r="1679" s="1" customFormat="1"/>
    <row r="1680" s="1" customFormat="1"/>
    <row r="1681" s="1" customFormat="1"/>
    <row r="1682" s="1" customFormat="1"/>
    <row r="1683" s="1" customFormat="1"/>
    <row r="1684" s="1" customFormat="1"/>
    <row r="1685" s="1" customFormat="1"/>
    <row r="1686" s="1" customFormat="1"/>
    <row r="1687" s="1" customFormat="1"/>
    <row r="1688" s="1" customFormat="1"/>
    <row r="1689" s="1" customFormat="1"/>
    <row r="1690" s="1" customFormat="1"/>
    <row r="1691" s="1" customFormat="1"/>
    <row r="1692" s="1" customFormat="1"/>
    <row r="1693" s="1" customFormat="1"/>
    <row r="1694" s="1" customFormat="1"/>
    <row r="1695" s="1" customFormat="1"/>
    <row r="1696" s="1" customFormat="1"/>
    <row r="1697" s="1" customFormat="1"/>
    <row r="1698" s="1" customFormat="1"/>
    <row r="1699" s="1" customFormat="1"/>
    <row r="1700" s="1" customFormat="1"/>
    <row r="1701" s="1" customFormat="1"/>
    <row r="1702" s="1" customFormat="1"/>
    <row r="1703" s="1" customFormat="1"/>
    <row r="1704" s="1" customFormat="1"/>
    <row r="1705" s="1" customFormat="1"/>
    <row r="1706" s="1" customFormat="1"/>
    <row r="1707" s="1" customFormat="1"/>
    <row r="1708" s="1" customFormat="1"/>
    <row r="1709" s="1" customFormat="1"/>
    <row r="1710" s="1" customFormat="1"/>
    <row r="1711" s="1" customFormat="1"/>
    <row r="1712" s="1" customFormat="1"/>
    <row r="1713" s="1" customFormat="1"/>
    <row r="1714" s="1" customFormat="1"/>
    <row r="1715" s="1" customFormat="1"/>
    <row r="1716" s="1" customFormat="1"/>
    <row r="1717" s="1" customFormat="1"/>
    <row r="1718" s="1" customFormat="1"/>
    <row r="1719" s="1" customFormat="1"/>
    <row r="1720" s="1" customFormat="1"/>
    <row r="1721" s="1" customFormat="1"/>
    <row r="1722" s="1" customFormat="1"/>
    <row r="1723" s="1" customFormat="1"/>
    <row r="1724" s="1" customFormat="1"/>
    <row r="1725" s="1" customFormat="1"/>
    <row r="1726" s="1" customFormat="1"/>
    <row r="1727" s="1" customFormat="1"/>
    <row r="1728" s="1" customFormat="1"/>
    <row r="1729" s="1" customFormat="1"/>
    <row r="1730" s="1" customFormat="1"/>
    <row r="1731" s="1" customFormat="1"/>
    <row r="1732" s="1" customFormat="1"/>
    <row r="1733" s="1" customFormat="1"/>
    <row r="1734" s="1" customFormat="1"/>
    <row r="1735" s="1" customFormat="1"/>
    <row r="1736" s="1" customFormat="1"/>
    <row r="1737" s="1" customFormat="1"/>
    <row r="1738" s="1" customFormat="1"/>
    <row r="1739" s="1" customFormat="1"/>
    <row r="1740" s="1" customFormat="1"/>
    <row r="1741" s="1" customFormat="1"/>
    <row r="1742" s="1" customFormat="1"/>
    <row r="1743" s="1" customFormat="1"/>
    <row r="1744" s="1" customFormat="1"/>
    <row r="1745" s="1" customFormat="1"/>
    <row r="1746" s="1" customFormat="1"/>
    <row r="1747" s="1" customFormat="1"/>
    <row r="1748" s="1" customFormat="1"/>
    <row r="1749" s="1" customFormat="1"/>
    <row r="1750" s="1" customFormat="1"/>
    <row r="1751" s="1" customFormat="1"/>
    <row r="1752" s="1" customFormat="1"/>
    <row r="1753" s="1" customFormat="1"/>
    <row r="1754" s="1" customFormat="1"/>
    <row r="1755" s="1" customFormat="1"/>
    <row r="1756" s="1" customFormat="1"/>
    <row r="1757" s="1" customFormat="1"/>
    <row r="1758" s="1" customFormat="1"/>
    <row r="1759" s="1" customFormat="1"/>
    <row r="1760" s="1" customFormat="1"/>
    <row r="1761" s="1" customFormat="1"/>
    <row r="1762" s="1" customFormat="1"/>
    <row r="1763" s="1" customFormat="1"/>
    <row r="1764" s="1" customFormat="1"/>
    <row r="1765" s="1" customFormat="1"/>
    <row r="1766" s="1" customFormat="1"/>
    <row r="1767" s="1" customFormat="1"/>
    <row r="1768" s="1" customFormat="1"/>
    <row r="1769" s="1" customFormat="1"/>
    <row r="1770" s="1" customFormat="1"/>
    <row r="1771" s="1" customFormat="1"/>
    <row r="1772" s="1" customFormat="1"/>
    <row r="1773" s="1" customFormat="1"/>
    <row r="1774" s="1" customFormat="1"/>
    <row r="1775" s="1" customFormat="1"/>
    <row r="1776" s="1" customFormat="1"/>
    <row r="1777" s="1" customFormat="1"/>
    <row r="1778" s="1" customFormat="1"/>
    <row r="1779" s="1" customFormat="1"/>
    <row r="1780" s="1" customFormat="1"/>
    <row r="1781" s="1" customFormat="1"/>
    <row r="1782" s="1" customFormat="1"/>
    <row r="1783" s="1" customFormat="1"/>
    <row r="1784" s="1" customFormat="1"/>
    <row r="1785" s="1" customFormat="1"/>
    <row r="1786" s="1" customFormat="1"/>
    <row r="1787" s="1" customFormat="1"/>
    <row r="1788" s="1" customFormat="1"/>
    <row r="1789" s="1" customFormat="1"/>
    <row r="1790" s="1" customFormat="1"/>
    <row r="1791" s="1" customFormat="1"/>
    <row r="1792" s="1" customFormat="1"/>
    <row r="1793" s="1" customFormat="1"/>
    <row r="1794" s="1" customFormat="1"/>
    <row r="1795" s="1" customFormat="1"/>
    <row r="1796" s="1" customFormat="1"/>
    <row r="1797" s="1" customFormat="1"/>
    <row r="1798" s="1" customFormat="1"/>
    <row r="1799" s="1" customFormat="1"/>
    <row r="1800" s="1" customFormat="1"/>
    <row r="1801" s="1" customFormat="1"/>
    <row r="1802" s="1" customFormat="1"/>
    <row r="1803" s="1" customFormat="1"/>
    <row r="1804" s="1" customFormat="1"/>
    <row r="1805" s="1" customFormat="1"/>
    <row r="1806" s="1" customFormat="1"/>
    <row r="1807" s="1" customFormat="1"/>
    <row r="1808" s="1" customFormat="1"/>
    <row r="1809" s="1" customFormat="1"/>
    <row r="1810" s="1" customFormat="1"/>
    <row r="1811" s="1" customFormat="1"/>
    <row r="1812" s="1" customFormat="1"/>
    <row r="1813" s="1" customFormat="1"/>
    <row r="1814" s="1" customFormat="1"/>
    <row r="1815" s="1" customFormat="1"/>
    <row r="1816" s="1" customFormat="1"/>
    <row r="1817" s="1" customFormat="1"/>
    <row r="1818" s="1" customFormat="1"/>
    <row r="1819" s="1" customFormat="1"/>
    <row r="1820" s="1" customFormat="1"/>
    <row r="1821" s="1" customFormat="1"/>
    <row r="1822" s="1" customFormat="1"/>
    <row r="1823" s="1" customFormat="1"/>
    <row r="1824" s="1" customFormat="1"/>
    <row r="1825" s="1" customFormat="1"/>
    <row r="1826" s="1" customFormat="1"/>
    <row r="1827" s="1" customFormat="1"/>
    <row r="1828" s="1" customFormat="1"/>
    <row r="1829" s="1" customFormat="1"/>
    <row r="1830" s="1" customFormat="1"/>
    <row r="1831" s="1" customFormat="1"/>
    <row r="1832" s="1" customFormat="1"/>
    <row r="1833" s="1" customFormat="1"/>
    <row r="1834" s="1" customFormat="1"/>
    <row r="1835" s="1" customFormat="1"/>
    <row r="1836" s="1" customFormat="1"/>
    <row r="1837" s="1" customFormat="1"/>
    <row r="1838" s="1" customFormat="1"/>
    <row r="1839" s="1" customFormat="1"/>
    <row r="1840" s="1" customFormat="1"/>
    <row r="1841" s="1" customFormat="1"/>
    <row r="1842" s="1" customFormat="1"/>
    <row r="1843" s="1" customFormat="1"/>
    <row r="1844" s="1" customFormat="1"/>
    <row r="1845" s="1" customFormat="1"/>
    <row r="1846" s="1" customFormat="1"/>
    <row r="1847" s="1" customFormat="1"/>
    <row r="1848" s="1" customFormat="1"/>
    <row r="1849" s="1" customFormat="1"/>
    <row r="1850" s="1" customFormat="1"/>
    <row r="1851" s="1" customFormat="1"/>
    <row r="1852" s="1" customFormat="1"/>
    <row r="1853" s="1" customFormat="1"/>
    <row r="1854" s="1" customFormat="1"/>
    <row r="1855" s="1" customFormat="1"/>
    <row r="1856" s="1" customFormat="1"/>
    <row r="1857" s="1" customFormat="1"/>
    <row r="1858" s="1" customFormat="1"/>
    <row r="1859" s="1" customFormat="1"/>
    <row r="1860" s="1" customFormat="1"/>
    <row r="1861" s="1" customFormat="1"/>
    <row r="1862" s="1" customFormat="1"/>
    <row r="1863" s="1" customFormat="1"/>
    <row r="1864" s="1" customFormat="1"/>
    <row r="1865" s="1" customFormat="1"/>
    <row r="1866" s="1" customFormat="1"/>
    <row r="1867" s="1" customFormat="1"/>
    <row r="1868" s="1" customFormat="1"/>
    <row r="1869" s="1" customFormat="1"/>
    <row r="1870" s="1" customFormat="1"/>
    <row r="1871" s="1" customFormat="1"/>
    <row r="1872" s="1" customFormat="1"/>
    <row r="1873" s="1" customFormat="1"/>
    <row r="1874" s="1" customFormat="1"/>
    <row r="1875" s="1" customFormat="1"/>
    <row r="1876" s="1" customFormat="1"/>
    <row r="1877" s="1" customFormat="1"/>
    <row r="1878" s="1" customFormat="1"/>
    <row r="1879" s="1" customFormat="1"/>
    <row r="1880" s="1" customFormat="1"/>
    <row r="1881" s="1" customFormat="1"/>
    <row r="1882" s="1" customFormat="1"/>
    <row r="1883" s="1" customFormat="1"/>
    <row r="1884" s="1" customFormat="1"/>
    <row r="1885" s="1" customFormat="1"/>
    <row r="1886" s="1" customFormat="1"/>
    <row r="1887" s="1" customFormat="1"/>
    <row r="1888" s="1" customFormat="1"/>
    <row r="1889" s="1" customFormat="1"/>
    <row r="1890" s="1" customFormat="1"/>
    <row r="1891" s="1" customFormat="1"/>
    <row r="1892" s="1" customFormat="1"/>
    <row r="1893" s="1" customFormat="1"/>
    <row r="1894" s="1" customFormat="1"/>
    <row r="1895" s="1" customFormat="1"/>
    <row r="1896" s="1" customFormat="1"/>
    <row r="1897" s="1" customFormat="1"/>
    <row r="1898" s="1" customFormat="1"/>
    <row r="1899" s="1" customFormat="1"/>
    <row r="1900" s="1" customFormat="1"/>
    <row r="1901" s="1" customFormat="1"/>
    <row r="1902" s="1" customFormat="1"/>
    <row r="1903" s="1" customFormat="1"/>
    <row r="1904" s="1" customFormat="1"/>
    <row r="1905" s="1" customFormat="1"/>
    <row r="1906" s="1" customFormat="1"/>
    <row r="1907" s="1" customFormat="1"/>
    <row r="1908" s="1" customFormat="1"/>
    <row r="1909" s="1" customFormat="1"/>
    <row r="1910" s="1" customFormat="1"/>
    <row r="1911" s="1" customFormat="1"/>
    <row r="1912" s="1" customFormat="1"/>
    <row r="1913" s="1" customFormat="1"/>
    <row r="1914" s="1" customFormat="1"/>
    <row r="1915" s="1" customFormat="1"/>
    <row r="1916" s="1" customFormat="1"/>
    <row r="1917" s="1" customFormat="1"/>
    <row r="1918" s="1" customFormat="1"/>
    <row r="1919" s="1" customFormat="1"/>
    <row r="1920" s="1" customFormat="1"/>
    <row r="1921" s="1" customFormat="1"/>
    <row r="1922" s="1" customFormat="1"/>
    <row r="1923" s="1" customFormat="1"/>
    <row r="1924" s="1" customFormat="1"/>
    <row r="1925" s="1" customFormat="1"/>
    <row r="1926" s="1" customFormat="1"/>
    <row r="1927" s="1" customFormat="1"/>
    <row r="1928" s="1" customFormat="1"/>
    <row r="1929" s="1" customFormat="1"/>
    <row r="1930" s="1" customFormat="1"/>
    <row r="1931" s="1" customFormat="1"/>
    <row r="1932" s="1" customFormat="1"/>
    <row r="1933" s="1" customFormat="1"/>
    <row r="1934" s="1" customFormat="1"/>
    <row r="1935" s="1" customFormat="1"/>
    <row r="1936" s="1" customFormat="1"/>
    <row r="1937" s="1" customFormat="1"/>
    <row r="1938" s="1" customFormat="1"/>
    <row r="1939" s="1" customFormat="1"/>
    <row r="1940" s="1" customFormat="1"/>
    <row r="1941" s="1" customFormat="1"/>
    <row r="1942" s="1" customFormat="1"/>
    <row r="1943" s="1" customFormat="1"/>
    <row r="1944" s="1" customFormat="1"/>
    <row r="1945" s="1" customFormat="1"/>
    <row r="1946" s="1" customFormat="1"/>
    <row r="1947" s="1" customFormat="1"/>
    <row r="1948" s="1" customFormat="1"/>
    <row r="1949" s="1" customFormat="1"/>
    <row r="1950" s="1" customFormat="1"/>
    <row r="1951" s="1" customFormat="1"/>
    <row r="1952" s="1" customFormat="1"/>
    <row r="1953" s="1" customFormat="1"/>
    <row r="1954" s="1" customFormat="1"/>
    <row r="1955" s="1" customFormat="1"/>
    <row r="1956" s="1" customFormat="1"/>
    <row r="1957" s="1" customFormat="1"/>
    <row r="1958" s="1" customFormat="1"/>
    <row r="1959" s="1" customFormat="1"/>
    <row r="1960" s="1" customFormat="1"/>
    <row r="1961" s="1" customFormat="1"/>
    <row r="1962" s="1" customFormat="1"/>
    <row r="1963" s="1" customFormat="1"/>
    <row r="1964" s="1" customFormat="1"/>
    <row r="1965" s="1" customFormat="1"/>
    <row r="1966" s="1" customFormat="1"/>
    <row r="1967" s="1" customFormat="1"/>
    <row r="1968" s="1" customFormat="1"/>
    <row r="1969" s="1" customFormat="1"/>
    <row r="1970" s="1" customFormat="1"/>
    <row r="1971" s="1" customFormat="1"/>
    <row r="1972" s="1" customFormat="1"/>
    <row r="1973" s="1" customFormat="1"/>
    <row r="1974" s="1" customFormat="1"/>
    <row r="1975" s="1" customFormat="1"/>
    <row r="1976" s="1" customFormat="1"/>
    <row r="1977" s="1" customFormat="1"/>
    <row r="1978" s="1" customFormat="1"/>
    <row r="1979" s="1" customFormat="1"/>
    <row r="1980" s="1" customFormat="1"/>
    <row r="1981" s="1" customFormat="1"/>
    <row r="1982" s="1" customFormat="1"/>
    <row r="1983" s="1" customFormat="1"/>
    <row r="1984" s="1" customFormat="1"/>
    <row r="1985" s="1" customFormat="1"/>
    <row r="1986" s="1" customFormat="1"/>
    <row r="1987" s="1" customFormat="1"/>
    <row r="1988" s="1" customFormat="1"/>
    <row r="1989" s="1" customFormat="1"/>
    <row r="1990" s="1" customFormat="1"/>
    <row r="1991" s="1" customFormat="1"/>
    <row r="1992" s="1" customFormat="1"/>
    <row r="1993" s="1" customFormat="1"/>
    <row r="1994" s="1" customFormat="1"/>
    <row r="1995" s="1" customFormat="1"/>
    <row r="1996" s="1" customFormat="1"/>
    <row r="1997" s="1" customFormat="1"/>
    <row r="1998" s="1" customFormat="1"/>
    <row r="1999" s="1" customFormat="1"/>
    <row r="2000" s="1" customForma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2000"/>
  <sheetViews>
    <sheetView workbookViewId="0"/>
  </sheetViews>
  <sheetFormatPr defaultRowHeight="15"/>
  <sheetData>
    <row r="1" spans="1:37" s="1" customFormat="1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0</v>
      </c>
      <c r="I1" s="2" t="s">
        <v>72</v>
      </c>
      <c r="J1" s="2" t="s">
        <v>1</v>
      </c>
      <c r="K1" s="2" t="s">
        <v>73</v>
      </c>
      <c r="L1" s="2" t="s">
        <v>2</v>
      </c>
      <c r="M1" s="2" t="s">
        <v>74</v>
      </c>
      <c r="N1" s="2" t="s">
        <v>3</v>
      </c>
      <c r="O1" s="2" t="s">
        <v>75</v>
      </c>
      <c r="P1" s="2" t="s">
        <v>4</v>
      </c>
      <c r="Q1" s="2" t="s">
        <v>76</v>
      </c>
      <c r="R1" s="2" t="s">
        <v>5</v>
      </c>
      <c r="S1" s="2" t="s">
        <v>77</v>
      </c>
      <c r="T1" s="2" t="s">
        <v>6</v>
      </c>
      <c r="U1" s="2" t="s">
        <v>78</v>
      </c>
      <c r="V1" s="2" t="s">
        <v>7</v>
      </c>
      <c r="W1" s="2" t="s">
        <v>79</v>
      </c>
      <c r="X1" s="2" t="s">
        <v>8</v>
      </c>
      <c r="Y1" s="2" t="s">
        <v>80</v>
      </c>
      <c r="Z1" s="2" t="s">
        <v>9</v>
      </c>
      <c r="AA1" s="2" t="s">
        <v>81</v>
      </c>
      <c r="AB1" s="2" t="s">
        <v>10</v>
      </c>
      <c r="AC1" s="2" t="s">
        <v>82</v>
      </c>
      <c r="AD1" s="2" t="s">
        <v>11</v>
      </c>
      <c r="AE1" s="2" t="s">
        <v>83</v>
      </c>
      <c r="AF1" s="2" t="s">
        <v>12</v>
      </c>
      <c r="AG1" s="2" t="s">
        <v>84</v>
      </c>
      <c r="AH1" s="2" t="s">
        <v>13</v>
      </c>
      <c r="AI1" s="2" t="s">
        <v>85</v>
      </c>
      <c r="AJ1" s="2" t="s">
        <v>14</v>
      </c>
      <c r="AK1" s="2" t="s">
        <v>86</v>
      </c>
    </row>
    <row r="2" spans="1:37" s="1" customFormat="1">
      <c r="A2" s="3">
        <v>45292</v>
      </c>
      <c r="B2" s="2" t="s">
        <v>22</v>
      </c>
      <c r="C2" s="2">
        <v>22</v>
      </c>
      <c r="D2" s="2">
        <v>21</v>
      </c>
      <c r="E2" s="2">
        <v>20</v>
      </c>
      <c r="F2" s="2">
        <v>4</v>
      </c>
      <c r="G2" s="2">
        <v>5</v>
      </c>
      <c r="H2" s="1">
        <v>0</v>
      </c>
      <c r="I2" s="1">
        <f>IF(H2 &lt; 0, H2, 0)</f>
        <v>0</v>
      </c>
      <c r="J2" s="1">
        <v>0</v>
      </c>
      <c r="K2" s="1">
        <f>IF(J2 &lt; 0, J2, 0)</f>
        <v>0</v>
      </c>
      <c r="L2" s="1">
        <v>0</v>
      </c>
      <c r="M2" s="1">
        <f>IF(L2 &lt; 0, L2, 0)</f>
        <v>0</v>
      </c>
      <c r="N2" s="1">
        <v>0</v>
      </c>
      <c r="O2" s="1">
        <f>IF(N2 &lt; 0, N2, 0)</f>
        <v>0</v>
      </c>
      <c r="P2" s="1">
        <v>0</v>
      </c>
      <c r="Q2" s="1">
        <f>IF(P2 &lt; 0, P2, 0)</f>
        <v>0</v>
      </c>
      <c r="R2" s="1">
        <v>0</v>
      </c>
      <c r="S2" s="1">
        <f>IF(R2 &lt; 0, R2, 0)</f>
        <v>0</v>
      </c>
      <c r="T2" s="1">
        <v>0</v>
      </c>
      <c r="U2" s="1">
        <f>IF(T2 &lt; 0, T2, 0)</f>
        <v>0</v>
      </c>
      <c r="V2" s="1">
        <v>0</v>
      </c>
      <c r="W2" s="1">
        <f>IF(V2 &lt; 0, V2, 0)</f>
        <v>0</v>
      </c>
      <c r="X2" s="1">
        <v>0</v>
      </c>
      <c r="Y2" s="1">
        <f>IF(X2 &lt; 0, X2, 0)</f>
        <v>0</v>
      </c>
      <c r="Z2" s="1">
        <v>0</v>
      </c>
      <c r="AA2" s="1">
        <f>IF(Z2 &lt; 0, Z2, 0)</f>
        <v>0</v>
      </c>
      <c r="AB2" s="1">
        <v>0</v>
      </c>
      <c r="AC2" s="1">
        <f>IF(AB2 &lt; 0, AB2, 0)</f>
        <v>0</v>
      </c>
      <c r="AD2" s="1">
        <v>0</v>
      </c>
      <c r="AE2" s="1">
        <f>IF(AD2 &lt; 0, AD2, 0)</f>
        <v>0</v>
      </c>
      <c r="AF2" s="1">
        <v>0</v>
      </c>
      <c r="AG2" s="1">
        <f>IF(AF2 &lt; 0, AF2, 0)</f>
        <v>0</v>
      </c>
      <c r="AH2" s="1">
        <v>0</v>
      </c>
      <c r="AI2" s="1">
        <f>IF(AH2 &lt; 0, AH2, 0)</f>
        <v>0</v>
      </c>
      <c r="AJ2" s="1">
        <v>0</v>
      </c>
      <c r="AK2" s="1">
        <f>IF(AJ2 &lt; 0, AJ2, 0)</f>
        <v>0</v>
      </c>
    </row>
    <row r="3" spans="1:37" s="1" customFormat="1">
      <c r="A3" s="3">
        <v>45293</v>
      </c>
      <c r="B3" s="2" t="s">
        <v>23</v>
      </c>
      <c r="C3" s="2">
        <v>21</v>
      </c>
      <c r="D3" s="2">
        <v>20</v>
      </c>
      <c r="E3" s="2">
        <v>19</v>
      </c>
      <c r="F3" s="2">
        <v>3</v>
      </c>
      <c r="G3" s="2">
        <v>4</v>
      </c>
      <c r="H3" s="1">
        <v>0</v>
      </c>
      <c r="I3" s="1">
        <f>IF(H3 + I2 &lt; 0, H3 + I2, 0)</f>
        <v>0</v>
      </c>
      <c r="J3" s="1">
        <v>0</v>
      </c>
      <c r="K3" s="1">
        <f>IF(J3 + K2 &lt; 0, J3 + K2, 0)</f>
        <v>0</v>
      </c>
      <c r="L3" s="1">
        <v>0</v>
      </c>
      <c r="M3" s="1">
        <f>IF(L3 + M2 &lt; 0, L3 + M2, 0)</f>
        <v>0</v>
      </c>
      <c r="N3" s="1">
        <v>0</v>
      </c>
      <c r="O3" s="1">
        <f>IF(N3 + O2 &lt; 0, N3 + O2, 0)</f>
        <v>0</v>
      </c>
      <c r="P3" s="1">
        <v>0</v>
      </c>
      <c r="Q3" s="1">
        <f>IF(P3 + Q2 &lt; 0, P3 + Q2, 0)</f>
        <v>0</v>
      </c>
      <c r="R3" s="1">
        <v>0</v>
      </c>
      <c r="S3" s="1">
        <f>IF(R3 + S2 &lt; 0, R3 + S2, 0)</f>
        <v>0</v>
      </c>
      <c r="T3" s="1">
        <v>0</v>
      </c>
      <c r="U3" s="1">
        <f>IF(T3 + U2 &lt; 0, T3 + U2, 0)</f>
        <v>0</v>
      </c>
      <c r="V3" s="1">
        <v>0</v>
      </c>
      <c r="W3" s="1">
        <f>IF(V3 + W2 &lt; 0, V3 + W2, 0)</f>
        <v>0</v>
      </c>
      <c r="X3" s="1">
        <v>0</v>
      </c>
      <c r="Y3" s="1">
        <f>IF(X3 + Y2 &lt; 0, X3 + Y2, 0)</f>
        <v>0</v>
      </c>
      <c r="Z3" s="1">
        <v>0</v>
      </c>
      <c r="AA3" s="1">
        <f>IF(Z3 + AA2 &lt; 0, Z3 + AA2, 0)</f>
        <v>0</v>
      </c>
      <c r="AB3" s="1">
        <v>0</v>
      </c>
      <c r="AC3" s="1">
        <f>IF(AB3 + AC2 &lt; 0, AB3 + AC2, 0)</f>
        <v>0</v>
      </c>
      <c r="AD3" s="1">
        <v>0</v>
      </c>
      <c r="AE3" s="1">
        <f>IF(AD3 + AE2 &lt; 0, AD3 + AE2, 0)</f>
        <v>0</v>
      </c>
      <c r="AF3" s="1">
        <v>0</v>
      </c>
      <c r="AG3" s="1">
        <f>IF(AF3 + AG2 &lt; 0, AF3 + AG2, 0)</f>
        <v>0</v>
      </c>
      <c r="AH3" s="1">
        <v>0</v>
      </c>
      <c r="AI3" s="1">
        <f>IF(AH3 + AI2 &lt; 0, AH3 + AI2, 0)</f>
        <v>0</v>
      </c>
      <c r="AJ3" s="1">
        <v>0</v>
      </c>
      <c r="AK3" s="1">
        <f>IF(AJ3 + AK2 &lt; 0, AJ3 + AK2, 0)</f>
        <v>0</v>
      </c>
    </row>
    <row r="4" spans="1:37" s="1" customFormat="1">
      <c r="A4" s="3">
        <v>45294</v>
      </c>
      <c r="B4" s="2" t="s">
        <v>24</v>
      </c>
      <c r="C4" s="2">
        <v>20</v>
      </c>
      <c r="D4" s="2">
        <v>19</v>
      </c>
      <c r="E4" s="2">
        <v>18</v>
      </c>
      <c r="F4" s="2">
        <v>2</v>
      </c>
      <c r="G4" s="2">
        <v>3</v>
      </c>
      <c r="H4" s="1">
        <v>0</v>
      </c>
      <c r="I4" s="1">
        <f>IF(H4 + I3 &lt; 0, H4 + I3, 0)</f>
        <v>0</v>
      </c>
      <c r="J4" s="1">
        <v>0</v>
      </c>
      <c r="K4" s="1">
        <f>IF(J4 + K3 &lt; 0, J4 + K3, 0)</f>
        <v>0</v>
      </c>
      <c r="L4" s="1">
        <v>0</v>
      </c>
      <c r="M4" s="1">
        <f>IF(L4 + M3 &lt; 0, L4 + M3, 0)</f>
        <v>0</v>
      </c>
      <c r="N4" s="1">
        <v>0</v>
      </c>
      <c r="O4" s="1">
        <f>IF(N4 + O3 &lt; 0, N4 + O3, 0)</f>
        <v>0</v>
      </c>
      <c r="P4" s="1">
        <v>0</v>
      </c>
      <c r="Q4" s="1">
        <f>IF(P4 + Q3 &lt; 0, P4 + Q3, 0)</f>
        <v>0</v>
      </c>
      <c r="R4" s="1">
        <v>0</v>
      </c>
      <c r="S4" s="1">
        <f>IF(R4 + S3 &lt; 0, R4 + S3, 0)</f>
        <v>0</v>
      </c>
      <c r="T4" s="1">
        <v>0</v>
      </c>
      <c r="U4" s="1">
        <f>IF(T4 + U3 &lt; 0, T4 + U3, 0)</f>
        <v>0</v>
      </c>
      <c r="V4" s="1">
        <v>0</v>
      </c>
      <c r="W4" s="1">
        <f>IF(V4 + W3 &lt; 0, V4 + W3, 0)</f>
        <v>0</v>
      </c>
      <c r="X4" s="1">
        <v>0</v>
      </c>
      <c r="Y4" s="1">
        <f>IF(X4 + Y3 &lt; 0, X4 + Y3, 0)</f>
        <v>0</v>
      </c>
      <c r="Z4" s="1">
        <v>0</v>
      </c>
      <c r="AA4" s="1">
        <f>IF(Z4 + AA3 &lt; 0, Z4 + AA3, 0)</f>
        <v>0</v>
      </c>
      <c r="AB4" s="1">
        <v>0</v>
      </c>
      <c r="AC4" s="1">
        <f>IF(AB4 + AC3 &lt; 0, AB4 + AC3, 0)</f>
        <v>0</v>
      </c>
      <c r="AD4" s="1">
        <v>0</v>
      </c>
      <c r="AE4" s="1">
        <f>IF(AD4 + AE3 &lt; 0, AD4 + AE3, 0)</f>
        <v>0</v>
      </c>
      <c r="AF4" s="1">
        <v>0</v>
      </c>
      <c r="AG4" s="1">
        <f>IF(AF4 + AG3 &lt; 0, AF4 + AG3, 0)</f>
        <v>0</v>
      </c>
      <c r="AH4" s="1">
        <v>0</v>
      </c>
      <c r="AI4" s="1">
        <f>IF(AH4 + AI3 &lt; 0, AH4 + AI3, 0)</f>
        <v>0</v>
      </c>
      <c r="AJ4" s="1">
        <v>0</v>
      </c>
      <c r="AK4" s="1">
        <f>IF(AJ4 + AK3 &lt; 0, AJ4 + AK3, 0)</f>
        <v>0</v>
      </c>
    </row>
    <row r="5" spans="1:37" s="1" customFormat="1">
      <c r="A5" s="3">
        <v>45295</v>
      </c>
      <c r="B5" s="2" t="s">
        <v>25</v>
      </c>
      <c r="C5" s="2">
        <v>19</v>
      </c>
      <c r="D5" s="2">
        <v>18</v>
      </c>
      <c r="E5" s="2">
        <v>17</v>
      </c>
      <c r="F5" s="2">
        <v>1</v>
      </c>
      <c r="G5" s="2">
        <v>2</v>
      </c>
      <c r="H5" s="1">
        <v>0</v>
      </c>
      <c r="I5" s="1">
        <f>IF(H5 + I4 &lt; 0, H5 + I4, 0)</f>
        <v>0</v>
      </c>
      <c r="J5" s="1">
        <v>0</v>
      </c>
      <c r="K5" s="1">
        <f>IF(J5 + K4 &lt; 0, J5 + K4, 0)</f>
        <v>0</v>
      </c>
      <c r="L5" s="1">
        <v>0</v>
      </c>
      <c r="M5" s="1">
        <f>IF(L5 + M4 &lt; 0, L5 + M4, 0)</f>
        <v>0</v>
      </c>
      <c r="N5" s="1">
        <v>0</v>
      </c>
      <c r="O5" s="1">
        <f>IF(N5 + O4 &lt; 0, N5 + O4, 0)</f>
        <v>0</v>
      </c>
      <c r="P5" s="1">
        <v>0</v>
      </c>
      <c r="Q5" s="1">
        <f>IF(P5 + Q4 &lt; 0, P5 + Q4, 0)</f>
        <v>0</v>
      </c>
      <c r="R5" s="1">
        <v>0</v>
      </c>
      <c r="S5" s="1">
        <f>IF(R5 + S4 &lt; 0, R5 + S4, 0)</f>
        <v>0</v>
      </c>
      <c r="T5" s="1">
        <v>0</v>
      </c>
      <c r="U5" s="1">
        <f>IF(T5 + U4 &lt; 0, T5 + U4, 0)</f>
        <v>0</v>
      </c>
      <c r="V5" s="1">
        <v>0</v>
      </c>
      <c r="W5" s="1">
        <f>IF(V5 + W4 &lt; 0, V5 + W4, 0)</f>
        <v>0</v>
      </c>
      <c r="X5" s="1">
        <v>0</v>
      </c>
      <c r="Y5" s="1">
        <f>IF(X5 + Y4 &lt; 0, X5 + Y4, 0)</f>
        <v>0</v>
      </c>
      <c r="Z5" s="1">
        <v>455690.9018573532</v>
      </c>
      <c r="AA5" s="1">
        <f>IF(Z5 + AA4 &lt; 0, Z5 + AA4, 0)</f>
        <v>0</v>
      </c>
      <c r="AB5" s="1">
        <v>455690.9018573532</v>
      </c>
      <c r="AC5" s="1">
        <f>IF(AB5 + AC4 &lt; 0, AB5 + AC4, 0)</f>
        <v>0</v>
      </c>
      <c r="AD5" s="1">
        <v>348728.0549101299</v>
      </c>
      <c r="AE5" s="1">
        <f>IF(AD5 + AE4 &lt; 0, AD5 + AE4, 0)</f>
        <v>0</v>
      </c>
      <c r="AF5" s="1">
        <v>0</v>
      </c>
      <c r="AG5" s="1">
        <f>IF(AF5 + AG4 &lt; 0, AF5 + AG4, 0)</f>
        <v>0</v>
      </c>
      <c r="AH5" s="1">
        <v>0</v>
      </c>
      <c r="AI5" s="1">
        <f>IF(AH5 + AI4 &lt; 0, AH5 + AI4, 0)</f>
        <v>0</v>
      </c>
      <c r="AJ5" s="1">
        <v>0</v>
      </c>
      <c r="AK5" s="1">
        <f>IF(AJ5 + AK4 &lt; 0, AJ5 + AK4, 0)</f>
        <v>0</v>
      </c>
    </row>
    <row r="6" spans="1:37" s="1" customFormat="1">
      <c r="A6" s="3">
        <v>45296</v>
      </c>
      <c r="B6" s="2" t="s">
        <v>26</v>
      </c>
      <c r="C6" s="2">
        <v>18</v>
      </c>
      <c r="D6" s="2">
        <v>17</v>
      </c>
      <c r="E6" s="2">
        <v>16</v>
      </c>
      <c r="F6" s="2">
        <v>5</v>
      </c>
      <c r="G6" s="2">
        <v>1</v>
      </c>
      <c r="H6" s="1">
        <v>0</v>
      </c>
      <c r="I6" s="1">
        <f>IF(H6 + I5 &lt; 0, H6 + I5, 0)</f>
        <v>0</v>
      </c>
      <c r="J6" s="1">
        <v>0</v>
      </c>
      <c r="K6" s="1">
        <f>IF(J6 + K5 &lt; 0, J6 + K5, 0)</f>
        <v>0</v>
      </c>
      <c r="L6" s="1">
        <v>0</v>
      </c>
      <c r="M6" s="1">
        <f>IF(L6 + M5 &lt; 0, L6 + M5, 0)</f>
        <v>0</v>
      </c>
      <c r="N6" s="1">
        <v>0</v>
      </c>
      <c r="O6" s="1">
        <f>IF(N6 + O5 &lt; 0, N6 + O5, 0)</f>
        <v>0</v>
      </c>
      <c r="P6" s="1">
        <v>0</v>
      </c>
      <c r="Q6" s="1">
        <f>IF(P6 + Q5 &lt; 0, P6 + Q5, 0)</f>
        <v>0</v>
      </c>
      <c r="R6" s="1">
        <v>0</v>
      </c>
      <c r="S6" s="1">
        <f>IF(R6 + S5 &lt; 0, R6 + S5, 0)</f>
        <v>0</v>
      </c>
      <c r="T6" s="1">
        <v>0</v>
      </c>
      <c r="U6" s="1">
        <f>IF(T6 + U5 &lt; 0, T6 + U5, 0)</f>
        <v>0</v>
      </c>
      <c r="V6" s="1">
        <v>0</v>
      </c>
      <c r="W6" s="1">
        <f>IF(V6 + W5 &lt; 0, V6 + W5, 0)</f>
        <v>0</v>
      </c>
      <c r="X6" s="1">
        <v>0</v>
      </c>
      <c r="Y6" s="1">
        <f>IF(X6 + Y5 &lt; 0, X6 + Y5, 0)</f>
        <v>0</v>
      </c>
      <c r="Z6" s="1">
        <v>0</v>
      </c>
      <c r="AA6" s="1">
        <f>IF(Z6 + AA5 &lt; 0, Z6 + AA5, 0)</f>
        <v>0</v>
      </c>
      <c r="AB6" s="1">
        <v>0</v>
      </c>
      <c r="AC6" s="1">
        <f>IF(AB6 + AC5 &lt; 0, AB6 + AC5, 0)</f>
        <v>0</v>
      </c>
      <c r="AD6" s="1">
        <v>0</v>
      </c>
      <c r="AE6" s="1">
        <f>IF(AD6 + AE5 &lt; 0, AD6 + AE5, 0)</f>
        <v>0</v>
      </c>
      <c r="AF6" s="1">
        <v>478763.5806872986</v>
      </c>
      <c r="AG6" s="1">
        <f>IF(AF6 + AG5 &lt; 0, AF6 + AG5, 0)</f>
        <v>0</v>
      </c>
      <c r="AH6" s="1">
        <v>628942.7421440617</v>
      </c>
      <c r="AI6" s="1">
        <f>IF(AH6 + AI5 &lt; 0, AH6 + AI5, 0)</f>
        <v>0</v>
      </c>
      <c r="AJ6" s="1">
        <v>373411.2838349023</v>
      </c>
      <c r="AK6" s="1">
        <f>IF(AJ6 + AK5 &lt; 0, AJ6 + AK5, 0)</f>
        <v>0</v>
      </c>
    </row>
    <row r="7" spans="1:37" s="1" customFormat="1">
      <c r="A7" s="3">
        <v>45299</v>
      </c>
      <c r="B7" s="2" t="s">
        <v>22</v>
      </c>
      <c r="C7" s="2">
        <v>17</v>
      </c>
      <c r="D7" s="2">
        <v>16</v>
      </c>
      <c r="E7" s="2">
        <v>15</v>
      </c>
      <c r="F7" s="2">
        <v>4</v>
      </c>
      <c r="G7" s="2">
        <v>5</v>
      </c>
      <c r="H7" s="1">
        <v>0</v>
      </c>
      <c r="I7" s="1">
        <f>IF(H7 + I6 &lt; 0, H7 + I6, 0)</f>
        <v>0</v>
      </c>
      <c r="J7" s="1">
        <v>0</v>
      </c>
      <c r="K7" s="1">
        <f>IF(J7 + K6 &lt; 0, J7 + K6, 0)</f>
        <v>0</v>
      </c>
      <c r="L7" s="1">
        <v>0</v>
      </c>
      <c r="M7" s="1">
        <f>IF(L7 + M6 &lt; 0, L7 + M6, 0)</f>
        <v>0</v>
      </c>
      <c r="N7" s="1">
        <v>0</v>
      </c>
      <c r="O7" s="1">
        <f>IF(N7 + O6 &lt; 0, N7 + O6, 0)</f>
        <v>0</v>
      </c>
      <c r="P7" s="1">
        <v>0</v>
      </c>
      <c r="Q7" s="1">
        <f>IF(P7 + Q6 &lt; 0, P7 + Q6, 0)</f>
        <v>0</v>
      </c>
      <c r="R7" s="1">
        <v>0</v>
      </c>
      <c r="S7" s="1">
        <f>IF(R7 + S6 &lt; 0, R7 + S6, 0)</f>
        <v>0</v>
      </c>
      <c r="T7" s="1">
        <v>0</v>
      </c>
      <c r="U7" s="1">
        <f>IF(T7 + U6 &lt; 0, T7 + U6, 0)</f>
        <v>0</v>
      </c>
      <c r="V7" s="1">
        <v>0</v>
      </c>
      <c r="W7" s="1">
        <f>IF(V7 + W6 &lt; 0, V7 + W6, 0)</f>
        <v>0</v>
      </c>
      <c r="X7" s="1">
        <v>0</v>
      </c>
      <c r="Y7" s="1">
        <f>IF(X7 + Y6 &lt; 0, X7 + Y6, 0)</f>
        <v>0</v>
      </c>
      <c r="Z7" s="1">
        <v>0</v>
      </c>
      <c r="AA7" s="1">
        <f>IF(Z7 + AA6 &lt; 0, Z7 + AA6, 0)</f>
        <v>0</v>
      </c>
      <c r="AB7" s="1">
        <v>0</v>
      </c>
      <c r="AC7" s="1">
        <f>IF(AB7 + AC6 &lt; 0, AB7 + AC6, 0)</f>
        <v>0</v>
      </c>
      <c r="AD7" s="1">
        <v>0</v>
      </c>
      <c r="AE7" s="1">
        <f>IF(AD7 + AE6 &lt; 0, AD7 + AE6, 0)</f>
        <v>0</v>
      </c>
      <c r="AF7" s="1">
        <v>0</v>
      </c>
      <c r="AG7" s="1">
        <f>IF(AF7 + AG6 &lt; 0, AF7 + AG6, 0)</f>
        <v>0</v>
      </c>
      <c r="AH7" s="1">
        <v>0</v>
      </c>
      <c r="AI7" s="1">
        <f>IF(AH7 + AI6 &lt; 0, AH7 + AI6, 0)</f>
        <v>0</v>
      </c>
      <c r="AJ7" s="1">
        <v>0</v>
      </c>
      <c r="AK7" s="1">
        <f>IF(AJ7 + AK6 &lt; 0, AJ7 + AK6, 0)</f>
        <v>0</v>
      </c>
    </row>
    <row r="8" spans="1:37" s="1" customFormat="1">
      <c r="A8" s="3">
        <v>45300</v>
      </c>
      <c r="B8" s="2" t="s">
        <v>23</v>
      </c>
      <c r="C8" s="2">
        <v>16</v>
      </c>
      <c r="D8" s="2">
        <v>15</v>
      </c>
      <c r="E8" s="2">
        <v>14</v>
      </c>
      <c r="F8" s="2">
        <v>3</v>
      </c>
      <c r="G8" s="2">
        <v>4</v>
      </c>
      <c r="H8" s="1">
        <v>0</v>
      </c>
      <c r="I8" s="1">
        <f>IF(H8 + I7 &lt; 0, H8 + I7, 0)</f>
        <v>0</v>
      </c>
      <c r="J8" s="1">
        <v>0</v>
      </c>
      <c r="K8" s="1">
        <f>IF(J8 + K7 &lt; 0, J8 + K7, 0)</f>
        <v>0</v>
      </c>
      <c r="L8" s="1">
        <v>0</v>
      </c>
      <c r="M8" s="1">
        <f>IF(L8 + M7 &lt; 0, L8 + M7, 0)</f>
        <v>0</v>
      </c>
      <c r="N8" s="1">
        <v>0</v>
      </c>
      <c r="O8" s="1">
        <f>IF(N8 + O7 &lt; 0, N8 + O7, 0)</f>
        <v>0</v>
      </c>
      <c r="P8" s="1">
        <v>0</v>
      </c>
      <c r="Q8" s="1">
        <f>IF(P8 + Q7 &lt; 0, P8 + Q7, 0)</f>
        <v>0</v>
      </c>
      <c r="R8" s="1">
        <v>0</v>
      </c>
      <c r="S8" s="1">
        <f>IF(R8 + S7 &lt; 0, R8 + S7, 0)</f>
        <v>0</v>
      </c>
      <c r="T8" s="1">
        <v>0</v>
      </c>
      <c r="U8" s="1">
        <f>IF(T8 + U7 &lt; 0, T8 + U7, 0)</f>
        <v>0</v>
      </c>
      <c r="V8" s="1">
        <v>0</v>
      </c>
      <c r="W8" s="1">
        <f>IF(V8 + W7 &lt; 0, V8 + W7, 0)</f>
        <v>0</v>
      </c>
      <c r="X8" s="1">
        <v>0</v>
      </c>
      <c r="Y8" s="1">
        <f>IF(X8 + Y7 &lt; 0, X8 + Y7, 0)</f>
        <v>0</v>
      </c>
      <c r="Z8" s="1">
        <v>0</v>
      </c>
      <c r="AA8" s="1">
        <f>IF(Z8 + AA7 &lt; 0, Z8 + AA7, 0)</f>
        <v>0</v>
      </c>
      <c r="AB8" s="1">
        <v>0</v>
      </c>
      <c r="AC8" s="1">
        <f>IF(AB8 + AC7 &lt; 0, AB8 + AC7, 0)</f>
        <v>0</v>
      </c>
      <c r="AD8" s="1">
        <v>0</v>
      </c>
      <c r="AE8" s="1">
        <f>IF(AD8 + AE7 &lt; 0, AD8 + AE7, 0)</f>
        <v>0</v>
      </c>
      <c r="AF8" s="1">
        <v>0</v>
      </c>
      <c r="AG8" s="1">
        <f>IF(AF8 + AG7 &lt; 0, AF8 + AG7, 0)</f>
        <v>0</v>
      </c>
      <c r="AH8" s="1">
        <v>0</v>
      </c>
      <c r="AI8" s="1">
        <f>IF(AH8 + AI7 &lt; 0, AH8 + AI7, 0)</f>
        <v>0</v>
      </c>
      <c r="AJ8" s="1">
        <v>0</v>
      </c>
      <c r="AK8" s="1">
        <f>IF(AJ8 + AK7 &lt; 0, AJ8 + AK7, 0)</f>
        <v>0</v>
      </c>
    </row>
    <row r="9" spans="1:37" s="1" customFormat="1">
      <c r="A9" s="3">
        <v>45301</v>
      </c>
      <c r="B9" s="2" t="s">
        <v>24</v>
      </c>
      <c r="C9" s="2">
        <v>15</v>
      </c>
      <c r="D9" s="2">
        <v>14</v>
      </c>
      <c r="E9" s="2">
        <v>13</v>
      </c>
      <c r="F9" s="2">
        <v>2</v>
      </c>
      <c r="G9" s="2">
        <v>3</v>
      </c>
      <c r="H9" s="1">
        <v>0</v>
      </c>
      <c r="I9" s="1">
        <f>IF(H9 + I8 &lt; 0, H9 + I8, 0)</f>
        <v>0</v>
      </c>
      <c r="J9" s="1">
        <v>0</v>
      </c>
      <c r="K9" s="1">
        <f>IF(J9 + K8 &lt; 0, J9 + K8, 0)</f>
        <v>0</v>
      </c>
      <c r="L9" s="1">
        <v>0</v>
      </c>
      <c r="M9" s="1">
        <f>IF(L9 + M8 &lt; 0, L9 + M8, 0)</f>
        <v>0</v>
      </c>
      <c r="N9" s="1">
        <v>0</v>
      </c>
      <c r="O9" s="1">
        <f>IF(N9 + O8 &lt; 0, N9 + O8, 0)</f>
        <v>0</v>
      </c>
      <c r="P9" s="1">
        <v>0</v>
      </c>
      <c r="Q9" s="1">
        <f>IF(P9 + Q8 &lt; 0, P9 + Q8, 0)</f>
        <v>0</v>
      </c>
      <c r="R9" s="1">
        <v>0</v>
      </c>
      <c r="S9" s="1">
        <f>IF(R9 + S8 &lt; 0, R9 + S8, 0)</f>
        <v>0</v>
      </c>
      <c r="T9" s="1">
        <v>0</v>
      </c>
      <c r="U9" s="1">
        <f>IF(T9 + U8 &lt; 0, T9 + U8, 0)</f>
        <v>0</v>
      </c>
      <c r="V9" s="1">
        <v>0</v>
      </c>
      <c r="W9" s="1">
        <f>IF(V9 + W8 &lt; 0, V9 + W8, 0)</f>
        <v>0</v>
      </c>
      <c r="X9" s="1">
        <v>0</v>
      </c>
      <c r="Y9" s="1">
        <f>IF(X9 + Y8 &lt; 0, X9 + Y8, 0)</f>
        <v>0</v>
      </c>
      <c r="Z9" s="1">
        <v>0</v>
      </c>
      <c r="AA9" s="1">
        <f>IF(Z9 + AA8 &lt; 0, Z9 + AA8, 0)</f>
        <v>0</v>
      </c>
      <c r="AB9" s="1">
        <v>0</v>
      </c>
      <c r="AC9" s="1">
        <f>IF(AB9 + AC8 &lt; 0, AB9 + AC8, 0)</f>
        <v>0</v>
      </c>
      <c r="AD9" s="1">
        <v>0</v>
      </c>
      <c r="AE9" s="1">
        <f>IF(AD9 + AE8 &lt; 0, AD9 + AE8, 0)</f>
        <v>0</v>
      </c>
      <c r="AF9" s="1">
        <v>0</v>
      </c>
      <c r="AG9" s="1">
        <f>IF(AF9 + AG8 &lt; 0, AF9 + AG8, 0)</f>
        <v>0</v>
      </c>
      <c r="AH9" s="1">
        <v>0</v>
      </c>
      <c r="AI9" s="1">
        <f>IF(AH9 + AI8 &lt; 0, AH9 + AI8, 0)</f>
        <v>0</v>
      </c>
      <c r="AJ9" s="1">
        <v>0</v>
      </c>
      <c r="AK9" s="1">
        <f>IF(AJ9 + AK8 &lt; 0, AJ9 + AK8, 0)</f>
        <v>0</v>
      </c>
    </row>
    <row r="10" spans="1:37" s="1" customFormat="1">
      <c r="A10" s="3">
        <v>45302</v>
      </c>
      <c r="B10" s="2" t="s">
        <v>25</v>
      </c>
      <c r="C10" s="2">
        <v>14</v>
      </c>
      <c r="D10" s="2">
        <v>13</v>
      </c>
      <c r="E10" s="2">
        <v>12</v>
      </c>
      <c r="F10" s="2">
        <v>1</v>
      </c>
      <c r="G10" s="2">
        <v>2</v>
      </c>
      <c r="H10" s="1">
        <v>0</v>
      </c>
      <c r="I10" s="1">
        <f>IF(H10 + I9 &lt; 0, H10 + I9, 0)</f>
        <v>0</v>
      </c>
      <c r="J10" s="1">
        <v>0</v>
      </c>
      <c r="K10" s="1">
        <f>IF(J10 + K9 &lt; 0, J10 + K9, 0)</f>
        <v>0</v>
      </c>
      <c r="L10" s="1">
        <v>0</v>
      </c>
      <c r="M10" s="1">
        <f>IF(L10 + M9 &lt; 0, L10 + M9, 0)</f>
        <v>0</v>
      </c>
      <c r="N10" s="1">
        <v>0</v>
      </c>
      <c r="O10" s="1">
        <f>IF(N10 + O9 &lt; 0, N10 + O9, 0)</f>
        <v>0</v>
      </c>
      <c r="P10" s="1">
        <v>0</v>
      </c>
      <c r="Q10" s="1">
        <f>IF(P10 + Q9 &lt; 0, P10 + Q9, 0)</f>
        <v>0</v>
      </c>
      <c r="R10" s="1">
        <v>0</v>
      </c>
      <c r="S10" s="1">
        <f>IF(R10 + S9 &lt; 0, R10 + S9, 0)</f>
        <v>0</v>
      </c>
      <c r="T10" s="1">
        <v>0</v>
      </c>
      <c r="U10" s="1">
        <f>IF(T10 + U9 &lt; 0, T10 + U9, 0)</f>
        <v>0</v>
      </c>
      <c r="V10" s="1">
        <v>0</v>
      </c>
      <c r="W10" s="1">
        <f>IF(V10 + W9 &lt; 0, V10 + W9, 0)</f>
        <v>0</v>
      </c>
      <c r="X10" s="1">
        <v>0</v>
      </c>
      <c r="Y10" s="1">
        <f>IF(X10 + Y9 &lt; 0, X10 + Y9, 0)</f>
        <v>0</v>
      </c>
      <c r="Z10" s="1">
        <v>-26527.92804790301</v>
      </c>
      <c r="AA10" s="1">
        <f>IF(Z10 + AA9 &lt; 0, Z10 + AA9, 0)</f>
        <v>0</v>
      </c>
      <c r="AB10" s="1">
        <v>33178.17595086397</v>
      </c>
      <c r="AC10" s="1">
        <f>IF(AB10 + AC9 &lt; 0, AB10 + AC9, 0)</f>
        <v>0</v>
      </c>
      <c r="AD10" s="1">
        <v>-30199.26609240272</v>
      </c>
      <c r="AE10" s="1">
        <f>IF(AD10 + AE9 &lt; 0, AD10 + AE9, 0)</f>
        <v>0</v>
      </c>
      <c r="AF10" s="1">
        <v>0</v>
      </c>
      <c r="AG10" s="1">
        <f>IF(AF10 + AG9 &lt; 0, AF10 + AG9, 0)</f>
        <v>0</v>
      </c>
      <c r="AH10" s="1">
        <v>0</v>
      </c>
      <c r="AI10" s="1">
        <f>IF(AH10 + AI9 &lt; 0, AH10 + AI9, 0)</f>
        <v>0</v>
      </c>
      <c r="AJ10" s="1">
        <v>0</v>
      </c>
      <c r="AK10" s="1">
        <f>IF(AJ10 + AK9 &lt; 0, AJ10 + AK9, 0)</f>
        <v>0</v>
      </c>
    </row>
    <row r="11" spans="1:37" s="1" customFormat="1">
      <c r="A11" s="3">
        <v>45303</v>
      </c>
      <c r="B11" s="2" t="s">
        <v>26</v>
      </c>
      <c r="C11" s="2">
        <v>13</v>
      </c>
      <c r="D11" s="2">
        <v>12</v>
      </c>
      <c r="E11" s="2">
        <v>11</v>
      </c>
      <c r="F11" s="2">
        <v>5</v>
      </c>
      <c r="G11" s="2">
        <v>1</v>
      </c>
      <c r="H11" s="1">
        <v>0</v>
      </c>
      <c r="I11" s="1">
        <f>IF(H11 + I10 &lt; 0, H11 + I10, 0)</f>
        <v>0</v>
      </c>
      <c r="J11" s="1">
        <v>0</v>
      </c>
      <c r="K11" s="1">
        <f>IF(J11 + K10 &lt; 0, J11 + K10, 0)</f>
        <v>0</v>
      </c>
      <c r="L11" s="1">
        <v>0</v>
      </c>
      <c r="M11" s="1">
        <f>IF(L11 + M10 &lt; 0, L11 + M10, 0)</f>
        <v>0</v>
      </c>
      <c r="N11" s="1">
        <v>0</v>
      </c>
      <c r="O11" s="1">
        <f>IF(N11 + O10 &lt; 0, N11 + O10, 0)</f>
        <v>0</v>
      </c>
      <c r="P11" s="1">
        <v>0</v>
      </c>
      <c r="Q11" s="1">
        <f>IF(P11 + Q10 &lt; 0, P11 + Q10, 0)</f>
        <v>0</v>
      </c>
      <c r="R11" s="1">
        <v>0</v>
      </c>
      <c r="S11" s="1">
        <f>IF(R11 + S10 &lt; 0, R11 + S10, 0)</f>
        <v>0</v>
      </c>
      <c r="T11" s="1">
        <v>0</v>
      </c>
      <c r="U11" s="1">
        <f>IF(T11 + U10 &lt; 0, T11 + U10, 0)</f>
        <v>0</v>
      </c>
      <c r="V11" s="1">
        <v>0</v>
      </c>
      <c r="W11" s="1">
        <f>IF(V11 + W10 &lt; 0, V11 + W10, 0)</f>
        <v>0</v>
      </c>
      <c r="X11" s="1">
        <v>0</v>
      </c>
      <c r="Y11" s="1">
        <f>IF(X11 + Y10 &lt; 0, X11 + Y10, 0)</f>
        <v>0</v>
      </c>
      <c r="Z11" s="1">
        <v>0</v>
      </c>
      <c r="AA11" s="1">
        <f>IF(Z11 + AA10 &lt; 0, Z11 + AA10, 0)</f>
        <v>0</v>
      </c>
      <c r="AB11" s="1">
        <v>0</v>
      </c>
      <c r="AC11" s="1">
        <f>IF(AB11 + AC10 &lt; 0, AB11 + AC10, 0)</f>
        <v>0</v>
      </c>
      <c r="AD11" s="1">
        <v>0</v>
      </c>
      <c r="AE11" s="1">
        <f>IF(AD11 + AE10 &lt; 0, AD11 + AE10, 0)</f>
        <v>0</v>
      </c>
      <c r="AF11" s="1">
        <v>180419.8701634516</v>
      </c>
      <c r="AG11" s="1">
        <f>IF(AF11 + AG10 &lt; 0, AF11 + AG10, 0)</f>
        <v>0</v>
      </c>
      <c r="AH11" s="1">
        <v>-383256.2535436327</v>
      </c>
      <c r="AI11" s="1">
        <f>IF(AH11 + AI10 &lt; 0, AH11 + AI10, 0)</f>
        <v>0</v>
      </c>
      <c r="AJ11" s="1">
        <v>-337717.5909480283</v>
      </c>
      <c r="AK11" s="1">
        <f>IF(AJ11 + AK10 &lt; 0, AJ11 + AK10, 0)</f>
        <v>0</v>
      </c>
    </row>
    <row r="12" spans="1:37" s="1" customFormat="1">
      <c r="A12" s="3">
        <v>45306</v>
      </c>
      <c r="B12" s="2" t="s">
        <v>22</v>
      </c>
      <c r="C12" s="2">
        <v>12</v>
      </c>
      <c r="D12" s="2">
        <v>11</v>
      </c>
      <c r="E12" s="2">
        <v>10</v>
      </c>
      <c r="F12" s="2">
        <v>4</v>
      </c>
      <c r="G12" s="2">
        <v>5</v>
      </c>
      <c r="H12" s="1">
        <v>0</v>
      </c>
      <c r="I12" s="1">
        <f>IF(H12 + I11 &lt; 0, H12 + I11, 0)</f>
        <v>0</v>
      </c>
      <c r="J12" s="1">
        <v>0</v>
      </c>
      <c r="K12" s="1">
        <f>IF(J12 + K11 &lt; 0, J12 + K11, 0)</f>
        <v>0</v>
      </c>
      <c r="L12" s="1">
        <v>0</v>
      </c>
      <c r="M12" s="1">
        <f>IF(L12 + M11 &lt; 0, L12 + M11, 0)</f>
        <v>0</v>
      </c>
      <c r="N12" s="1">
        <v>0</v>
      </c>
      <c r="O12" s="1">
        <f>IF(N12 + O11 &lt; 0, N12 + O11, 0)</f>
        <v>0</v>
      </c>
      <c r="P12" s="1">
        <v>0</v>
      </c>
      <c r="Q12" s="1">
        <f>IF(P12 + Q11 &lt; 0, P12 + Q11, 0)</f>
        <v>0</v>
      </c>
      <c r="R12" s="1">
        <v>0</v>
      </c>
      <c r="S12" s="1">
        <f>IF(R12 + S11 &lt; 0, R12 + S11, 0)</f>
        <v>0</v>
      </c>
      <c r="T12" s="1">
        <v>0</v>
      </c>
      <c r="U12" s="1">
        <f>IF(T12 + U11 &lt; 0, T12 + U11, 0)</f>
        <v>0</v>
      </c>
      <c r="V12" s="1">
        <v>0</v>
      </c>
      <c r="W12" s="1">
        <f>IF(V12 + W11 &lt; 0, V12 + W11, 0)</f>
        <v>0</v>
      </c>
      <c r="X12" s="1">
        <v>0</v>
      </c>
      <c r="Y12" s="1">
        <f>IF(X12 + Y11 &lt; 0, X12 + Y11, 0)</f>
        <v>0</v>
      </c>
      <c r="Z12" s="1">
        <v>0</v>
      </c>
      <c r="AA12" s="1">
        <f>IF(Z12 + AA11 &lt; 0, Z12 + AA11, 0)</f>
        <v>0</v>
      </c>
      <c r="AB12" s="1">
        <v>0</v>
      </c>
      <c r="AC12" s="1">
        <f>IF(AB12 + AC11 &lt; 0, AB12 + AC11, 0)</f>
        <v>0</v>
      </c>
      <c r="AD12" s="1">
        <v>0</v>
      </c>
      <c r="AE12" s="1">
        <f>IF(AD12 + AE11 &lt; 0, AD12 + AE11, 0)</f>
        <v>0</v>
      </c>
      <c r="AF12" s="1">
        <v>0</v>
      </c>
      <c r="AG12" s="1">
        <f>IF(AF12 + AG11 &lt; 0, AF12 + AG11, 0)</f>
        <v>0</v>
      </c>
      <c r="AH12" s="1">
        <v>0</v>
      </c>
      <c r="AI12" s="1">
        <f>IF(AH12 + AI11 &lt; 0, AH12 + AI11, 0)</f>
        <v>0</v>
      </c>
      <c r="AJ12" s="1">
        <v>0</v>
      </c>
      <c r="AK12" s="1">
        <f>IF(AJ12 + AK11 &lt; 0, AJ12 + AK11, 0)</f>
        <v>0</v>
      </c>
    </row>
    <row r="13" spans="1:37" s="1" customFormat="1">
      <c r="A13" s="3">
        <v>45307</v>
      </c>
      <c r="B13" s="2" t="s">
        <v>23</v>
      </c>
      <c r="C13" s="2">
        <v>11</v>
      </c>
      <c r="D13" s="2">
        <v>10</v>
      </c>
      <c r="E13" s="2">
        <v>9</v>
      </c>
      <c r="F13" s="2">
        <v>3</v>
      </c>
      <c r="G13" s="2">
        <v>4</v>
      </c>
      <c r="H13" s="1">
        <v>0</v>
      </c>
      <c r="I13" s="1">
        <f>IF(H13 + I12 &lt; 0, H13 + I12, 0)</f>
        <v>0</v>
      </c>
      <c r="J13" s="1">
        <v>0</v>
      </c>
      <c r="K13" s="1">
        <f>IF(J13 + K12 &lt; 0, J13 + K12, 0)</f>
        <v>0</v>
      </c>
      <c r="L13" s="1">
        <v>0</v>
      </c>
      <c r="M13" s="1">
        <f>IF(L13 + M12 &lt; 0, L13 + M12, 0)</f>
        <v>0</v>
      </c>
      <c r="N13" s="1">
        <v>0</v>
      </c>
      <c r="O13" s="1">
        <f>IF(N13 + O12 &lt; 0, N13 + O12, 0)</f>
        <v>0</v>
      </c>
      <c r="P13" s="1">
        <v>0</v>
      </c>
      <c r="Q13" s="1">
        <f>IF(P13 + Q12 &lt; 0, P13 + Q12, 0)</f>
        <v>0</v>
      </c>
      <c r="R13" s="1">
        <v>0</v>
      </c>
      <c r="S13" s="1">
        <f>IF(R13 + S12 &lt; 0, R13 + S12, 0)</f>
        <v>0</v>
      </c>
      <c r="T13" s="1">
        <v>0</v>
      </c>
      <c r="U13" s="1">
        <f>IF(T13 + U12 &lt; 0, T13 + U12, 0)</f>
        <v>0</v>
      </c>
      <c r="V13" s="1">
        <v>0</v>
      </c>
      <c r="W13" s="1">
        <f>IF(V13 + W12 &lt; 0, V13 + W12, 0)</f>
        <v>0</v>
      </c>
      <c r="X13" s="1">
        <v>0</v>
      </c>
      <c r="Y13" s="1">
        <f>IF(X13 + Y12 &lt; 0, X13 + Y12, 0)</f>
        <v>0</v>
      </c>
      <c r="Z13" s="1">
        <v>0</v>
      </c>
      <c r="AA13" s="1">
        <f>IF(Z13 + AA12 &lt; 0, Z13 + AA12, 0)</f>
        <v>0</v>
      </c>
      <c r="AB13" s="1">
        <v>0</v>
      </c>
      <c r="AC13" s="1">
        <f>IF(AB13 + AC12 &lt; 0, AB13 + AC12, 0)</f>
        <v>0</v>
      </c>
      <c r="AD13" s="1">
        <v>0</v>
      </c>
      <c r="AE13" s="1">
        <f>IF(AD13 + AE12 &lt; 0, AD13 + AE12, 0)</f>
        <v>0</v>
      </c>
      <c r="AF13" s="1">
        <v>0</v>
      </c>
      <c r="AG13" s="1">
        <f>IF(AF13 + AG12 &lt; 0, AF13 + AG12, 0)</f>
        <v>0</v>
      </c>
      <c r="AH13" s="1">
        <v>0</v>
      </c>
      <c r="AI13" s="1">
        <f>IF(AH13 + AI12 &lt; 0, AH13 + AI12, 0)</f>
        <v>0</v>
      </c>
      <c r="AJ13" s="1">
        <v>0</v>
      </c>
      <c r="AK13" s="1">
        <f>IF(AJ13 + AK12 &lt; 0, AJ13 + AK12, 0)</f>
        <v>0</v>
      </c>
    </row>
    <row r="14" spans="1:37" s="1" customFormat="1">
      <c r="A14" s="3">
        <v>45308</v>
      </c>
      <c r="B14" s="2" t="s">
        <v>24</v>
      </c>
      <c r="C14" s="2">
        <v>10</v>
      </c>
      <c r="D14" s="2">
        <v>9</v>
      </c>
      <c r="E14" s="2">
        <v>8</v>
      </c>
      <c r="F14" s="2">
        <v>2</v>
      </c>
      <c r="G14" s="2">
        <v>3</v>
      </c>
      <c r="H14" s="1">
        <v>0</v>
      </c>
      <c r="I14" s="1">
        <f>IF(H14 + I13 &lt; 0, H14 + I13, 0)</f>
        <v>0</v>
      </c>
      <c r="J14" s="1">
        <v>0</v>
      </c>
      <c r="K14" s="1">
        <f>IF(J14 + K13 &lt; 0, J14 + K13, 0)</f>
        <v>0</v>
      </c>
      <c r="L14" s="1">
        <v>0</v>
      </c>
      <c r="M14" s="1">
        <f>IF(L14 + M13 &lt; 0, L14 + M13, 0)</f>
        <v>0</v>
      </c>
      <c r="N14" s="1">
        <v>0</v>
      </c>
      <c r="O14" s="1">
        <f>IF(N14 + O13 &lt; 0, N14 + O13, 0)</f>
        <v>0</v>
      </c>
      <c r="P14" s="1">
        <v>0</v>
      </c>
      <c r="Q14" s="1">
        <f>IF(P14 + Q13 &lt; 0, P14 + Q13, 0)</f>
        <v>0</v>
      </c>
      <c r="R14" s="1">
        <v>0</v>
      </c>
      <c r="S14" s="1">
        <f>IF(R14 + S13 &lt; 0, R14 + S13, 0)</f>
        <v>0</v>
      </c>
      <c r="T14" s="1">
        <v>0</v>
      </c>
      <c r="U14" s="1">
        <f>IF(T14 + U13 &lt; 0, T14 + U13, 0)</f>
        <v>0</v>
      </c>
      <c r="V14" s="1">
        <v>0</v>
      </c>
      <c r="W14" s="1">
        <f>IF(V14 + W13 &lt; 0, V14 + W13, 0)</f>
        <v>0</v>
      </c>
      <c r="X14" s="1">
        <v>0</v>
      </c>
      <c r="Y14" s="1">
        <f>IF(X14 + Y13 &lt; 0, X14 + Y13, 0)</f>
        <v>0</v>
      </c>
      <c r="Z14" s="1">
        <v>0</v>
      </c>
      <c r="AA14" s="1">
        <f>IF(Z14 + AA13 &lt; 0, Z14 + AA13, 0)</f>
        <v>0</v>
      </c>
      <c r="AB14" s="1">
        <v>0</v>
      </c>
      <c r="AC14" s="1">
        <f>IF(AB14 + AC13 &lt; 0, AB14 + AC13, 0)</f>
        <v>0</v>
      </c>
      <c r="AD14" s="1">
        <v>0</v>
      </c>
      <c r="AE14" s="1">
        <f>IF(AD14 + AE13 &lt; 0, AD14 + AE13, 0)</f>
        <v>0</v>
      </c>
      <c r="AF14" s="1">
        <v>0</v>
      </c>
      <c r="AG14" s="1">
        <f>IF(AF14 + AG13 &lt; 0, AF14 + AG13, 0)</f>
        <v>0</v>
      </c>
      <c r="AH14" s="1">
        <v>0</v>
      </c>
      <c r="AI14" s="1">
        <f>IF(AH14 + AI13 &lt; 0, AH14 + AI13, 0)</f>
        <v>0</v>
      </c>
      <c r="AJ14" s="1">
        <v>0</v>
      </c>
      <c r="AK14" s="1">
        <f>IF(AJ14 + AK13 &lt; 0, AJ14 + AK13, 0)</f>
        <v>0</v>
      </c>
    </row>
    <row r="15" spans="1:37" s="1" customFormat="1">
      <c r="A15" s="3">
        <v>45309</v>
      </c>
      <c r="B15" s="2" t="s">
        <v>25</v>
      </c>
      <c r="C15" s="2">
        <v>9</v>
      </c>
      <c r="D15" s="2">
        <v>8</v>
      </c>
      <c r="E15" s="2">
        <v>7</v>
      </c>
      <c r="F15" s="2">
        <v>1</v>
      </c>
      <c r="G15" s="2">
        <v>2</v>
      </c>
      <c r="H15" s="1">
        <v>0</v>
      </c>
      <c r="I15" s="1">
        <f>IF(H15 + I14 &lt; 0, H15 + I14, 0)</f>
        <v>0</v>
      </c>
      <c r="J15" s="1">
        <v>0</v>
      </c>
      <c r="K15" s="1">
        <f>IF(J15 + K14 &lt; 0, J15 + K14, 0)</f>
        <v>0</v>
      </c>
      <c r="L15" s="1">
        <v>0</v>
      </c>
      <c r="M15" s="1">
        <f>IF(L15 + M14 &lt; 0, L15 + M14, 0)</f>
        <v>0</v>
      </c>
      <c r="N15" s="1">
        <v>0</v>
      </c>
      <c r="O15" s="1">
        <f>IF(N15 + O14 &lt; 0, N15 + O14, 0)</f>
        <v>0</v>
      </c>
      <c r="P15" s="1">
        <v>0</v>
      </c>
      <c r="Q15" s="1">
        <f>IF(P15 + Q14 &lt; 0, P15 + Q14, 0)</f>
        <v>0</v>
      </c>
      <c r="R15" s="1">
        <v>0</v>
      </c>
      <c r="S15" s="1">
        <f>IF(R15 + S14 &lt; 0, R15 + S14, 0)</f>
        <v>0</v>
      </c>
      <c r="T15" s="1">
        <v>0</v>
      </c>
      <c r="U15" s="1">
        <f>IF(T15 + U14 &lt; 0, T15 + U14, 0)</f>
        <v>0</v>
      </c>
      <c r="V15" s="1">
        <v>0</v>
      </c>
      <c r="W15" s="1">
        <f>IF(V15 + W14 &lt; 0, V15 + W14, 0)</f>
        <v>0</v>
      </c>
      <c r="X15" s="1">
        <v>0</v>
      </c>
      <c r="Y15" s="1">
        <f>IF(X15 + Y14 &lt; 0, X15 + Y14, 0)</f>
        <v>0</v>
      </c>
      <c r="Z15" s="1">
        <v>-1104311.684662184</v>
      </c>
      <c r="AA15" s="1">
        <f>IF(Z15 + AA14 &lt; 0, Z15 + AA14, 0)</f>
        <v>0</v>
      </c>
      <c r="AB15" s="1">
        <v>-657569.2674050239</v>
      </c>
      <c r="AC15" s="1">
        <f>IF(AB15 + AC14 &lt; 0, AB15 + AC14, 0)</f>
        <v>0</v>
      </c>
      <c r="AD15" s="1">
        <v>-922278.1361597138</v>
      </c>
      <c r="AE15" s="1">
        <f>IF(AD15 + AE14 &lt; 0, AD15 + AE14, 0)</f>
        <v>0</v>
      </c>
      <c r="AF15" s="1">
        <v>0</v>
      </c>
      <c r="AG15" s="1">
        <f>IF(AF15 + AG14 &lt; 0, AF15 + AG14, 0)</f>
        <v>0</v>
      </c>
      <c r="AH15" s="1">
        <v>0</v>
      </c>
      <c r="AI15" s="1">
        <f>IF(AH15 + AI14 &lt; 0, AH15 + AI14, 0)</f>
        <v>0</v>
      </c>
      <c r="AJ15" s="1">
        <v>0</v>
      </c>
      <c r="AK15" s="1">
        <f>IF(AJ15 + AK14 &lt; 0, AJ15 + AK14, 0)</f>
        <v>0</v>
      </c>
    </row>
    <row r="16" spans="1:37" s="1" customFormat="1">
      <c r="A16" s="3">
        <v>45310</v>
      </c>
      <c r="B16" s="2" t="s">
        <v>26</v>
      </c>
      <c r="C16" s="2">
        <v>8</v>
      </c>
      <c r="D16" s="2">
        <v>7</v>
      </c>
      <c r="E16" s="2">
        <v>6</v>
      </c>
      <c r="F16" s="2">
        <v>5</v>
      </c>
      <c r="G16" s="2">
        <v>1</v>
      </c>
      <c r="H16" s="1">
        <v>0</v>
      </c>
      <c r="I16" s="1">
        <f>IF(H16 + I15 &lt; 0, H16 + I15, 0)</f>
        <v>0</v>
      </c>
      <c r="J16" s="1">
        <v>0</v>
      </c>
      <c r="K16" s="1">
        <f>IF(J16 + K15 &lt; 0, J16 + K15, 0)</f>
        <v>0</v>
      </c>
      <c r="L16" s="1">
        <v>0</v>
      </c>
      <c r="M16" s="1">
        <f>IF(L16 + M15 &lt; 0, L16 + M15, 0)</f>
        <v>0</v>
      </c>
      <c r="N16" s="1">
        <v>0</v>
      </c>
      <c r="O16" s="1">
        <f>IF(N16 + O15 &lt; 0, N16 + O15, 0)</f>
        <v>0</v>
      </c>
      <c r="P16" s="1">
        <v>0</v>
      </c>
      <c r="Q16" s="1">
        <f>IF(P16 + Q15 &lt; 0, P16 + Q15, 0)</f>
        <v>0</v>
      </c>
      <c r="R16" s="1">
        <v>0</v>
      </c>
      <c r="S16" s="1">
        <f>IF(R16 + S15 &lt; 0, R16 + S15, 0)</f>
        <v>0</v>
      </c>
      <c r="T16" s="1">
        <v>0</v>
      </c>
      <c r="U16" s="1">
        <f>IF(T16 + U15 &lt; 0, T16 + U15, 0)</f>
        <v>0</v>
      </c>
      <c r="V16" s="1">
        <v>0</v>
      </c>
      <c r="W16" s="1">
        <f>IF(V16 + W15 &lt; 0, V16 + W15, 0)</f>
        <v>0</v>
      </c>
      <c r="X16" s="1">
        <v>0</v>
      </c>
      <c r="Y16" s="1">
        <f>IF(X16 + Y15 &lt; 0, X16 + Y15, 0)</f>
        <v>0</v>
      </c>
      <c r="Z16" s="1">
        <v>0</v>
      </c>
      <c r="AA16" s="1">
        <f>IF(Z16 + AA15 &lt; 0, Z16 + AA15, 0)</f>
        <v>0</v>
      </c>
      <c r="AB16" s="1">
        <v>0</v>
      </c>
      <c r="AC16" s="1">
        <f>IF(AB16 + AC15 &lt; 0, AB16 + AC15, 0)</f>
        <v>0</v>
      </c>
      <c r="AD16" s="1">
        <v>0</v>
      </c>
      <c r="AE16" s="1">
        <f>IF(AD16 + AE15 &lt; 0, AD16 + AE15, 0)</f>
        <v>0</v>
      </c>
      <c r="AF16" s="1">
        <v>-725643.5121059112</v>
      </c>
      <c r="AG16" s="1">
        <f>IF(AF16 + AG15 &lt; 0, AF16 + AG15, 0)</f>
        <v>0</v>
      </c>
      <c r="AH16" s="1">
        <v>-905548.1771409172</v>
      </c>
      <c r="AI16" s="1">
        <f>IF(AH16 + AI15 &lt; 0, AH16 + AI15, 0)</f>
        <v>0</v>
      </c>
      <c r="AJ16" s="1">
        <v>-212858.2963687727</v>
      </c>
      <c r="AK16" s="1">
        <f>IF(AJ16 + AK15 &lt; 0, AJ16 + AK15, 0)</f>
        <v>0</v>
      </c>
    </row>
    <row r="17" spans="1:37" s="1" customFormat="1">
      <c r="A17" s="3">
        <v>45311</v>
      </c>
      <c r="B17" s="2" t="s">
        <v>27</v>
      </c>
      <c r="C17" s="2">
        <v>7</v>
      </c>
      <c r="D17" s="2">
        <v>6</v>
      </c>
      <c r="E17" s="2">
        <v>5</v>
      </c>
      <c r="F17" s="2">
        <v>4</v>
      </c>
      <c r="G17" s="2">
        <v>4</v>
      </c>
      <c r="H17" s="1">
        <v>0</v>
      </c>
      <c r="I17" s="1">
        <f>IF(H17 + I16 &lt; 0, H17 + I16, 0)</f>
        <v>0</v>
      </c>
      <c r="J17" s="1">
        <v>0</v>
      </c>
      <c r="K17" s="1">
        <f>IF(J17 + K16 &lt; 0, J17 + K16, 0)</f>
        <v>0</v>
      </c>
      <c r="L17" s="1">
        <v>0</v>
      </c>
      <c r="M17" s="1">
        <f>IF(L17 + M16 &lt; 0, L17 + M16, 0)</f>
        <v>0</v>
      </c>
      <c r="N17" s="1">
        <v>0</v>
      </c>
      <c r="O17" s="1">
        <f>IF(N17 + O16 &lt; 0, N17 + O16, 0)</f>
        <v>0</v>
      </c>
      <c r="P17" s="1">
        <v>0</v>
      </c>
      <c r="Q17" s="1">
        <f>IF(P17 + Q16 &lt; 0, P17 + Q16, 0)</f>
        <v>0</v>
      </c>
      <c r="R17" s="1">
        <v>0</v>
      </c>
      <c r="S17" s="1">
        <f>IF(R17 + S16 &lt; 0, R17 + S16, 0)</f>
        <v>0</v>
      </c>
      <c r="T17" s="1">
        <v>0</v>
      </c>
      <c r="U17" s="1">
        <f>IF(T17 + U16 &lt; 0, T17 + U16, 0)</f>
        <v>0</v>
      </c>
      <c r="V17" s="1">
        <v>0</v>
      </c>
      <c r="W17" s="1">
        <f>IF(V17 + W16 &lt; 0, V17 + W16, 0)</f>
        <v>0</v>
      </c>
      <c r="X17" s="1">
        <v>0</v>
      </c>
      <c r="Y17" s="1">
        <f>IF(X17 + Y16 &lt; 0, X17 + Y16, 0)</f>
        <v>0</v>
      </c>
      <c r="Z17" s="1">
        <v>0</v>
      </c>
      <c r="AA17" s="1">
        <f>IF(Z17 + AA16 &lt; 0, Z17 + AA16, 0)</f>
        <v>0</v>
      </c>
      <c r="AB17" s="1">
        <v>0</v>
      </c>
      <c r="AC17" s="1">
        <f>IF(AB17 + AC16 &lt; 0, AB17 + AC16, 0)</f>
        <v>0</v>
      </c>
      <c r="AD17" s="1">
        <v>0</v>
      </c>
      <c r="AE17" s="1">
        <f>IF(AD17 + AE16 &lt; 0, AD17 + AE16, 0)</f>
        <v>0</v>
      </c>
      <c r="AF17" s="1">
        <v>0</v>
      </c>
      <c r="AG17" s="1">
        <f>IF(AF17 + AG16 &lt; 0, AF17 + AG16, 0)</f>
        <v>0</v>
      </c>
      <c r="AH17" s="1">
        <v>0</v>
      </c>
      <c r="AI17" s="1">
        <f>IF(AH17 + AI16 &lt; 0, AH17 + AI16, 0)</f>
        <v>0</v>
      </c>
      <c r="AJ17" s="1">
        <v>0</v>
      </c>
      <c r="AK17" s="1">
        <f>IF(AJ17 + AK16 &lt; 0, AJ17 + AK16, 0)</f>
        <v>0</v>
      </c>
    </row>
    <row r="18" spans="1:37" s="1" customFormat="1">
      <c r="A18" s="3">
        <v>45314</v>
      </c>
      <c r="B18" s="2" t="s">
        <v>23</v>
      </c>
      <c r="C18" s="2">
        <v>6</v>
      </c>
      <c r="D18" s="2">
        <v>5</v>
      </c>
      <c r="E18" s="2">
        <v>4</v>
      </c>
      <c r="F18" s="2">
        <v>3</v>
      </c>
      <c r="G18" s="2">
        <v>3</v>
      </c>
      <c r="H18" s="1">
        <v>0</v>
      </c>
      <c r="I18" s="1">
        <f>IF(H18 + I17 &lt; 0, H18 + I17, 0)</f>
        <v>0</v>
      </c>
      <c r="J18" s="1">
        <v>0</v>
      </c>
      <c r="K18" s="1">
        <f>IF(J18 + K17 &lt; 0, J18 + K17, 0)</f>
        <v>0</v>
      </c>
      <c r="L18" s="1">
        <v>0</v>
      </c>
      <c r="M18" s="1">
        <f>IF(L18 + M17 &lt; 0, L18 + M17, 0)</f>
        <v>0</v>
      </c>
      <c r="N18" s="1">
        <v>0</v>
      </c>
      <c r="O18" s="1">
        <f>IF(N18 + O17 &lt; 0, N18 + O17, 0)</f>
        <v>0</v>
      </c>
      <c r="P18" s="1">
        <v>0</v>
      </c>
      <c r="Q18" s="1">
        <f>IF(P18 + Q17 &lt; 0, P18 + Q17, 0)</f>
        <v>0</v>
      </c>
      <c r="R18" s="1">
        <v>0</v>
      </c>
      <c r="S18" s="1">
        <f>IF(R18 + S17 &lt; 0, R18 + S17, 0)</f>
        <v>0</v>
      </c>
      <c r="T18" s="1">
        <v>0</v>
      </c>
      <c r="U18" s="1">
        <f>IF(T18 + U17 &lt; 0, T18 + U17, 0)</f>
        <v>0</v>
      </c>
      <c r="V18" s="1">
        <v>0</v>
      </c>
      <c r="W18" s="1">
        <f>IF(V18 + W17 &lt; 0, V18 + W17, 0)</f>
        <v>0</v>
      </c>
      <c r="X18" s="1">
        <v>0</v>
      </c>
      <c r="Y18" s="1">
        <f>IF(X18 + Y17 &lt; 0, X18 + Y17, 0)</f>
        <v>0</v>
      </c>
      <c r="Z18" s="1">
        <v>0</v>
      </c>
      <c r="AA18" s="1">
        <f>IF(Z18 + AA17 &lt; 0, Z18 + AA17, 0)</f>
        <v>0</v>
      </c>
      <c r="AB18" s="1">
        <v>0</v>
      </c>
      <c r="AC18" s="1">
        <f>IF(AB18 + AC17 &lt; 0, AB18 + AC17, 0)</f>
        <v>0</v>
      </c>
      <c r="AD18" s="1">
        <v>0</v>
      </c>
      <c r="AE18" s="1">
        <f>IF(AD18 + AE17 &lt; 0, AD18 + AE17, 0)</f>
        <v>0</v>
      </c>
      <c r="AF18" s="1">
        <v>0</v>
      </c>
      <c r="AG18" s="1">
        <f>IF(AF18 + AG17 &lt; 0, AF18 + AG17, 0)</f>
        <v>0</v>
      </c>
      <c r="AH18" s="1">
        <v>0</v>
      </c>
      <c r="AI18" s="1">
        <f>IF(AH18 + AI17 &lt; 0, AH18 + AI17, 0)</f>
        <v>0</v>
      </c>
      <c r="AJ18" s="1">
        <v>0</v>
      </c>
      <c r="AK18" s="1">
        <f>IF(AJ18 + AK17 &lt; 0, AJ18 + AK17, 0)</f>
        <v>0</v>
      </c>
    </row>
    <row r="19" spans="1:37" s="1" customFormat="1">
      <c r="A19" s="3">
        <v>45315</v>
      </c>
      <c r="B19" s="2" t="s">
        <v>24</v>
      </c>
      <c r="C19" s="2">
        <v>5</v>
      </c>
      <c r="D19" s="2">
        <v>4</v>
      </c>
      <c r="E19" s="2">
        <v>3</v>
      </c>
      <c r="F19" s="2">
        <v>2</v>
      </c>
      <c r="G19" s="2">
        <v>2</v>
      </c>
      <c r="H19" s="1">
        <v>0</v>
      </c>
      <c r="I19" s="1">
        <f>IF(H19 + I18 &lt; 0, H19 + I18, 0)</f>
        <v>0</v>
      </c>
      <c r="J19" s="1">
        <v>0</v>
      </c>
      <c r="K19" s="1">
        <f>IF(J19 + K18 &lt; 0, J19 + K18, 0)</f>
        <v>0</v>
      </c>
      <c r="L19" s="1">
        <v>0</v>
      </c>
      <c r="M19" s="1">
        <f>IF(L19 + M18 &lt; 0, L19 + M18, 0)</f>
        <v>0</v>
      </c>
      <c r="N19" s="1">
        <v>0</v>
      </c>
      <c r="O19" s="1">
        <f>IF(N19 + O18 &lt; 0, N19 + O18, 0)</f>
        <v>0</v>
      </c>
      <c r="P19" s="1">
        <v>0</v>
      </c>
      <c r="Q19" s="1">
        <f>IF(P19 + Q18 &lt; 0, P19 + Q18, 0)</f>
        <v>0</v>
      </c>
      <c r="R19" s="1">
        <v>0</v>
      </c>
      <c r="S19" s="1">
        <f>IF(R19 + S18 &lt; 0, R19 + S18, 0)</f>
        <v>0</v>
      </c>
      <c r="T19" s="1">
        <v>0</v>
      </c>
      <c r="U19" s="1">
        <f>IF(T19 + U18 &lt; 0, T19 + U18, 0)</f>
        <v>0</v>
      </c>
      <c r="V19" s="1">
        <v>0</v>
      </c>
      <c r="W19" s="1">
        <f>IF(V19 + W18 &lt; 0, V19 + W18, 0)</f>
        <v>0</v>
      </c>
      <c r="X19" s="1">
        <v>0</v>
      </c>
      <c r="Y19" s="1">
        <f>IF(X19 + Y18 &lt; 0, X19 + Y18, 0)</f>
        <v>0</v>
      </c>
      <c r="Z19" s="1">
        <v>0</v>
      </c>
      <c r="AA19" s="1">
        <f>IF(Z19 + AA18 &lt; 0, Z19 + AA18, 0)</f>
        <v>0</v>
      </c>
      <c r="AB19" s="1">
        <v>0</v>
      </c>
      <c r="AC19" s="1">
        <f>IF(AB19 + AC18 &lt; 0, AB19 + AC18, 0)</f>
        <v>0</v>
      </c>
      <c r="AD19" s="1">
        <v>0</v>
      </c>
      <c r="AE19" s="1">
        <f>IF(AD19 + AE18 &lt; 0, AD19 + AE18, 0)</f>
        <v>0</v>
      </c>
      <c r="AF19" s="1">
        <v>0</v>
      </c>
      <c r="AG19" s="1">
        <f>IF(AF19 + AG18 &lt; 0, AF19 + AG18, 0)</f>
        <v>0</v>
      </c>
      <c r="AH19" s="1">
        <v>0</v>
      </c>
      <c r="AI19" s="1">
        <f>IF(AH19 + AI18 &lt; 0, AH19 + AI18, 0)</f>
        <v>0</v>
      </c>
      <c r="AJ19" s="1">
        <v>0</v>
      </c>
      <c r="AK19" s="1">
        <f>IF(AJ19 + AK18 &lt; 0, AJ19 + AK18, 0)</f>
        <v>0</v>
      </c>
    </row>
    <row r="20" spans="1:37" s="1" customFormat="1">
      <c r="A20" s="3">
        <v>45316</v>
      </c>
      <c r="B20" s="2" t="s">
        <v>25</v>
      </c>
      <c r="C20" s="2">
        <v>4</v>
      </c>
      <c r="D20" s="2">
        <v>3</v>
      </c>
      <c r="E20" s="2">
        <v>2</v>
      </c>
      <c r="F20" s="2">
        <v>1</v>
      </c>
      <c r="G20" s="2">
        <v>1</v>
      </c>
      <c r="H20" s="1">
        <v>0</v>
      </c>
      <c r="I20" s="1">
        <f>IF(H20 + I19 &lt; 0, H20 + I19, 0)</f>
        <v>0</v>
      </c>
      <c r="J20" s="1">
        <v>0</v>
      </c>
      <c r="K20" s="1">
        <f>IF(J20 + K19 &lt; 0, J20 + K19, 0)</f>
        <v>0</v>
      </c>
      <c r="L20" s="1">
        <v>0</v>
      </c>
      <c r="M20" s="1">
        <f>IF(L20 + M19 &lt; 0, L20 + M19, 0)</f>
        <v>0</v>
      </c>
      <c r="N20" s="1">
        <v>0</v>
      </c>
      <c r="O20" s="1">
        <f>IF(N20 + O19 &lt; 0, N20 + O19, 0)</f>
        <v>0</v>
      </c>
      <c r="P20" s="1">
        <v>0</v>
      </c>
      <c r="Q20" s="1">
        <f>IF(P20 + Q19 &lt; 0, P20 + Q19, 0)</f>
        <v>0</v>
      </c>
      <c r="R20" s="1">
        <v>0</v>
      </c>
      <c r="S20" s="1">
        <f>IF(R20 + S19 &lt; 0, R20 + S19, 0)</f>
        <v>0</v>
      </c>
      <c r="T20" s="1">
        <v>0</v>
      </c>
      <c r="U20" s="1">
        <f>IF(T20 + U19 &lt; 0, T20 + U19, 0)</f>
        <v>0</v>
      </c>
      <c r="V20" s="1">
        <v>0</v>
      </c>
      <c r="W20" s="1">
        <f>IF(V20 + W19 &lt; 0, V20 + W19, 0)</f>
        <v>0</v>
      </c>
      <c r="X20" s="1">
        <v>0</v>
      </c>
      <c r="Y20" s="1">
        <f>IF(X20 + Y19 &lt; 0, X20 + Y19, 0)</f>
        <v>0</v>
      </c>
      <c r="Z20" s="1">
        <v>-227057.3259763294</v>
      </c>
      <c r="AA20" s="1">
        <f>IF(Z20 + AA19 &lt; 0, Z20 + AA19, 0)</f>
        <v>0</v>
      </c>
      <c r="AB20" s="1">
        <v>-714782.9976200428</v>
      </c>
      <c r="AC20" s="1">
        <f>IF(AB20 + AC19 &lt; 0, AB20 + AC19, 0)</f>
        <v>0</v>
      </c>
      <c r="AD20" s="1">
        <v>2593.53741548462</v>
      </c>
      <c r="AE20" s="1">
        <f>IF(AD20 + AE19 &lt; 0, AD20 + AE19, 0)</f>
        <v>0</v>
      </c>
      <c r="AF20" s="1">
        <v>-1310270.878808795</v>
      </c>
      <c r="AG20" s="1">
        <f>IF(AF20 + AG19 &lt; 0, AF20 + AG19, 0)</f>
        <v>0</v>
      </c>
      <c r="AH20" s="1">
        <v>-1310270.878808795</v>
      </c>
      <c r="AI20" s="1">
        <f>IF(AH20 + AI19 &lt; 0, AH20 + AI19, 0)</f>
        <v>0</v>
      </c>
      <c r="AJ20" s="1">
        <v>-538197.7615777131</v>
      </c>
      <c r="AK20" s="1">
        <f>IF(AJ20 + AK19 &lt; 0, AJ20 + AK19, 0)</f>
        <v>0</v>
      </c>
    </row>
    <row r="21" spans="1:37" s="1" customFormat="1">
      <c r="A21" s="3">
        <v>45320</v>
      </c>
      <c r="B21" s="2" t="s">
        <v>22</v>
      </c>
      <c r="C21" s="2">
        <v>3</v>
      </c>
      <c r="D21" s="2">
        <v>2</v>
      </c>
      <c r="E21" s="2">
        <v>1</v>
      </c>
      <c r="F21" s="2">
        <v>4</v>
      </c>
      <c r="G21" s="2">
        <v>5</v>
      </c>
      <c r="H21" s="1">
        <v>0</v>
      </c>
      <c r="I21" s="1">
        <f>IF(H21 + I20 &lt; 0, H21 + I20, 0)</f>
        <v>0</v>
      </c>
      <c r="J21" s="1">
        <v>0</v>
      </c>
      <c r="K21" s="1">
        <f>IF(J21 + K20 &lt; 0, J21 + K20, 0)</f>
        <v>0</v>
      </c>
      <c r="L21" s="1">
        <v>0</v>
      </c>
      <c r="M21" s="1">
        <f>IF(L21 + M20 &lt; 0, L21 + M20, 0)</f>
        <v>0</v>
      </c>
      <c r="N21" s="1">
        <v>0</v>
      </c>
      <c r="O21" s="1">
        <f>IF(N21 + O20 &lt; 0, N21 + O20, 0)</f>
        <v>0</v>
      </c>
      <c r="P21" s="1">
        <v>0</v>
      </c>
      <c r="Q21" s="1">
        <f>IF(P21 + Q20 &lt; 0, P21 + Q20, 0)</f>
        <v>0</v>
      </c>
      <c r="R21" s="1">
        <v>0</v>
      </c>
      <c r="S21" s="1">
        <f>IF(R21 + S20 &lt; 0, R21 + S20, 0)</f>
        <v>0</v>
      </c>
      <c r="T21" s="1">
        <v>0</v>
      </c>
      <c r="U21" s="1">
        <f>IF(T21 + U20 &lt; 0, T21 + U20, 0)</f>
        <v>0</v>
      </c>
      <c r="V21" s="1">
        <v>0</v>
      </c>
      <c r="W21" s="1">
        <f>IF(V21 + W20 &lt; 0, V21 + W20, 0)</f>
        <v>0</v>
      </c>
      <c r="X21" s="1">
        <v>0</v>
      </c>
      <c r="Y21" s="1">
        <f>IF(X21 + Y20 &lt; 0, X21 + Y20, 0)</f>
        <v>0</v>
      </c>
      <c r="Z21" s="1">
        <v>0</v>
      </c>
      <c r="AA21" s="1">
        <f>IF(Z21 + AA20 &lt; 0, Z21 + AA20, 0)</f>
        <v>0</v>
      </c>
      <c r="AB21" s="1">
        <v>0</v>
      </c>
      <c r="AC21" s="1">
        <f>IF(AB21 + AC20 &lt; 0, AB21 + AC20, 0)</f>
        <v>0</v>
      </c>
      <c r="AD21" s="1">
        <v>0</v>
      </c>
      <c r="AE21" s="1">
        <f>IF(AD21 + AE20 &lt; 0, AD21 + AE20, 0)</f>
        <v>0</v>
      </c>
      <c r="AF21" s="1">
        <v>0</v>
      </c>
      <c r="AG21" s="1">
        <f>IF(AF21 + AG20 &lt; 0, AF21 + AG20, 0)</f>
        <v>0</v>
      </c>
      <c r="AH21" s="1">
        <v>0</v>
      </c>
      <c r="AI21" s="1">
        <f>IF(AH21 + AI20 &lt; 0, AH21 + AI20, 0)</f>
        <v>0</v>
      </c>
      <c r="AJ21" s="1">
        <v>0</v>
      </c>
      <c r="AK21" s="1">
        <f>IF(AJ21 + AK20 &lt; 0, AJ21 + AK20, 0)</f>
        <v>0</v>
      </c>
    </row>
    <row r="22" spans="1:37" s="1" customFormat="1">
      <c r="A22" s="3">
        <v>45321</v>
      </c>
      <c r="B22" s="2" t="s">
        <v>23</v>
      </c>
      <c r="C22" s="2">
        <v>2</v>
      </c>
      <c r="D22" s="2">
        <v>1</v>
      </c>
      <c r="E22" s="2">
        <v>20</v>
      </c>
      <c r="F22" s="2">
        <v>3</v>
      </c>
      <c r="G22" s="2">
        <v>4</v>
      </c>
      <c r="H22" s="1">
        <v>0</v>
      </c>
      <c r="I22" s="1">
        <f>IF(H22 + I21 &lt; 0, H22 + I21, 0)</f>
        <v>0</v>
      </c>
      <c r="J22" s="1">
        <v>0</v>
      </c>
      <c r="K22" s="1">
        <f>IF(J22 + K21 &lt; 0, J22 + K21, 0)</f>
        <v>0</v>
      </c>
      <c r="L22" s="1">
        <v>0</v>
      </c>
      <c r="M22" s="1">
        <f>IF(L22 + M21 &lt; 0, L22 + M21, 0)</f>
        <v>0</v>
      </c>
      <c r="N22" s="1">
        <v>0</v>
      </c>
      <c r="O22" s="1">
        <f>IF(N22 + O21 &lt; 0, N22 + O21, 0)</f>
        <v>0</v>
      </c>
      <c r="P22" s="1">
        <v>0</v>
      </c>
      <c r="Q22" s="1">
        <f>IF(P22 + Q21 &lt; 0, P22 + Q21, 0)</f>
        <v>0</v>
      </c>
      <c r="R22" s="1">
        <v>0</v>
      </c>
      <c r="S22" s="1">
        <f>IF(R22 + S21 &lt; 0, R22 + S21, 0)</f>
        <v>0</v>
      </c>
      <c r="T22" s="1">
        <v>0</v>
      </c>
      <c r="U22" s="1">
        <f>IF(T22 + U21 &lt; 0, T22 + U21, 0)</f>
        <v>0</v>
      </c>
      <c r="V22" s="1">
        <v>0</v>
      </c>
      <c r="W22" s="1">
        <f>IF(V22 + W21 &lt; 0, V22 + W21, 0)</f>
        <v>0</v>
      </c>
      <c r="X22" s="1">
        <v>0</v>
      </c>
      <c r="Y22" s="1">
        <f>IF(X22 + Y21 &lt; 0, X22 + Y21, 0)</f>
        <v>0</v>
      </c>
      <c r="Z22" s="1">
        <v>0</v>
      </c>
      <c r="AA22" s="1">
        <f>IF(Z22 + AA21 &lt; 0, Z22 + AA21, 0)</f>
        <v>0</v>
      </c>
      <c r="AB22" s="1">
        <v>0</v>
      </c>
      <c r="AC22" s="1">
        <f>IF(AB22 + AC21 &lt; 0, AB22 + AC21, 0)</f>
        <v>0</v>
      </c>
      <c r="AD22" s="1">
        <v>0</v>
      </c>
      <c r="AE22" s="1">
        <f>IF(AD22 + AE21 &lt; 0, AD22 + AE21, 0)</f>
        <v>0</v>
      </c>
      <c r="AF22" s="1">
        <v>0</v>
      </c>
      <c r="AG22" s="1">
        <f>IF(AF22 + AG21 &lt; 0, AF22 + AG21, 0)</f>
        <v>0</v>
      </c>
      <c r="AH22" s="1">
        <v>0</v>
      </c>
      <c r="AI22" s="1">
        <f>IF(AH22 + AI21 &lt; 0, AH22 + AI21, 0)</f>
        <v>0</v>
      </c>
      <c r="AJ22" s="1">
        <v>0</v>
      </c>
      <c r="AK22" s="1">
        <f>IF(AJ22 + AK21 &lt; 0, AJ22 + AK21, 0)</f>
        <v>0</v>
      </c>
    </row>
    <row r="23" spans="1:37" s="1" customFormat="1">
      <c r="A23" s="3">
        <v>45322</v>
      </c>
      <c r="B23" s="2" t="s">
        <v>24</v>
      </c>
      <c r="C23" s="2">
        <v>1</v>
      </c>
      <c r="D23" s="2">
        <v>20</v>
      </c>
      <c r="E23" s="2">
        <v>19</v>
      </c>
      <c r="F23" s="2">
        <v>2</v>
      </c>
      <c r="G23" s="2">
        <v>3</v>
      </c>
      <c r="H23" s="1">
        <v>0</v>
      </c>
      <c r="I23" s="1">
        <f>IF(H23 + I22 &lt; 0, H23 + I22, 0)</f>
        <v>0</v>
      </c>
      <c r="J23" s="1">
        <v>0</v>
      </c>
      <c r="K23" s="1">
        <f>IF(J23 + K22 &lt; 0, J23 + K22, 0)</f>
        <v>0</v>
      </c>
      <c r="L23" s="1">
        <v>0</v>
      </c>
      <c r="M23" s="1">
        <f>IF(L23 + M22 &lt; 0, L23 + M22, 0)</f>
        <v>0</v>
      </c>
      <c r="N23" s="1">
        <v>0</v>
      </c>
      <c r="O23" s="1">
        <f>IF(N23 + O22 &lt; 0, N23 + O22, 0)</f>
        <v>0</v>
      </c>
      <c r="P23" s="1">
        <v>0</v>
      </c>
      <c r="Q23" s="1">
        <f>IF(P23 + Q22 &lt; 0, P23 + Q22, 0)</f>
        <v>0</v>
      </c>
      <c r="R23" s="1">
        <v>0</v>
      </c>
      <c r="S23" s="1">
        <f>IF(R23 + S22 &lt; 0, R23 + S22, 0)</f>
        <v>0</v>
      </c>
      <c r="T23" s="1">
        <v>0</v>
      </c>
      <c r="U23" s="1">
        <f>IF(T23 + U22 &lt; 0, T23 + U22, 0)</f>
        <v>0</v>
      </c>
      <c r="V23" s="1">
        <v>0</v>
      </c>
      <c r="W23" s="1">
        <f>IF(V23 + W22 &lt; 0, V23 + W22, 0)</f>
        <v>0</v>
      </c>
      <c r="X23" s="1">
        <v>0</v>
      </c>
      <c r="Y23" s="1">
        <f>IF(X23 + Y22 &lt; 0, X23 + Y22, 0)</f>
        <v>0</v>
      </c>
      <c r="Z23" s="1">
        <v>0</v>
      </c>
      <c r="AA23" s="1">
        <f>IF(Z23 + AA22 &lt; 0, Z23 + AA22, 0)</f>
        <v>0</v>
      </c>
      <c r="AB23" s="1">
        <v>0</v>
      </c>
      <c r="AC23" s="1">
        <f>IF(AB23 + AC22 &lt; 0, AB23 + AC22, 0)</f>
        <v>0</v>
      </c>
      <c r="AD23" s="1">
        <v>0</v>
      </c>
      <c r="AE23" s="1">
        <f>IF(AD23 + AE22 &lt; 0, AD23 + AE22, 0)</f>
        <v>0</v>
      </c>
      <c r="AF23" s="1">
        <v>0</v>
      </c>
      <c r="AG23" s="1">
        <f>IF(AF23 + AG22 &lt; 0, AF23 + AG22, 0)</f>
        <v>0</v>
      </c>
      <c r="AH23" s="1">
        <v>0</v>
      </c>
      <c r="AI23" s="1">
        <f>IF(AH23 + AI22 &lt; 0, AH23 + AI22, 0)</f>
        <v>0</v>
      </c>
      <c r="AJ23" s="1">
        <v>0</v>
      </c>
      <c r="AK23" s="1">
        <f>IF(AJ23 + AK22 &lt; 0, AJ23 + AK22, 0)</f>
        <v>0</v>
      </c>
    </row>
    <row r="24" spans="1:37" s="1" customFormat="1">
      <c r="A24" s="3">
        <v>45323</v>
      </c>
      <c r="B24" s="2" t="s">
        <v>25</v>
      </c>
      <c r="C24" s="2">
        <v>21</v>
      </c>
      <c r="D24" s="2">
        <v>19</v>
      </c>
      <c r="E24" s="2">
        <v>18</v>
      </c>
      <c r="F24" s="2">
        <v>1</v>
      </c>
      <c r="G24" s="2">
        <v>2</v>
      </c>
      <c r="H24" s="1">
        <v>0</v>
      </c>
      <c r="I24" s="1">
        <f>IF(H24 + I23 &lt; 0, H24 + I23, 0)</f>
        <v>0</v>
      </c>
      <c r="J24" s="1">
        <v>0</v>
      </c>
      <c r="K24" s="1">
        <f>IF(J24 + K23 &lt; 0, J24 + K23, 0)</f>
        <v>0</v>
      </c>
      <c r="L24" s="1">
        <v>0</v>
      </c>
      <c r="M24" s="1">
        <f>IF(L24 + M23 &lt; 0, L24 + M23, 0)</f>
        <v>0</v>
      </c>
      <c r="N24" s="1">
        <v>0</v>
      </c>
      <c r="O24" s="1">
        <f>IF(N24 + O23 &lt; 0, N24 + O23, 0)</f>
        <v>0</v>
      </c>
      <c r="P24" s="1">
        <v>0</v>
      </c>
      <c r="Q24" s="1">
        <f>IF(P24 + Q23 &lt; 0, P24 + Q23, 0)</f>
        <v>0</v>
      </c>
      <c r="R24" s="1">
        <v>0</v>
      </c>
      <c r="S24" s="1">
        <f>IF(R24 + S23 &lt; 0, R24 + S23, 0)</f>
        <v>0</v>
      </c>
      <c r="T24" s="1">
        <v>0</v>
      </c>
      <c r="U24" s="1">
        <f>IF(T24 + U23 &lt; 0, T24 + U23, 0)</f>
        <v>0</v>
      </c>
      <c r="V24" s="1">
        <v>0</v>
      </c>
      <c r="W24" s="1">
        <f>IF(V24 + W23 &lt; 0, V24 + W23, 0)</f>
        <v>0</v>
      </c>
      <c r="X24" s="1">
        <v>0</v>
      </c>
      <c r="Y24" s="1">
        <f>IF(X24 + Y23 &lt; 0, X24 + Y23, 0)</f>
        <v>0</v>
      </c>
      <c r="Z24" s="1">
        <v>1087711.406234915</v>
      </c>
      <c r="AA24" s="1">
        <f>IF(Z24 + AA23 &lt; 0, Z24 + AA23, 0)</f>
        <v>0</v>
      </c>
      <c r="AB24" s="1">
        <v>1087711.406234915</v>
      </c>
      <c r="AC24" s="1">
        <f>IF(AB24 + AC23 &lt; 0, AB24 + AC23, 0)</f>
        <v>0</v>
      </c>
      <c r="AD24" s="1">
        <v>754366.5126432173</v>
      </c>
      <c r="AE24" s="1">
        <f>IF(AD24 + AE23 &lt; 0, AD24 + AE23, 0)</f>
        <v>0</v>
      </c>
      <c r="AF24" s="1">
        <v>0</v>
      </c>
      <c r="AG24" s="1">
        <f>IF(AF24 + AG23 &lt; 0, AF24 + AG23, 0)</f>
        <v>0</v>
      </c>
      <c r="AH24" s="1">
        <v>0</v>
      </c>
      <c r="AI24" s="1">
        <f>IF(AH24 + AI23 &lt; 0, AH24 + AI23, 0)</f>
        <v>0</v>
      </c>
      <c r="AJ24" s="1">
        <v>0</v>
      </c>
      <c r="AK24" s="1">
        <f>IF(AJ24 + AK23 &lt; 0, AJ24 + AK23, 0)</f>
        <v>0</v>
      </c>
    </row>
    <row r="25" spans="1:37" s="1" customFormat="1">
      <c r="A25" s="3">
        <v>45324</v>
      </c>
      <c r="B25" s="2" t="s">
        <v>26</v>
      </c>
      <c r="C25" s="2">
        <v>20</v>
      </c>
      <c r="D25" s="2">
        <v>18</v>
      </c>
      <c r="E25" s="2">
        <v>17</v>
      </c>
      <c r="F25" s="2">
        <v>5</v>
      </c>
      <c r="G25" s="2">
        <v>1</v>
      </c>
      <c r="H25" s="1">
        <v>0</v>
      </c>
      <c r="I25" s="1">
        <f>IF(H25 + I24 &lt; 0, H25 + I24, 0)</f>
        <v>0</v>
      </c>
      <c r="J25" s="1">
        <v>0</v>
      </c>
      <c r="K25" s="1">
        <f>IF(J25 + K24 &lt; 0, J25 + K24, 0)</f>
        <v>0</v>
      </c>
      <c r="L25" s="1">
        <v>0</v>
      </c>
      <c r="M25" s="1">
        <f>IF(L25 + M24 &lt; 0, L25 + M24, 0)</f>
        <v>0</v>
      </c>
      <c r="N25" s="1">
        <v>0</v>
      </c>
      <c r="O25" s="1">
        <f>IF(N25 + O24 &lt; 0, N25 + O24, 0)</f>
        <v>0</v>
      </c>
      <c r="P25" s="1">
        <v>0</v>
      </c>
      <c r="Q25" s="1">
        <f>IF(P25 + Q24 &lt; 0, P25 + Q24, 0)</f>
        <v>0</v>
      </c>
      <c r="R25" s="1">
        <v>0</v>
      </c>
      <c r="S25" s="1">
        <f>IF(R25 + S24 &lt; 0, R25 + S24, 0)</f>
        <v>0</v>
      </c>
      <c r="T25" s="1">
        <v>0</v>
      </c>
      <c r="U25" s="1">
        <f>IF(T25 + U24 &lt; 0, T25 + U24, 0)</f>
        <v>0</v>
      </c>
      <c r="V25" s="1">
        <v>0</v>
      </c>
      <c r="W25" s="1">
        <f>IF(V25 + W24 &lt; 0, V25 + W24, 0)</f>
        <v>0</v>
      </c>
      <c r="X25" s="1">
        <v>0</v>
      </c>
      <c r="Y25" s="1">
        <f>IF(X25 + Y24 &lt; 0, X25 + Y24, 0)</f>
        <v>0</v>
      </c>
      <c r="Z25" s="1">
        <v>0</v>
      </c>
      <c r="AA25" s="1">
        <f>IF(Z25 + AA24 &lt; 0, Z25 + AA24, 0)</f>
        <v>0</v>
      </c>
      <c r="AB25" s="1">
        <v>0</v>
      </c>
      <c r="AC25" s="1">
        <f>IF(AB25 + AC24 &lt; 0, AB25 + AC24, 0)</f>
        <v>0</v>
      </c>
      <c r="AD25" s="1">
        <v>0</v>
      </c>
      <c r="AE25" s="1">
        <f>IF(AD25 + AE24 &lt; 0, AD25 + AE24, 0)</f>
        <v>0</v>
      </c>
      <c r="AF25" s="1">
        <v>1238852.039569169</v>
      </c>
      <c r="AG25" s="1">
        <f>IF(AF25 + AG24 &lt; 0, AF25 + AG24, 0)</f>
        <v>0</v>
      </c>
      <c r="AH25" s="1">
        <v>1020333.230787557</v>
      </c>
      <c r="AI25" s="1">
        <f>IF(AH25 + AI24 &lt; 0, AH25 + AI24, 0)</f>
        <v>0</v>
      </c>
      <c r="AJ25" s="1">
        <v>781812.2752870843</v>
      </c>
      <c r="AK25" s="1">
        <f>IF(AJ25 + AK24 &lt; 0, AJ25 + AK24, 0)</f>
        <v>0</v>
      </c>
    </row>
    <row r="26" spans="1:37" s="1" customFormat="1">
      <c r="A26" s="3">
        <v>45327</v>
      </c>
      <c r="B26" s="2" t="s">
        <v>22</v>
      </c>
      <c r="C26" s="2">
        <v>19</v>
      </c>
      <c r="D26" s="2">
        <v>17</v>
      </c>
      <c r="E26" s="2">
        <v>16</v>
      </c>
      <c r="F26" s="2">
        <v>4</v>
      </c>
      <c r="G26" s="2">
        <v>5</v>
      </c>
      <c r="H26" s="1">
        <v>0</v>
      </c>
      <c r="I26" s="1">
        <f>IF(H26 + I25 &lt; 0, H26 + I25, 0)</f>
        <v>0</v>
      </c>
      <c r="J26" s="1">
        <v>0</v>
      </c>
      <c r="K26" s="1">
        <f>IF(J26 + K25 &lt; 0, J26 + K25, 0)</f>
        <v>0</v>
      </c>
      <c r="L26" s="1">
        <v>0</v>
      </c>
      <c r="M26" s="1">
        <f>IF(L26 + M25 &lt; 0, L26 + M25, 0)</f>
        <v>0</v>
      </c>
      <c r="N26" s="1">
        <v>0</v>
      </c>
      <c r="O26" s="1">
        <f>IF(N26 + O25 &lt; 0, N26 + O25, 0)</f>
        <v>0</v>
      </c>
      <c r="P26" s="1">
        <v>0</v>
      </c>
      <c r="Q26" s="1">
        <f>IF(P26 + Q25 &lt; 0, P26 + Q25, 0)</f>
        <v>0</v>
      </c>
      <c r="R26" s="1">
        <v>0</v>
      </c>
      <c r="S26" s="1">
        <f>IF(R26 + S25 &lt; 0, R26 + S25, 0)</f>
        <v>0</v>
      </c>
      <c r="T26" s="1">
        <v>0</v>
      </c>
      <c r="U26" s="1">
        <f>IF(T26 + U25 &lt; 0, T26 + U25, 0)</f>
        <v>0</v>
      </c>
      <c r="V26" s="1">
        <v>0</v>
      </c>
      <c r="W26" s="1">
        <f>IF(V26 + W25 &lt; 0, V26 + W25, 0)</f>
        <v>0</v>
      </c>
      <c r="X26" s="1">
        <v>0</v>
      </c>
      <c r="Y26" s="1">
        <f>IF(X26 + Y25 &lt; 0, X26 + Y25, 0)</f>
        <v>0</v>
      </c>
      <c r="Z26" s="1">
        <v>0</v>
      </c>
      <c r="AA26" s="1">
        <f>IF(Z26 + AA25 &lt; 0, Z26 + AA25, 0)</f>
        <v>0</v>
      </c>
      <c r="AB26" s="1">
        <v>0</v>
      </c>
      <c r="AC26" s="1">
        <f>IF(AB26 + AC25 &lt; 0, AB26 + AC25, 0)</f>
        <v>0</v>
      </c>
      <c r="AD26" s="1">
        <v>0</v>
      </c>
      <c r="AE26" s="1">
        <f>IF(AD26 + AE25 &lt; 0, AD26 + AE25, 0)</f>
        <v>0</v>
      </c>
      <c r="AF26" s="1">
        <v>0</v>
      </c>
      <c r="AG26" s="1">
        <f>IF(AF26 + AG25 &lt; 0, AF26 + AG25, 0)</f>
        <v>0</v>
      </c>
      <c r="AH26" s="1">
        <v>0</v>
      </c>
      <c r="AI26" s="1">
        <f>IF(AH26 + AI25 &lt; 0, AH26 + AI25, 0)</f>
        <v>0</v>
      </c>
      <c r="AJ26" s="1">
        <v>0</v>
      </c>
      <c r="AK26" s="1">
        <f>IF(AJ26 + AK25 &lt; 0, AJ26 + AK25, 0)</f>
        <v>0</v>
      </c>
    </row>
    <row r="27" spans="1:37" s="1" customFormat="1">
      <c r="A27" s="3">
        <v>45328</v>
      </c>
      <c r="B27" s="2" t="s">
        <v>23</v>
      </c>
      <c r="C27" s="2">
        <v>18</v>
      </c>
      <c r="D27" s="2">
        <v>16</v>
      </c>
      <c r="E27" s="2">
        <v>15</v>
      </c>
      <c r="F27" s="2">
        <v>3</v>
      </c>
      <c r="G27" s="2">
        <v>4</v>
      </c>
      <c r="H27" s="1">
        <v>0</v>
      </c>
      <c r="I27" s="1">
        <f>IF(H27 + I26 &lt; 0, H27 + I26, 0)</f>
        <v>0</v>
      </c>
      <c r="J27" s="1">
        <v>0</v>
      </c>
      <c r="K27" s="1">
        <f>IF(J27 + K26 &lt; 0, J27 + K26, 0)</f>
        <v>0</v>
      </c>
      <c r="L27" s="1">
        <v>0</v>
      </c>
      <c r="M27" s="1">
        <f>IF(L27 + M26 &lt; 0, L27 + M26, 0)</f>
        <v>0</v>
      </c>
      <c r="N27" s="1">
        <v>0</v>
      </c>
      <c r="O27" s="1">
        <f>IF(N27 + O26 &lt; 0, N27 + O26, 0)</f>
        <v>0</v>
      </c>
      <c r="P27" s="1">
        <v>0</v>
      </c>
      <c r="Q27" s="1">
        <f>IF(P27 + Q26 &lt; 0, P27 + Q26, 0)</f>
        <v>0</v>
      </c>
      <c r="R27" s="1">
        <v>0</v>
      </c>
      <c r="S27" s="1">
        <f>IF(R27 + S26 &lt; 0, R27 + S26, 0)</f>
        <v>0</v>
      </c>
      <c r="T27" s="1">
        <v>0</v>
      </c>
      <c r="U27" s="1">
        <f>IF(T27 + U26 &lt; 0, T27 + U26, 0)</f>
        <v>0</v>
      </c>
      <c r="V27" s="1">
        <v>0</v>
      </c>
      <c r="W27" s="1">
        <f>IF(V27 + W26 &lt; 0, V27 + W26, 0)</f>
        <v>0</v>
      </c>
      <c r="X27" s="1">
        <v>0</v>
      </c>
      <c r="Y27" s="1">
        <f>IF(X27 + Y26 &lt; 0, X27 + Y26, 0)</f>
        <v>0</v>
      </c>
      <c r="Z27" s="1">
        <v>0</v>
      </c>
      <c r="AA27" s="1">
        <f>IF(Z27 + AA26 &lt; 0, Z27 + AA26, 0)</f>
        <v>0</v>
      </c>
      <c r="AB27" s="1">
        <v>0</v>
      </c>
      <c r="AC27" s="1">
        <f>IF(AB27 + AC26 &lt; 0, AB27 + AC26, 0)</f>
        <v>0</v>
      </c>
      <c r="AD27" s="1">
        <v>0</v>
      </c>
      <c r="AE27" s="1">
        <f>IF(AD27 + AE26 &lt; 0, AD27 + AE26, 0)</f>
        <v>0</v>
      </c>
      <c r="AF27" s="1">
        <v>0</v>
      </c>
      <c r="AG27" s="1">
        <f>IF(AF27 + AG26 &lt; 0, AF27 + AG26, 0)</f>
        <v>0</v>
      </c>
      <c r="AH27" s="1">
        <v>0</v>
      </c>
      <c r="AI27" s="1">
        <f>IF(AH27 + AI26 &lt; 0, AH27 + AI26, 0)</f>
        <v>0</v>
      </c>
      <c r="AJ27" s="1">
        <v>0</v>
      </c>
      <c r="AK27" s="1">
        <f>IF(AJ27 + AK26 &lt; 0, AJ27 + AK26, 0)</f>
        <v>0</v>
      </c>
    </row>
    <row r="28" spans="1:37" s="1" customFormat="1">
      <c r="A28" s="3">
        <v>45329</v>
      </c>
      <c r="B28" s="2" t="s">
        <v>24</v>
      </c>
      <c r="C28" s="2">
        <v>17</v>
      </c>
      <c r="D28" s="2">
        <v>15</v>
      </c>
      <c r="E28" s="2">
        <v>14</v>
      </c>
      <c r="F28" s="2">
        <v>2</v>
      </c>
      <c r="G28" s="2">
        <v>3</v>
      </c>
      <c r="H28" s="1">
        <v>0</v>
      </c>
      <c r="I28" s="1">
        <f>IF(H28 + I27 &lt; 0, H28 + I27, 0)</f>
        <v>0</v>
      </c>
      <c r="J28" s="1">
        <v>0</v>
      </c>
      <c r="K28" s="1">
        <f>IF(J28 + K27 &lt; 0, J28 + K27, 0)</f>
        <v>0</v>
      </c>
      <c r="L28" s="1">
        <v>0</v>
      </c>
      <c r="M28" s="1">
        <f>IF(L28 + M27 &lt; 0, L28 + M27, 0)</f>
        <v>0</v>
      </c>
      <c r="N28" s="1">
        <v>0</v>
      </c>
      <c r="O28" s="1">
        <f>IF(N28 + O27 &lt; 0, N28 + O27, 0)</f>
        <v>0</v>
      </c>
      <c r="P28" s="1">
        <v>0</v>
      </c>
      <c r="Q28" s="1">
        <f>IF(P28 + Q27 &lt; 0, P28 + Q27, 0)</f>
        <v>0</v>
      </c>
      <c r="R28" s="1">
        <v>0</v>
      </c>
      <c r="S28" s="1">
        <f>IF(R28 + S27 &lt; 0, R28 + S27, 0)</f>
        <v>0</v>
      </c>
      <c r="T28" s="1">
        <v>0</v>
      </c>
      <c r="U28" s="1">
        <f>IF(T28 + U27 &lt; 0, T28 + U27, 0)</f>
        <v>0</v>
      </c>
      <c r="V28" s="1">
        <v>0</v>
      </c>
      <c r="W28" s="1">
        <f>IF(V28 + W27 &lt; 0, V28 + W27, 0)</f>
        <v>0</v>
      </c>
      <c r="X28" s="1">
        <v>0</v>
      </c>
      <c r="Y28" s="1">
        <f>IF(X28 + Y27 &lt; 0, X28 + Y27, 0)</f>
        <v>0</v>
      </c>
      <c r="Z28" s="1">
        <v>0</v>
      </c>
      <c r="AA28" s="1">
        <f>IF(Z28 + AA27 &lt; 0, Z28 + AA27, 0)</f>
        <v>0</v>
      </c>
      <c r="AB28" s="1">
        <v>0</v>
      </c>
      <c r="AC28" s="1">
        <f>IF(AB28 + AC27 &lt; 0, AB28 + AC27, 0)</f>
        <v>0</v>
      </c>
      <c r="AD28" s="1">
        <v>0</v>
      </c>
      <c r="AE28" s="1">
        <f>IF(AD28 + AE27 &lt; 0, AD28 + AE27, 0)</f>
        <v>0</v>
      </c>
      <c r="AF28" s="1">
        <v>0</v>
      </c>
      <c r="AG28" s="1">
        <f>IF(AF28 + AG27 &lt; 0, AF28 + AG27, 0)</f>
        <v>0</v>
      </c>
      <c r="AH28" s="1">
        <v>0</v>
      </c>
      <c r="AI28" s="1">
        <f>IF(AH28 + AI27 &lt; 0, AH28 + AI27, 0)</f>
        <v>0</v>
      </c>
      <c r="AJ28" s="1">
        <v>0</v>
      </c>
      <c r="AK28" s="1">
        <f>IF(AJ28 + AK27 &lt; 0, AJ28 + AK27, 0)</f>
        <v>0</v>
      </c>
    </row>
    <row r="29" spans="1:37" s="1" customFormat="1">
      <c r="A29" s="3">
        <v>45330</v>
      </c>
      <c r="B29" s="2" t="s">
        <v>25</v>
      </c>
      <c r="C29" s="2">
        <v>16</v>
      </c>
      <c r="D29" s="2">
        <v>14</v>
      </c>
      <c r="E29" s="2">
        <v>13</v>
      </c>
      <c r="F29" s="2">
        <v>1</v>
      </c>
      <c r="G29" s="2">
        <v>2</v>
      </c>
      <c r="H29" s="1">
        <v>0</v>
      </c>
      <c r="I29" s="1">
        <f>IF(H29 + I28 &lt; 0, H29 + I28, 0)</f>
        <v>0</v>
      </c>
      <c r="J29" s="1">
        <v>0</v>
      </c>
      <c r="K29" s="1">
        <f>IF(J29 + K28 &lt; 0, J29 + K28, 0)</f>
        <v>0</v>
      </c>
      <c r="L29" s="1">
        <v>0</v>
      </c>
      <c r="M29" s="1">
        <f>IF(L29 + M28 &lt; 0, L29 + M28, 0)</f>
        <v>0</v>
      </c>
      <c r="N29" s="1">
        <v>0</v>
      </c>
      <c r="O29" s="1">
        <f>IF(N29 + O28 &lt; 0, N29 + O28, 0)</f>
        <v>0</v>
      </c>
      <c r="P29" s="1">
        <v>0</v>
      </c>
      <c r="Q29" s="1">
        <f>IF(P29 + Q28 &lt; 0, P29 + Q28, 0)</f>
        <v>0</v>
      </c>
      <c r="R29" s="1">
        <v>0</v>
      </c>
      <c r="S29" s="1">
        <f>IF(R29 + S28 &lt; 0, R29 + S28, 0)</f>
        <v>0</v>
      </c>
      <c r="T29" s="1">
        <v>0</v>
      </c>
      <c r="U29" s="1">
        <f>IF(T29 + U28 &lt; 0, T29 + U28, 0)</f>
        <v>0</v>
      </c>
      <c r="V29" s="1">
        <v>0</v>
      </c>
      <c r="W29" s="1">
        <f>IF(V29 + W28 &lt; 0, V29 + W28, 0)</f>
        <v>0</v>
      </c>
      <c r="X29" s="1">
        <v>0</v>
      </c>
      <c r="Y29" s="1">
        <f>IF(X29 + Y28 &lt; 0, X29 + Y28, 0)</f>
        <v>0</v>
      </c>
      <c r="Z29" s="1">
        <v>-56924.34367924443</v>
      </c>
      <c r="AA29" s="1">
        <f>IF(Z29 + AA28 &lt; 0, Z29 + AA28, 0)</f>
        <v>0</v>
      </c>
      <c r="AB29" s="1">
        <v>366037.1978806279</v>
      </c>
      <c r="AC29" s="1">
        <f>IF(AB29 + AC28 &lt; 0, AB29 + AC28, 0)</f>
        <v>0</v>
      </c>
      <c r="AD29" s="1">
        <v>413548.8520275692</v>
      </c>
      <c r="AE29" s="1">
        <f>IF(AD29 + AE28 &lt; 0, AD29 + AE28, 0)</f>
        <v>0</v>
      </c>
      <c r="AF29" s="1">
        <v>0</v>
      </c>
      <c r="AG29" s="1">
        <f>IF(AF29 + AG28 &lt; 0, AF29 + AG28, 0)</f>
        <v>0</v>
      </c>
      <c r="AH29" s="1">
        <v>0</v>
      </c>
      <c r="AI29" s="1">
        <f>IF(AH29 + AI28 &lt; 0, AH29 + AI28, 0)</f>
        <v>0</v>
      </c>
      <c r="AJ29" s="1">
        <v>0</v>
      </c>
      <c r="AK29" s="1">
        <f>IF(AJ29 + AK28 &lt; 0, AJ29 + AK28, 0)</f>
        <v>0</v>
      </c>
    </row>
    <row r="30" spans="1:37" s="1" customFormat="1">
      <c r="A30" s="3">
        <v>45331</v>
      </c>
      <c r="B30" s="2" t="s">
        <v>26</v>
      </c>
      <c r="C30" s="2">
        <v>15</v>
      </c>
      <c r="D30" s="2">
        <v>13</v>
      </c>
      <c r="E30" s="2">
        <v>12</v>
      </c>
      <c r="F30" s="2">
        <v>5</v>
      </c>
      <c r="G30" s="2">
        <v>1</v>
      </c>
      <c r="H30" s="1">
        <v>0</v>
      </c>
      <c r="I30" s="1">
        <f>IF(H30 + I29 &lt; 0, H30 + I29, 0)</f>
        <v>0</v>
      </c>
      <c r="J30" s="1">
        <v>0</v>
      </c>
      <c r="K30" s="1">
        <f>IF(J30 + K29 &lt; 0, J30 + K29, 0)</f>
        <v>0</v>
      </c>
      <c r="L30" s="1">
        <v>0</v>
      </c>
      <c r="M30" s="1">
        <f>IF(L30 + M29 &lt; 0, L30 + M29, 0)</f>
        <v>0</v>
      </c>
      <c r="N30" s="1">
        <v>0</v>
      </c>
      <c r="O30" s="1">
        <f>IF(N30 + O29 &lt; 0, N30 + O29, 0)</f>
        <v>0</v>
      </c>
      <c r="P30" s="1">
        <v>0</v>
      </c>
      <c r="Q30" s="1">
        <f>IF(P30 + Q29 &lt; 0, P30 + Q29, 0)</f>
        <v>0</v>
      </c>
      <c r="R30" s="1">
        <v>0</v>
      </c>
      <c r="S30" s="1">
        <f>IF(R30 + S29 &lt; 0, R30 + S29, 0)</f>
        <v>0</v>
      </c>
      <c r="T30" s="1">
        <v>0</v>
      </c>
      <c r="U30" s="1">
        <f>IF(T30 + U29 &lt; 0, T30 + U29, 0)</f>
        <v>0</v>
      </c>
      <c r="V30" s="1">
        <v>0</v>
      </c>
      <c r="W30" s="1">
        <f>IF(V30 + W29 &lt; 0, V30 + W29, 0)</f>
        <v>0</v>
      </c>
      <c r="X30" s="1">
        <v>0</v>
      </c>
      <c r="Y30" s="1">
        <f>IF(X30 + Y29 &lt; 0, X30 + Y29, 0)</f>
        <v>0</v>
      </c>
      <c r="Z30" s="1">
        <v>0</v>
      </c>
      <c r="AA30" s="1">
        <f>IF(Z30 + AA29 &lt; 0, Z30 + AA29, 0)</f>
        <v>0</v>
      </c>
      <c r="AB30" s="1">
        <v>0</v>
      </c>
      <c r="AC30" s="1">
        <f>IF(AB30 + AC29 &lt; 0, AB30 + AC29, 0)</f>
        <v>0</v>
      </c>
      <c r="AD30" s="1">
        <v>0</v>
      </c>
      <c r="AE30" s="1">
        <f>IF(AD30 + AE29 &lt; 0, AD30 + AE29, 0)</f>
        <v>0</v>
      </c>
      <c r="AF30" s="1">
        <v>1198871.139775554</v>
      </c>
      <c r="AG30" s="1">
        <f>IF(AF30 + AG29 &lt; 0, AF30 + AG29, 0)</f>
        <v>0</v>
      </c>
      <c r="AH30" s="1">
        <v>1101110.117397019</v>
      </c>
      <c r="AI30" s="1">
        <f>IF(AH30 + AI29 &lt; 0, AH30 + AI29, 0)</f>
        <v>0</v>
      </c>
      <c r="AJ30" s="1">
        <v>716000.0312636311</v>
      </c>
      <c r="AK30" s="1">
        <f>IF(AJ30 + AK29 &lt; 0, AJ30 + AK29, 0)</f>
        <v>0</v>
      </c>
    </row>
    <row r="31" spans="1:37" s="1" customFormat="1">
      <c r="A31" s="3">
        <v>45334</v>
      </c>
      <c r="B31" s="2" t="s">
        <v>22</v>
      </c>
      <c r="C31" s="2">
        <v>14</v>
      </c>
      <c r="D31" s="2">
        <v>12</v>
      </c>
      <c r="E31" s="2">
        <v>11</v>
      </c>
      <c r="F31" s="2">
        <v>4</v>
      </c>
      <c r="G31" s="2">
        <v>5</v>
      </c>
      <c r="H31" s="1">
        <v>0</v>
      </c>
      <c r="I31" s="1">
        <f>IF(H31 + I30 &lt; 0, H31 + I30, 0)</f>
        <v>0</v>
      </c>
      <c r="J31" s="1">
        <v>0</v>
      </c>
      <c r="K31" s="1">
        <f>IF(J31 + K30 &lt; 0, J31 + K30, 0)</f>
        <v>0</v>
      </c>
      <c r="L31" s="1">
        <v>0</v>
      </c>
      <c r="M31" s="1">
        <f>IF(L31 + M30 &lt; 0, L31 + M30, 0)</f>
        <v>0</v>
      </c>
      <c r="N31" s="1">
        <v>0</v>
      </c>
      <c r="O31" s="1">
        <f>IF(N31 + O30 &lt; 0, N31 + O30, 0)</f>
        <v>0</v>
      </c>
      <c r="P31" s="1">
        <v>0</v>
      </c>
      <c r="Q31" s="1">
        <f>IF(P31 + Q30 &lt; 0, P31 + Q30, 0)</f>
        <v>0</v>
      </c>
      <c r="R31" s="1">
        <v>0</v>
      </c>
      <c r="S31" s="1">
        <f>IF(R31 + S30 &lt; 0, R31 + S30, 0)</f>
        <v>0</v>
      </c>
      <c r="T31" s="1">
        <v>0</v>
      </c>
      <c r="U31" s="1">
        <f>IF(T31 + U30 &lt; 0, T31 + U30, 0)</f>
        <v>0</v>
      </c>
      <c r="V31" s="1">
        <v>0</v>
      </c>
      <c r="W31" s="1">
        <f>IF(V31 + W30 &lt; 0, V31 + W30, 0)</f>
        <v>0</v>
      </c>
      <c r="X31" s="1">
        <v>0</v>
      </c>
      <c r="Y31" s="1">
        <f>IF(X31 + Y30 &lt; 0, X31 + Y30, 0)</f>
        <v>0</v>
      </c>
      <c r="Z31" s="1">
        <v>0</v>
      </c>
      <c r="AA31" s="1">
        <f>IF(Z31 + AA30 &lt; 0, Z31 + AA30, 0)</f>
        <v>0</v>
      </c>
      <c r="AB31" s="1">
        <v>0</v>
      </c>
      <c r="AC31" s="1">
        <f>IF(AB31 + AC30 &lt; 0, AB31 + AC30, 0)</f>
        <v>0</v>
      </c>
      <c r="AD31" s="1">
        <v>0</v>
      </c>
      <c r="AE31" s="1">
        <f>IF(AD31 + AE30 &lt; 0, AD31 + AE30, 0)</f>
        <v>0</v>
      </c>
      <c r="AF31" s="1">
        <v>0</v>
      </c>
      <c r="AG31" s="1">
        <f>IF(AF31 + AG30 &lt; 0, AF31 + AG30, 0)</f>
        <v>0</v>
      </c>
      <c r="AH31" s="1">
        <v>0</v>
      </c>
      <c r="AI31" s="1">
        <f>IF(AH31 + AI30 &lt; 0, AH31 + AI30, 0)</f>
        <v>0</v>
      </c>
      <c r="AJ31" s="1">
        <v>0</v>
      </c>
      <c r="AK31" s="1">
        <f>IF(AJ31 + AK30 &lt; 0, AJ31 + AK30, 0)</f>
        <v>0</v>
      </c>
    </row>
    <row r="32" spans="1:37" s="1" customFormat="1">
      <c r="A32" s="3">
        <v>45335</v>
      </c>
      <c r="B32" s="2" t="s">
        <v>23</v>
      </c>
      <c r="C32" s="2">
        <v>13</v>
      </c>
      <c r="D32" s="2">
        <v>11</v>
      </c>
      <c r="E32" s="2">
        <v>10</v>
      </c>
      <c r="F32" s="2">
        <v>3</v>
      </c>
      <c r="G32" s="2">
        <v>4</v>
      </c>
      <c r="H32" s="1">
        <v>0</v>
      </c>
      <c r="I32" s="1">
        <f>IF(H32 + I31 &lt; 0, H32 + I31, 0)</f>
        <v>0</v>
      </c>
      <c r="J32" s="1">
        <v>0</v>
      </c>
      <c r="K32" s="1">
        <f>IF(J32 + K31 &lt; 0, J32 + K31, 0)</f>
        <v>0</v>
      </c>
      <c r="L32" s="1">
        <v>0</v>
      </c>
      <c r="M32" s="1">
        <f>IF(L32 + M31 &lt; 0, L32 + M31, 0)</f>
        <v>0</v>
      </c>
      <c r="N32" s="1">
        <v>0</v>
      </c>
      <c r="O32" s="1">
        <f>IF(N32 + O31 &lt; 0, N32 + O31, 0)</f>
        <v>0</v>
      </c>
      <c r="P32" s="1">
        <v>0</v>
      </c>
      <c r="Q32" s="1">
        <f>IF(P32 + Q31 &lt; 0, P32 + Q31, 0)</f>
        <v>0</v>
      </c>
      <c r="R32" s="1">
        <v>0</v>
      </c>
      <c r="S32" s="1">
        <f>IF(R32 + S31 &lt; 0, R32 + S31, 0)</f>
        <v>0</v>
      </c>
      <c r="T32" s="1">
        <v>0</v>
      </c>
      <c r="U32" s="1">
        <f>IF(T32 + U31 &lt; 0, T32 + U31, 0)</f>
        <v>0</v>
      </c>
      <c r="V32" s="1">
        <v>0</v>
      </c>
      <c r="W32" s="1">
        <f>IF(V32 + W31 &lt; 0, V32 + W31, 0)</f>
        <v>0</v>
      </c>
      <c r="X32" s="1">
        <v>0</v>
      </c>
      <c r="Y32" s="1">
        <f>IF(X32 + Y31 &lt; 0, X32 + Y31, 0)</f>
        <v>0</v>
      </c>
      <c r="Z32" s="1">
        <v>0</v>
      </c>
      <c r="AA32" s="1">
        <f>IF(Z32 + AA31 &lt; 0, Z32 + AA31, 0)</f>
        <v>0</v>
      </c>
      <c r="AB32" s="1">
        <v>0</v>
      </c>
      <c r="AC32" s="1">
        <f>IF(AB32 + AC31 &lt; 0, AB32 + AC31, 0)</f>
        <v>0</v>
      </c>
      <c r="AD32" s="1">
        <v>0</v>
      </c>
      <c r="AE32" s="1">
        <f>IF(AD32 + AE31 &lt; 0, AD32 + AE31, 0)</f>
        <v>0</v>
      </c>
      <c r="AF32" s="1">
        <v>0</v>
      </c>
      <c r="AG32" s="1">
        <f>IF(AF32 + AG31 &lt; 0, AF32 + AG31, 0)</f>
        <v>0</v>
      </c>
      <c r="AH32" s="1">
        <v>0</v>
      </c>
      <c r="AI32" s="1">
        <f>IF(AH32 + AI31 &lt; 0, AH32 + AI31, 0)</f>
        <v>0</v>
      </c>
      <c r="AJ32" s="1">
        <v>0</v>
      </c>
      <c r="AK32" s="1">
        <f>IF(AJ32 + AK31 &lt; 0, AJ32 + AK31, 0)</f>
        <v>0</v>
      </c>
    </row>
    <row r="33" spans="1:37" s="1" customFormat="1">
      <c r="A33" s="3">
        <v>45336</v>
      </c>
      <c r="B33" s="2" t="s">
        <v>24</v>
      </c>
      <c r="C33" s="2">
        <v>12</v>
      </c>
      <c r="D33" s="2">
        <v>10</v>
      </c>
      <c r="E33" s="2">
        <v>9</v>
      </c>
      <c r="F33" s="2">
        <v>2</v>
      </c>
      <c r="G33" s="2">
        <v>3</v>
      </c>
      <c r="H33" s="1">
        <v>0</v>
      </c>
      <c r="I33" s="1">
        <f>IF(H33 + I32 &lt; 0, H33 + I32, 0)</f>
        <v>0</v>
      </c>
      <c r="J33" s="1">
        <v>0</v>
      </c>
      <c r="K33" s="1">
        <f>IF(J33 + K32 &lt; 0, J33 + K32, 0)</f>
        <v>0</v>
      </c>
      <c r="L33" s="1">
        <v>0</v>
      </c>
      <c r="M33" s="1">
        <f>IF(L33 + M32 &lt; 0, L33 + M32, 0)</f>
        <v>0</v>
      </c>
      <c r="N33" s="1">
        <v>0</v>
      </c>
      <c r="O33" s="1">
        <f>IF(N33 + O32 &lt; 0, N33 + O32, 0)</f>
        <v>0</v>
      </c>
      <c r="P33" s="1">
        <v>0</v>
      </c>
      <c r="Q33" s="1">
        <f>IF(P33 + Q32 &lt; 0, P33 + Q32, 0)</f>
        <v>0</v>
      </c>
      <c r="R33" s="1">
        <v>0</v>
      </c>
      <c r="S33" s="1">
        <f>IF(R33 + S32 &lt; 0, R33 + S32, 0)</f>
        <v>0</v>
      </c>
      <c r="T33" s="1">
        <v>0</v>
      </c>
      <c r="U33" s="1">
        <f>IF(T33 + U32 &lt; 0, T33 + U32, 0)</f>
        <v>0</v>
      </c>
      <c r="V33" s="1">
        <v>0</v>
      </c>
      <c r="W33" s="1">
        <f>IF(V33 + W32 &lt; 0, V33 + W32, 0)</f>
        <v>0</v>
      </c>
      <c r="X33" s="1">
        <v>0</v>
      </c>
      <c r="Y33" s="1">
        <f>IF(X33 + Y32 &lt; 0, X33 + Y32, 0)</f>
        <v>0</v>
      </c>
      <c r="Z33" s="1">
        <v>0</v>
      </c>
      <c r="AA33" s="1">
        <f>IF(Z33 + AA32 &lt; 0, Z33 + AA32, 0)</f>
        <v>0</v>
      </c>
      <c r="AB33" s="1">
        <v>0</v>
      </c>
      <c r="AC33" s="1">
        <f>IF(AB33 + AC32 &lt; 0, AB33 + AC32, 0)</f>
        <v>0</v>
      </c>
      <c r="AD33" s="1">
        <v>0</v>
      </c>
      <c r="AE33" s="1">
        <f>IF(AD33 + AE32 &lt; 0, AD33 + AE32, 0)</f>
        <v>0</v>
      </c>
      <c r="AF33" s="1">
        <v>0</v>
      </c>
      <c r="AG33" s="1">
        <f>IF(AF33 + AG32 &lt; 0, AF33 + AG32, 0)</f>
        <v>0</v>
      </c>
      <c r="AH33" s="1">
        <v>0</v>
      </c>
      <c r="AI33" s="1">
        <f>IF(AH33 + AI32 &lt; 0, AH33 + AI32, 0)</f>
        <v>0</v>
      </c>
      <c r="AJ33" s="1">
        <v>0</v>
      </c>
      <c r="AK33" s="1">
        <f>IF(AJ33 + AK32 &lt; 0, AJ33 + AK32, 0)</f>
        <v>0</v>
      </c>
    </row>
    <row r="34" spans="1:37" s="1" customFormat="1">
      <c r="A34" s="3">
        <v>45337</v>
      </c>
      <c r="B34" s="2" t="s">
        <v>25</v>
      </c>
      <c r="C34" s="2">
        <v>11</v>
      </c>
      <c r="D34" s="2">
        <v>9</v>
      </c>
      <c r="E34" s="2">
        <v>8</v>
      </c>
      <c r="F34" s="2">
        <v>1</v>
      </c>
      <c r="G34" s="2">
        <v>2</v>
      </c>
      <c r="H34" s="1">
        <v>0</v>
      </c>
      <c r="I34" s="1">
        <f>IF(H34 + I33 &lt; 0, H34 + I33, 0)</f>
        <v>0</v>
      </c>
      <c r="J34" s="1">
        <v>0</v>
      </c>
      <c r="K34" s="1">
        <f>IF(J34 + K33 &lt; 0, J34 + K33, 0)</f>
        <v>0</v>
      </c>
      <c r="L34" s="1">
        <v>0</v>
      </c>
      <c r="M34" s="1">
        <f>IF(L34 + M33 &lt; 0, L34 + M33, 0)</f>
        <v>0</v>
      </c>
      <c r="N34" s="1">
        <v>0</v>
      </c>
      <c r="O34" s="1">
        <f>IF(N34 + O33 &lt; 0, N34 + O33, 0)</f>
        <v>0</v>
      </c>
      <c r="P34" s="1">
        <v>0</v>
      </c>
      <c r="Q34" s="1">
        <f>IF(P34 + Q33 &lt; 0, P34 + Q33, 0)</f>
        <v>0</v>
      </c>
      <c r="R34" s="1">
        <v>0</v>
      </c>
      <c r="S34" s="1">
        <f>IF(R34 + S33 &lt; 0, R34 + S33, 0)</f>
        <v>0</v>
      </c>
      <c r="T34" s="1">
        <v>0</v>
      </c>
      <c r="U34" s="1">
        <f>IF(T34 + U33 &lt; 0, T34 + U33, 0)</f>
        <v>0</v>
      </c>
      <c r="V34" s="1">
        <v>0</v>
      </c>
      <c r="W34" s="1">
        <f>IF(V34 + W33 &lt; 0, V34 + W33, 0)</f>
        <v>0</v>
      </c>
      <c r="X34" s="1">
        <v>0</v>
      </c>
      <c r="Y34" s="1">
        <f>IF(X34 + Y33 &lt; 0, X34 + Y33, 0)</f>
        <v>0</v>
      </c>
      <c r="Z34" s="1">
        <v>864211.7011133811</v>
      </c>
      <c r="AA34" s="1">
        <f>IF(Z34 + AA33 &lt; 0, Z34 + AA33, 0)</f>
        <v>0</v>
      </c>
      <c r="AB34" s="1">
        <v>631173.6732432842</v>
      </c>
      <c r="AC34" s="1">
        <f>IF(AB34 + AC33 &lt; 0, AB34 + AC33, 0)</f>
        <v>0</v>
      </c>
      <c r="AD34" s="1">
        <v>329061.3315241523</v>
      </c>
      <c r="AE34" s="1">
        <f>IF(AD34 + AE33 &lt; 0, AD34 + AE33, 0)</f>
        <v>0</v>
      </c>
      <c r="AF34" s="1">
        <v>0</v>
      </c>
      <c r="AG34" s="1">
        <f>IF(AF34 + AG33 &lt; 0, AF34 + AG33, 0)</f>
        <v>0</v>
      </c>
      <c r="AH34" s="1">
        <v>0</v>
      </c>
      <c r="AI34" s="1">
        <f>IF(AH34 + AI33 &lt; 0, AH34 + AI33, 0)</f>
        <v>0</v>
      </c>
      <c r="AJ34" s="1">
        <v>0</v>
      </c>
      <c r="AK34" s="1">
        <f>IF(AJ34 + AK33 &lt; 0, AJ34 + AK33, 0)</f>
        <v>0</v>
      </c>
    </row>
    <row r="35" spans="1:37" s="1" customFormat="1">
      <c r="A35" s="3">
        <v>45338</v>
      </c>
      <c r="B35" s="2" t="s">
        <v>26</v>
      </c>
      <c r="C35" s="2">
        <v>10</v>
      </c>
      <c r="D35" s="2">
        <v>8</v>
      </c>
      <c r="E35" s="2">
        <v>7</v>
      </c>
      <c r="F35" s="2">
        <v>5</v>
      </c>
      <c r="G35" s="2">
        <v>1</v>
      </c>
      <c r="H35" s="1">
        <v>0</v>
      </c>
      <c r="I35" s="1">
        <f>IF(H35 + I34 &lt; 0, H35 + I34, 0)</f>
        <v>0</v>
      </c>
      <c r="J35" s="1">
        <v>0</v>
      </c>
      <c r="K35" s="1">
        <f>IF(J35 + K34 &lt; 0, J35 + K34, 0)</f>
        <v>0</v>
      </c>
      <c r="L35" s="1">
        <v>0</v>
      </c>
      <c r="M35" s="1">
        <f>IF(L35 + M34 &lt; 0, L35 + M34, 0)</f>
        <v>0</v>
      </c>
      <c r="N35" s="1">
        <v>0</v>
      </c>
      <c r="O35" s="1">
        <f>IF(N35 + O34 &lt; 0, N35 + O34, 0)</f>
        <v>0</v>
      </c>
      <c r="P35" s="1">
        <v>0</v>
      </c>
      <c r="Q35" s="1">
        <f>IF(P35 + Q34 &lt; 0, P35 + Q34, 0)</f>
        <v>0</v>
      </c>
      <c r="R35" s="1">
        <v>0</v>
      </c>
      <c r="S35" s="1">
        <f>IF(R35 + S34 &lt; 0, R35 + S34, 0)</f>
        <v>0</v>
      </c>
      <c r="T35" s="1">
        <v>0</v>
      </c>
      <c r="U35" s="1">
        <f>IF(T35 + U34 &lt; 0, T35 + U34, 0)</f>
        <v>0</v>
      </c>
      <c r="V35" s="1">
        <v>0</v>
      </c>
      <c r="W35" s="1">
        <f>IF(V35 + W34 &lt; 0, V35 + W34, 0)</f>
        <v>0</v>
      </c>
      <c r="X35" s="1">
        <v>0</v>
      </c>
      <c r="Y35" s="1">
        <f>IF(X35 + Y34 &lt; 0, X35 + Y34, 0)</f>
        <v>0</v>
      </c>
      <c r="Z35" s="1">
        <v>0</v>
      </c>
      <c r="AA35" s="1">
        <f>IF(Z35 + AA34 &lt; 0, Z35 + AA34, 0)</f>
        <v>0</v>
      </c>
      <c r="AB35" s="1">
        <v>0</v>
      </c>
      <c r="AC35" s="1">
        <f>IF(AB35 + AC34 &lt; 0, AB35 + AC34, 0)</f>
        <v>0</v>
      </c>
      <c r="AD35" s="1">
        <v>0</v>
      </c>
      <c r="AE35" s="1">
        <f>IF(AD35 + AE34 &lt; 0, AD35 + AE34, 0)</f>
        <v>0</v>
      </c>
      <c r="AF35" s="1">
        <v>1017128.853508844</v>
      </c>
      <c r="AG35" s="1">
        <f>IF(AF35 + AG34 &lt; 0, AF35 + AG34, 0)</f>
        <v>0</v>
      </c>
      <c r="AH35" s="1">
        <v>889798.908155054</v>
      </c>
      <c r="AI35" s="1">
        <f>IF(AH35 + AI34 &lt; 0, AH35 + AI34, 0)</f>
        <v>0</v>
      </c>
      <c r="AJ35" s="1">
        <v>466914.7044878934</v>
      </c>
      <c r="AK35" s="1">
        <f>IF(AJ35 + AK34 &lt; 0, AJ35 + AK34, 0)</f>
        <v>0</v>
      </c>
    </row>
    <row r="36" spans="1:37" s="1" customFormat="1">
      <c r="A36" s="3">
        <v>45341</v>
      </c>
      <c r="B36" s="2" t="s">
        <v>22</v>
      </c>
      <c r="C36" s="2">
        <v>9</v>
      </c>
      <c r="D36" s="2">
        <v>7</v>
      </c>
      <c r="E36" s="2">
        <v>6</v>
      </c>
      <c r="F36" s="2">
        <v>4</v>
      </c>
      <c r="G36" s="2">
        <v>5</v>
      </c>
      <c r="H36" s="1">
        <v>0</v>
      </c>
      <c r="I36" s="1">
        <f>IF(H36 + I35 &lt; 0, H36 + I35, 0)</f>
        <v>0</v>
      </c>
      <c r="J36" s="1">
        <v>0</v>
      </c>
      <c r="K36" s="1">
        <f>IF(J36 + K35 &lt; 0, J36 + K35, 0)</f>
        <v>0</v>
      </c>
      <c r="L36" s="1">
        <v>0</v>
      </c>
      <c r="M36" s="1">
        <f>IF(L36 + M35 &lt; 0, L36 + M35, 0)</f>
        <v>0</v>
      </c>
      <c r="N36" s="1">
        <v>0</v>
      </c>
      <c r="O36" s="1">
        <f>IF(N36 + O35 &lt; 0, N36 + O35, 0)</f>
        <v>0</v>
      </c>
      <c r="P36" s="1">
        <v>0</v>
      </c>
      <c r="Q36" s="1">
        <f>IF(P36 + Q35 &lt; 0, P36 + Q35, 0)</f>
        <v>0</v>
      </c>
      <c r="R36" s="1">
        <v>0</v>
      </c>
      <c r="S36" s="1">
        <f>IF(R36 + S35 &lt; 0, R36 + S35, 0)</f>
        <v>0</v>
      </c>
      <c r="T36" s="1">
        <v>0</v>
      </c>
      <c r="U36" s="1">
        <f>IF(T36 + U35 &lt; 0, T36 + U35, 0)</f>
        <v>0</v>
      </c>
      <c r="V36" s="1">
        <v>0</v>
      </c>
      <c r="W36" s="1">
        <f>IF(V36 + W35 &lt; 0, V36 + W35, 0)</f>
        <v>0</v>
      </c>
      <c r="X36" s="1">
        <v>0</v>
      </c>
      <c r="Y36" s="1">
        <f>IF(X36 + Y35 &lt; 0, X36 + Y35, 0)</f>
        <v>0</v>
      </c>
      <c r="Z36" s="1">
        <v>0</v>
      </c>
      <c r="AA36" s="1">
        <f>IF(Z36 + AA35 &lt; 0, Z36 + AA35, 0)</f>
        <v>0</v>
      </c>
      <c r="AB36" s="1">
        <v>0</v>
      </c>
      <c r="AC36" s="1">
        <f>IF(AB36 + AC35 &lt; 0, AB36 + AC35, 0)</f>
        <v>0</v>
      </c>
      <c r="AD36" s="1">
        <v>0</v>
      </c>
      <c r="AE36" s="1">
        <f>IF(AD36 + AE35 &lt; 0, AD36 + AE35, 0)</f>
        <v>0</v>
      </c>
      <c r="AF36" s="1">
        <v>0</v>
      </c>
      <c r="AG36" s="1">
        <f>IF(AF36 + AG35 &lt; 0, AF36 + AG35, 0)</f>
        <v>0</v>
      </c>
      <c r="AH36" s="1">
        <v>0</v>
      </c>
      <c r="AI36" s="1">
        <f>IF(AH36 + AI35 &lt; 0, AH36 + AI35, 0)</f>
        <v>0</v>
      </c>
      <c r="AJ36" s="1">
        <v>0</v>
      </c>
      <c r="AK36" s="1">
        <f>IF(AJ36 + AK35 &lt; 0, AJ36 + AK35, 0)</f>
        <v>0</v>
      </c>
    </row>
    <row r="37" spans="1:37" s="1" customFormat="1">
      <c r="A37" s="3">
        <v>45342</v>
      </c>
      <c r="B37" s="2" t="s">
        <v>23</v>
      </c>
      <c r="C37" s="2">
        <v>8</v>
      </c>
      <c r="D37" s="2">
        <v>6</v>
      </c>
      <c r="E37" s="2">
        <v>5</v>
      </c>
      <c r="F37" s="2">
        <v>3</v>
      </c>
      <c r="G37" s="2">
        <v>4</v>
      </c>
      <c r="H37" s="1">
        <v>0</v>
      </c>
      <c r="I37" s="1">
        <f>IF(H37 + I36 &lt; 0, H37 + I36, 0)</f>
        <v>0</v>
      </c>
      <c r="J37" s="1">
        <v>0</v>
      </c>
      <c r="K37" s="1">
        <f>IF(J37 + K36 &lt; 0, J37 + K36, 0)</f>
        <v>0</v>
      </c>
      <c r="L37" s="1">
        <v>0</v>
      </c>
      <c r="M37" s="1">
        <f>IF(L37 + M36 &lt; 0, L37 + M36, 0)</f>
        <v>0</v>
      </c>
      <c r="N37" s="1">
        <v>0</v>
      </c>
      <c r="O37" s="1">
        <f>IF(N37 + O36 &lt; 0, N37 + O36, 0)</f>
        <v>0</v>
      </c>
      <c r="P37" s="1">
        <v>0</v>
      </c>
      <c r="Q37" s="1">
        <f>IF(P37 + Q36 &lt; 0, P37 + Q36, 0)</f>
        <v>0</v>
      </c>
      <c r="R37" s="1">
        <v>0</v>
      </c>
      <c r="S37" s="1">
        <f>IF(R37 + S36 &lt; 0, R37 + S36, 0)</f>
        <v>0</v>
      </c>
      <c r="T37" s="1">
        <v>0</v>
      </c>
      <c r="U37" s="1">
        <f>IF(T37 + U36 &lt; 0, T37 + U36, 0)</f>
        <v>0</v>
      </c>
      <c r="V37" s="1">
        <v>0</v>
      </c>
      <c r="W37" s="1">
        <f>IF(V37 + W36 &lt; 0, V37 + W36, 0)</f>
        <v>0</v>
      </c>
      <c r="X37" s="1">
        <v>0</v>
      </c>
      <c r="Y37" s="1">
        <f>IF(X37 + Y36 &lt; 0, X37 + Y36, 0)</f>
        <v>0</v>
      </c>
      <c r="Z37" s="1">
        <v>0</v>
      </c>
      <c r="AA37" s="1">
        <f>IF(Z37 + AA36 &lt; 0, Z37 + AA36, 0)</f>
        <v>0</v>
      </c>
      <c r="AB37" s="1">
        <v>0</v>
      </c>
      <c r="AC37" s="1">
        <f>IF(AB37 + AC36 &lt; 0, AB37 + AC36, 0)</f>
        <v>0</v>
      </c>
      <c r="AD37" s="1">
        <v>0</v>
      </c>
      <c r="AE37" s="1">
        <f>IF(AD37 + AE36 &lt; 0, AD37 + AE36, 0)</f>
        <v>0</v>
      </c>
      <c r="AF37" s="1">
        <v>0</v>
      </c>
      <c r="AG37" s="1">
        <f>IF(AF37 + AG36 &lt; 0, AF37 + AG36, 0)</f>
        <v>0</v>
      </c>
      <c r="AH37" s="1">
        <v>0</v>
      </c>
      <c r="AI37" s="1">
        <f>IF(AH37 + AI36 &lt; 0, AH37 + AI36, 0)</f>
        <v>0</v>
      </c>
      <c r="AJ37" s="1">
        <v>0</v>
      </c>
      <c r="AK37" s="1">
        <f>IF(AJ37 + AK36 &lt; 0, AJ37 + AK36, 0)</f>
        <v>0</v>
      </c>
    </row>
    <row r="38" spans="1:37" s="1" customFormat="1">
      <c r="A38" s="3">
        <v>45343</v>
      </c>
      <c r="B38" s="2" t="s">
        <v>24</v>
      </c>
      <c r="C38" s="2">
        <v>7</v>
      </c>
      <c r="D38" s="2">
        <v>5</v>
      </c>
      <c r="E38" s="2">
        <v>4</v>
      </c>
      <c r="F38" s="2">
        <v>2</v>
      </c>
      <c r="G38" s="2">
        <v>3</v>
      </c>
      <c r="H38" s="1">
        <v>0</v>
      </c>
      <c r="I38" s="1">
        <f>IF(H38 + I37 &lt; 0, H38 + I37, 0)</f>
        <v>0</v>
      </c>
      <c r="J38" s="1">
        <v>0</v>
      </c>
      <c r="K38" s="1">
        <f>IF(J38 + K37 &lt; 0, J38 + K37, 0)</f>
        <v>0</v>
      </c>
      <c r="L38" s="1">
        <v>0</v>
      </c>
      <c r="M38" s="1">
        <f>IF(L38 + M37 &lt; 0, L38 + M37, 0)</f>
        <v>0</v>
      </c>
      <c r="N38" s="1">
        <v>0</v>
      </c>
      <c r="O38" s="1">
        <f>IF(N38 + O37 &lt; 0, N38 + O37, 0)</f>
        <v>0</v>
      </c>
      <c r="P38" s="1">
        <v>0</v>
      </c>
      <c r="Q38" s="1">
        <f>IF(P38 + Q37 &lt; 0, P38 + Q37, 0)</f>
        <v>0</v>
      </c>
      <c r="R38" s="1">
        <v>0</v>
      </c>
      <c r="S38" s="1">
        <f>IF(R38 + S37 &lt; 0, R38 + S37, 0)</f>
        <v>0</v>
      </c>
      <c r="T38" s="1">
        <v>0</v>
      </c>
      <c r="U38" s="1">
        <f>IF(T38 + U37 &lt; 0, T38 + U37, 0)</f>
        <v>0</v>
      </c>
      <c r="V38" s="1">
        <v>0</v>
      </c>
      <c r="W38" s="1">
        <f>IF(V38 + W37 &lt; 0, V38 + W37, 0)</f>
        <v>0</v>
      </c>
      <c r="X38" s="1">
        <v>0</v>
      </c>
      <c r="Y38" s="1">
        <f>IF(X38 + Y37 &lt; 0, X38 + Y37, 0)</f>
        <v>0</v>
      </c>
      <c r="Z38" s="1">
        <v>0</v>
      </c>
      <c r="AA38" s="1">
        <f>IF(Z38 + AA37 &lt; 0, Z38 + AA37, 0)</f>
        <v>0</v>
      </c>
      <c r="AB38" s="1">
        <v>0</v>
      </c>
      <c r="AC38" s="1">
        <f>IF(AB38 + AC37 &lt; 0, AB38 + AC37, 0)</f>
        <v>0</v>
      </c>
      <c r="AD38" s="1">
        <v>0</v>
      </c>
      <c r="AE38" s="1">
        <f>IF(AD38 + AE37 &lt; 0, AD38 + AE37, 0)</f>
        <v>0</v>
      </c>
      <c r="AF38" s="1">
        <v>0</v>
      </c>
      <c r="AG38" s="1">
        <f>IF(AF38 + AG37 &lt; 0, AF38 + AG37, 0)</f>
        <v>0</v>
      </c>
      <c r="AH38" s="1">
        <v>0</v>
      </c>
      <c r="AI38" s="1">
        <f>IF(AH38 + AI37 &lt; 0, AH38 + AI37, 0)</f>
        <v>0</v>
      </c>
      <c r="AJ38" s="1">
        <v>0</v>
      </c>
      <c r="AK38" s="1">
        <f>IF(AJ38 + AK37 &lt; 0, AJ38 + AK37, 0)</f>
        <v>0</v>
      </c>
    </row>
    <row r="39" spans="1:37" s="1" customFormat="1">
      <c r="A39" s="3">
        <v>45344</v>
      </c>
      <c r="B39" s="2" t="s">
        <v>25</v>
      </c>
      <c r="C39" s="2">
        <v>6</v>
      </c>
      <c r="D39" s="2">
        <v>4</v>
      </c>
      <c r="E39" s="2">
        <v>3</v>
      </c>
      <c r="F39" s="2">
        <v>1</v>
      </c>
      <c r="G39" s="2">
        <v>2</v>
      </c>
      <c r="H39" s="1">
        <v>0</v>
      </c>
      <c r="I39" s="1">
        <f>IF(H39 + I38 &lt; 0, H39 + I38, 0)</f>
        <v>0</v>
      </c>
      <c r="J39" s="1">
        <v>0</v>
      </c>
      <c r="K39" s="1">
        <f>IF(J39 + K38 &lt; 0, J39 + K38, 0)</f>
        <v>0</v>
      </c>
      <c r="L39" s="1">
        <v>0</v>
      </c>
      <c r="M39" s="1">
        <f>IF(L39 + M38 &lt; 0, L39 + M38, 0)</f>
        <v>0</v>
      </c>
      <c r="N39" s="1">
        <v>0</v>
      </c>
      <c r="O39" s="1">
        <f>IF(N39 + O38 &lt; 0, N39 + O38, 0)</f>
        <v>0</v>
      </c>
      <c r="P39" s="1">
        <v>0</v>
      </c>
      <c r="Q39" s="1">
        <f>IF(P39 + Q38 &lt; 0, P39 + Q38, 0)</f>
        <v>0</v>
      </c>
      <c r="R39" s="1">
        <v>0</v>
      </c>
      <c r="S39" s="1">
        <f>IF(R39 + S38 &lt; 0, R39 + S38, 0)</f>
        <v>0</v>
      </c>
      <c r="T39" s="1">
        <v>0</v>
      </c>
      <c r="U39" s="1">
        <f>IF(T39 + U38 &lt; 0, T39 + U38, 0)</f>
        <v>0</v>
      </c>
      <c r="V39" s="1">
        <v>0</v>
      </c>
      <c r="W39" s="1">
        <f>IF(V39 + W38 &lt; 0, V39 + W38, 0)</f>
        <v>0</v>
      </c>
      <c r="X39" s="1">
        <v>0</v>
      </c>
      <c r="Y39" s="1">
        <f>IF(X39 + Y38 &lt; 0, X39 + Y38, 0)</f>
        <v>0</v>
      </c>
      <c r="Z39" s="1">
        <v>782169.1274478581</v>
      </c>
      <c r="AA39" s="1">
        <f>IF(Z39 + AA38 &lt; 0, Z39 + AA38, 0)</f>
        <v>0</v>
      </c>
      <c r="AB39" s="1">
        <v>253860.3980170015</v>
      </c>
      <c r="AC39" s="1">
        <f>IF(AB39 + AC38 &lt; 0, AB39 + AC38, 0)</f>
        <v>0</v>
      </c>
      <c r="AD39" s="1">
        <v>145510.285253117</v>
      </c>
      <c r="AE39" s="1">
        <f>IF(AD39 + AE38 &lt; 0, AD39 + AE38, 0)</f>
        <v>0</v>
      </c>
      <c r="AF39" s="1">
        <v>0</v>
      </c>
      <c r="AG39" s="1">
        <f>IF(AF39 + AG38 &lt; 0, AF39 + AG38, 0)</f>
        <v>0</v>
      </c>
      <c r="AH39" s="1">
        <v>0</v>
      </c>
      <c r="AI39" s="1">
        <f>IF(AH39 + AI38 &lt; 0, AH39 + AI38, 0)</f>
        <v>0</v>
      </c>
      <c r="AJ39" s="1">
        <v>0</v>
      </c>
      <c r="AK39" s="1">
        <f>IF(AJ39 + AK38 &lt; 0, AJ39 + AK38, 0)</f>
        <v>0</v>
      </c>
    </row>
    <row r="40" spans="1:37" s="1" customFormat="1">
      <c r="A40" s="3">
        <v>45345</v>
      </c>
      <c r="B40" s="2" t="s">
        <v>26</v>
      </c>
      <c r="C40" s="2">
        <v>5</v>
      </c>
      <c r="D40" s="2">
        <v>3</v>
      </c>
      <c r="E40" s="2">
        <v>2</v>
      </c>
      <c r="F40" s="2">
        <v>5</v>
      </c>
      <c r="G40" s="2">
        <v>1</v>
      </c>
      <c r="H40" s="1">
        <v>0</v>
      </c>
      <c r="I40" s="1">
        <f>IF(H40 + I39 &lt; 0, H40 + I39, 0)</f>
        <v>0</v>
      </c>
      <c r="J40" s="1">
        <v>0</v>
      </c>
      <c r="K40" s="1">
        <f>IF(J40 + K39 &lt; 0, J40 + K39, 0)</f>
        <v>0</v>
      </c>
      <c r="L40" s="1">
        <v>0</v>
      </c>
      <c r="M40" s="1">
        <f>IF(L40 + M39 &lt; 0, L40 + M39, 0)</f>
        <v>0</v>
      </c>
      <c r="N40" s="1">
        <v>0</v>
      </c>
      <c r="O40" s="1">
        <f>IF(N40 + O39 &lt; 0, N40 + O39, 0)</f>
        <v>0</v>
      </c>
      <c r="P40" s="1">
        <v>0</v>
      </c>
      <c r="Q40" s="1">
        <f>IF(P40 + Q39 &lt; 0, P40 + Q39, 0)</f>
        <v>0</v>
      </c>
      <c r="R40" s="1">
        <v>0</v>
      </c>
      <c r="S40" s="1">
        <f>IF(R40 + S39 &lt; 0, R40 + S39, 0)</f>
        <v>0</v>
      </c>
      <c r="T40" s="1">
        <v>0</v>
      </c>
      <c r="U40" s="1">
        <f>IF(T40 + U39 &lt; 0, T40 + U39, 0)</f>
        <v>0</v>
      </c>
      <c r="V40" s="1">
        <v>0</v>
      </c>
      <c r="W40" s="1">
        <f>IF(V40 + W39 &lt; 0, V40 + W39, 0)</f>
        <v>0</v>
      </c>
      <c r="X40" s="1">
        <v>0</v>
      </c>
      <c r="Y40" s="1">
        <f>IF(X40 + Y39 &lt; 0, X40 + Y39, 0)</f>
        <v>0</v>
      </c>
      <c r="Z40" s="1">
        <v>0</v>
      </c>
      <c r="AA40" s="1">
        <f>IF(Z40 + AA39 &lt; 0, Z40 + AA39, 0)</f>
        <v>0</v>
      </c>
      <c r="AB40" s="1">
        <v>0</v>
      </c>
      <c r="AC40" s="1">
        <f>IF(AB40 + AC39 &lt; 0, AB40 + AC39, 0)</f>
        <v>0</v>
      </c>
      <c r="AD40" s="1">
        <v>0</v>
      </c>
      <c r="AE40" s="1">
        <f>IF(AD40 + AE39 &lt; 0, AD40 + AE39, 0)</f>
        <v>0</v>
      </c>
      <c r="AF40" s="1">
        <v>1178799.226407994</v>
      </c>
      <c r="AG40" s="1">
        <f>IF(AF40 + AG39 &lt; 0, AF40 + AG39, 0)</f>
        <v>0</v>
      </c>
      <c r="AH40" s="1">
        <v>812316.6502479204</v>
      </c>
      <c r="AI40" s="1">
        <f>IF(AH40 + AI39 &lt; 0, AH40 + AI39, 0)</f>
        <v>0</v>
      </c>
      <c r="AJ40" s="1">
        <v>252819.367257497</v>
      </c>
      <c r="AK40" s="1">
        <f>IF(AJ40 + AK39 &lt; 0, AJ40 + AK39, 0)</f>
        <v>0</v>
      </c>
    </row>
    <row r="41" spans="1:37" s="1" customFormat="1">
      <c r="A41" s="3">
        <v>45348</v>
      </c>
      <c r="B41" s="2" t="s">
        <v>22</v>
      </c>
      <c r="C41" s="2">
        <v>4</v>
      </c>
      <c r="D41" s="2">
        <v>2</v>
      </c>
      <c r="E41" s="2">
        <v>1</v>
      </c>
      <c r="F41" s="2">
        <v>4</v>
      </c>
      <c r="G41" s="2">
        <v>5</v>
      </c>
      <c r="H41" s="1">
        <v>0</v>
      </c>
      <c r="I41" s="1">
        <f>IF(H41 + I40 &lt; 0, H41 + I40, 0)</f>
        <v>0</v>
      </c>
      <c r="J41" s="1">
        <v>0</v>
      </c>
      <c r="K41" s="1">
        <f>IF(J41 + K40 &lt; 0, J41 + K40, 0)</f>
        <v>0</v>
      </c>
      <c r="L41" s="1">
        <v>0</v>
      </c>
      <c r="M41" s="1">
        <f>IF(L41 + M40 &lt; 0, L41 + M40, 0)</f>
        <v>0</v>
      </c>
      <c r="N41" s="1">
        <v>0</v>
      </c>
      <c r="O41" s="1">
        <f>IF(N41 + O40 &lt; 0, N41 + O40, 0)</f>
        <v>0</v>
      </c>
      <c r="P41" s="1">
        <v>0</v>
      </c>
      <c r="Q41" s="1">
        <f>IF(P41 + Q40 &lt; 0, P41 + Q40, 0)</f>
        <v>0</v>
      </c>
      <c r="R41" s="1">
        <v>0</v>
      </c>
      <c r="S41" s="1">
        <f>IF(R41 + S40 &lt; 0, R41 + S40, 0)</f>
        <v>0</v>
      </c>
      <c r="T41" s="1">
        <v>0</v>
      </c>
      <c r="U41" s="1">
        <f>IF(T41 + U40 &lt; 0, T41 + U40, 0)</f>
        <v>0</v>
      </c>
      <c r="V41" s="1">
        <v>0</v>
      </c>
      <c r="W41" s="1">
        <f>IF(V41 + W40 &lt; 0, V41 + W40, 0)</f>
        <v>0</v>
      </c>
      <c r="X41" s="1">
        <v>0</v>
      </c>
      <c r="Y41" s="1">
        <f>IF(X41 + Y40 &lt; 0, X41 + Y40, 0)</f>
        <v>0</v>
      </c>
      <c r="Z41" s="1">
        <v>0</v>
      </c>
      <c r="AA41" s="1">
        <f>IF(Z41 + AA40 &lt; 0, Z41 + AA40, 0)</f>
        <v>0</v>
      </c>
      <c r="AB41" s="1">
        <v>0</v>
      </c>
      <c r="AC41" s="1">
        <f>IF(AB41 + AC40 &lt; 0, AB41 + AC40, 0)</f>
        <v>0</v>
      </c>
      <c r="AD41" s="1">
        <v>0</v>
      </c>
      <c r="AE41" s="1">
        <f>IF(AD41 + AE40 &lt; 0, AD41 + AE40, 0)</f>
        <v>0</v>
      </c>
      <c r="AF41" s="1">
        <v>0</v>
      </c>
      <c r="AG41" s="1">
        <f>IF(AF41 + AG40 &lt; 0, AF41 + AG40, 0)</f>
        <v>0</v>
      </c>
      <c r="AH41" s="1">
        <v>0</v>
      </c>
      <c r="AI41" s="1">
        <f>IF(AH41 + AI40 &lt; 0, AH41 + AI40, 0)</f>
        <v>0</v>
      </c>
      <c r="AJ41" s="1">
        <v>0</v>
      </c>
      <c r="AK41" s="1">
        <f>IF(AJ41 + AK40 &lt; 0, AJ41 + AK40, 0)</f>
        <v>0</v>
      </c>
    </row>
    <row r="42" spans="1:37" s="1" customFormat="1">
      <c r="A42" s="3">
        <v>45349</v>
      </c>
      <c r="B42" s="2" t="s">
        <v>23</v>
      </c>
      <c r="C42" s="2">
        <v>3</v>
      </c>
      <c r="D42" s="2">
        <v>1</v>
      </c>
      <c r="E42" s="2">
        <v>18</v>
      </c>
      <c r="F42" s="2">
        <v>3</v>
      </c>
      <c r="G42" s="2">
        <v>4</v>
      </c>
      <c r="H42" s="1">
        <v>0</v>
      </c>
      <c r="I42" s="1">
        <f>IF(H42 + I41 &lt; 0, H42 + I41, 0)</f>
        <v>0</v>
      </c>
      <c r="J42" s="1">
        <v>0</v>
      </c>
      <c r="K42" s="1">
        <f>IF(J42 + K41 &lt; 0, J42 + K41, 0)</f>
        <v>0</v>
      </c>
      <c r="L42" s="1">
        <v>0</v>
      </c>
      <c r="M42" s="1">
        <f>IF(L42 + M41 &lt; 0, L42 + M41, 0)</f>
        <v>0</v>
      </c>
      <c r="N42" s="1">
        <v>0</v>
      </c>
      <c r="O42" s="1">
        <f>IF(N42 + O41 &lt; 0, N42 + O41, 0)</f>
        <v>0</v>
      </c>
      <c r="P42" s="1">
        <v>0</v>
      </c>
      <c r="Q42" s="1">
        <f>IF(P42 + Q41 &lt; 0, P42 + Q41, 0)</f>
        <v>0</v>
      </c>
      <c r="R42" s="1">
        <v>0</v>
      </c>
      <c r="S42" s="1">
        <f>IF(R42 + S41 &lt; 0, R42 + S41, 0)</f>
        <v>0</v>
      </c>
      <c r="T42" s="1">
        <v>0</v>
      </c>
      <c r="U42" s="1">
        <f>IF(T42 + U41 &lt; 0, T42 + U41, 0)</f>
        <v>0</v>
      </c>
      <c r="V42" s="1">
        <v>0</v>
      </c>
      <c r="W42" s="1">
        <f>IF(V42 + W41 &lt; 0, V42 + W41, 0)</f>
        <v>0</v>
      </c>
      <c r="X42" s="1">
        <v>0</v>
      </c>
      <c r="Y42" s="1">
        <f>IF(X42 + Y41 &lt; 0, X42 + Y41, 0)</f>
        <v>0</v>
      </c>
      <c r="Z42" s="1">
        <v>0</v>
      </c>
      <c r="AA42" s="1">
        <f>IF(Z42 + AA41 &lt; 0, Z42 + AA41, 0)</f>
        <v>0</v>
      </c>
      <c r="AB42" s="1">
        <v>0</v>
      </c>
      <c r="AC42" s="1">
        <f>IF(AB42 + AC41 &lt; 0, AB42 + AC41, 0)</f>
        <v>0</v>
      </c>
      <c r="AD42" s="1">
        <v>0</v>
      </c>
      <c r="AE42" s="1">
        <f>IF(AD42 + AE41 &lt; 0, AD42 + AE41, 0)</f>
        <v>0</v>
      </c>
      <c r="AF42" s="1">
        <v>0</v>
      </c>
      <c r="AG42" s="1">
        <f>IF(AF42 + AG41 &lt; 0, AF42 + AG41, 0)</f>
        <v>0</v>
      </c>
      <c r="AH42" s="1">
        <v>0</v>
      </c>
      <c r="AI42" s="1">
        <f>IF(AH42 + AI41 &lt; 0, AH42 + AI41, 0)</f>
        <v>0</v>
      </c>
      <c r="AJ42" s="1">
        <v>0</v>
      </c>
      <c r="AK42" s="1">
        <f>IF(AJ42 + AK41 &lt; 0, AJ42 + AK41, 0)</f>
        <v>0</v>
      </c>
    </row>
    <row r="43" spans="1:37" s="1" customFormat="1">
      <c r="A43" s="3">
        <v>45350</v>
      </c>
      <c r="B43" s="2" t="s">
        <v>24</v>
      </c>
      <c r="C43" s="2">
        <v>2</v>
      </c>
      <c r="D43" s="2">
        <v>18</v>
      </c>
      <c r="E43" s="2">
        <v>17</v>
      </c>
      <c r="F43" s="2">
        <v>2</v>
      </c>
      <c r="G43" s="2">
        <v>3</v>
      </c>
      <c r="H43" s="1">
        <v>0</v>
      </c>
      <c r="I43" s="1">
        <f>IF(H43 + I42 &lt; 0, H43 + I42, 0)</f>
        <v>0</v>
      </c>
      <c r="J43" s="1">
        <v>0</v>
      </c>
      <c r="K43" s="1">
        <f>IF(J43 + K42 &lt; 0, J43 + K42, 0)</f>
        <v>0</v>
      </c>
      <c r="L43" s="1">
        <v>0</v>
      </c>
      <c r="M43" s="1">
        <f>IF(L43 + M42 &lt; 0, L43 + M42, 0)</f>
        <v>0</v>
      </c>
      <c r="N43" s="1">
        <v>0</v>
      </c>
      <c r="O43" s="1">
        <f>IF(N43 + O42 &lt; 0, N43 + O42, 0)</f>
        <v>0</v>
      </c>
      <c r="P43" s="1">
        <v>0</v>
      </c>
      <c r="Q43" s="1">
        <f>IF(P43 + Q42 &lt; 0, P43 + Q42, 0)</f>
        <v>0</v>
      </c>
      <c r="R43" s="1">
        <v>0</v>
      </c>
      <c r="S43" s="1">
        <f>IF(R43 + S42 &lt; 0, R43 + S42, 0)</f>
        <v>0</v>
      </c>
      <c r="T43" s="1">
        <v>0</v>
      </c>
      <c r="U43" s="1">
        <f>IF(T43 + U42 &lt; 0, T43 + U42, 0)</f>
        <v>0</v>
      </c>
      <c r="V43" s="1">
        <v>0</v>
      </c>
      <c r="W43" s="1">
        <f>IF(V43 + W42 &lt; 0, V43 + W42, 0)</f>
        <v>0</v>
      </c>
      <c r="X43" s="1">
        <v>0</v>
      </c>
      <c r="Y43" s="1">
        <f>IF(X43 + Y42 &lt; 0, X43 + Y42, 0)</f>
        <v>0</v>
      </c>
      <c r="Z43" s="1">
        <v>0</v>
      </c>
      <c r="AA43" s="1">
        <f>IF(Z43 + AA42 &lt; 0, Z43 + AA42, 0)</f>
        <v>0</v>
      </c>
      <c r="AB43" s="1">
        <v>0</v>
      </c>
      <c r="AC43" s="1">
        <f>IF(AB43 + AC42 &lt; 0, AB43 + AC42, 0)</f>
        <v>0</v>
      </c>
      <c r="AD43" s="1">
        <v>0</v>
      </c>
      <c r="AE43" s="1">
        <f>IF(AD43 + AE42 &lt; 0, AD43 + AE42, 0)</f>
        <v>0</v>
      </c>
      <c r="AF43" s="1">
        <v>0</v>
      </c>
      <c r="AG43" s="1">
        <f>IF(AF43 + AG42 &lt; 0, AF43 + AG42, 0)</f>
        <v>0</v>
      </c>
      <c r="AH43" s="1">
        <v>0</v>
      </c>
      <c r="AI43" s="1">
        <f>IF(AH43 + AI42 &lt; 0, AH43 + AI42, 0)</f>
        <v>0</v>
      </c>
      <c r="AJ43" s="1">
        <v>0</v>
      </c>
      <c r="AK43" s="1">
        <f>IF(AJ43 + AK42 &lt; 0, AJ43 + AK42, 0)</f>
        <v>0</v>
      </c>
    </row>
    <row r="44" spans="1:37" s="1" customFormat="1">
      <c r="A44" s="3">
        <v>45351</v>
      </c>
      <c r="B44" s="2" t="s">
        <v>25</v>
      </c>
      <c r="C44" s="2">
        <v>1</v>
      </c>
      <c r="D44" s="2">
        <v>17</v>
      </c>
      <c r="E44" s="2">
        <v>16</v>
      </c>
      <c r="F44" s="2">
        <v>1</v>
      </c>
      <c r="G44" s="2">
        <v>2</v>
      </c>
      <c r="H44" s="1">
        <v>0</v>
      </c>
      <c r="I44" s="1">
        <f>IF(H44 + I43 &lt; 0, H44 + I43, 0)</f>
        <v>0</v>
      </c>
      <c r="J44" s="1">
        <v>0</v>
      </c>
      <c r="K44" s="1">
        <f>IF(J44 + K43 &lt; 0, J44 + K43, 0)</f>
        <v>0</v>
      </c>
      <c r="L44" s="1">
        <v>0</v>
      </c>
      <c r="M44" s="1">
        <f>IF(L44 + M43 &lt; 0, L44 + M43, 0)</f>
        <v>0</v>
      </c>
      <c r="N44" s="1">
        <v>0</v>
      </c>
      <c r="O44" s="1">
        <f>IF(N44 + O43 &lt; 0, N44 + O43, 0)</f>
        <v>0</v>
      </c>
      <c r="P44" s="1">
        <v>0</v>
      </c>
      <c r="Q44" s="1">
        <f>IF(P44 + Q43 &lt; 0, P44 + Q43, 0)</f>
        <v>0</v>
      </c>
      <c r="R44" s="1">
        <v>0</v>
      </c>
      <c r="S44" s="1">
        <f>IF(R44 + S43 &lt; 0, R44 + S43, 0)</f>
        <v>0</v>
      </c>
      <c r="T44" s="1">
        <v>0</v>
      </c>
      <c r="U44" s="1">
        <f>IF(T44 + U43 &lt; 0, T44 + U43, 0)</f>
        <v>0</v>
      </c>
      <c r="V44" s="1">
        <v>0</v>
      </c>
      <c r="W44" s="1">
        <f>IF(V44 + W43 &lt; 0, V44 + W43, 0)</f>
        <v>0</v>
      </c>
      <c r="X44" s="1">
        <v>0</v>
      </c>
      <c r="Y44" s="1">
        <f>IF(X44 + Y43 &lt; 0, X44 + Y43, 0)</f>
        <v>0</v>
      </c>
      <c r="Z44" s="1">
        <v>667020.1485957581</v>
      </c>
      <c r="AA44" s="1">
        <f>IF(Z44 + AA43 &lt; 0, Z44 + AA43, 0)</f>
        <v>0</v>
      </c>
      <c r="AB44" s="1">
        <v>835624.158719365</v>
      </c>
      <c r="AC44" s="1">
        <f>IF(AB44 + AC43 &lt; 0, AB44 + AC43, 0)</f>
        <v>0</v>
      </c>
      <c r="AD44" s="1">
        <v>571680.5360435767</v>
      </c>
      <c r="AE44" s="1">
        <f>IF(AD44 + AE43 &lt; 0, AD44 + AE43, 0)</f>
        <v>0</v>
      </c>
      <c r="AF44" s="1">
        <v>0</v>
      </c>
      <c r="AG44" s="1">
        <f>IF(AF44 + AG43 &lt; 0, AF44 + AG43, 0)</f>
        <v>0</v>
      </c>
      <c r="AH44" s="1">
        <v>0</v>
      </c>
      <c r="AI44" s="1">
        <f>IF(AH44 + AI43 &lt; 0, AH44 + AI43, 0)</f>
        <v>0</v>
      </c>
      <c r="AJ44" s="1">
        <v>0</v>
      </c>
      <c r="AK44" s="1">
        <f>IF(AJ44 + AK43 &lt; 0, AJ44 + AK43, 0)</f>
        <v>0</v>
      </c>
    </row>
    <row r="45" spans="1:37" s="1" customFormat="1">
      <c r="A45" s="3">
        <v>45352</v>
      </c>
      <c r="B45" s="2" t="s">
        <v>26</v>
      </c>
      <c r="C45" s="2">
        <v>17</v>
      </c>
      <c r="D45" s="2">
        <v>16</v>
      </c>
      <c r="E45" s="2">
        <v>15</v>
      </c>
      <c r="F45" s="2">
        <v>5</v>
      </c>
      <c r="G45" s="2">
        <v>1</v>
      </c>
      <c r="H45" s="1">
        <v>0</v>
      </c>
      <c r="I45" s="1">
        <f>IF(H45 + I44 &lt; 0, H45 + I44, 0)</f>
        <v>0</v>
      </c>
      <c r="J45" s="1">
        <v>0</v>
      </c>
      <c r="K45" s="1">
        <f>IF(J45 + K44 &lt; 0, J45 + K44, 0)</f>
        <v>0</v>
      </c>
      <c r="L45" s="1">
        <v>0</v>
      </c>
      <c r="M45" s="1">
        <f>IF(L45 + M44 &lt; 0, L45 + M44, 0)</f>
        <v>0</v>
      </c>
      <c r="N45" s="1">
        <v>0</v>
      </c>
      <c r="O45" s="1">
        <f>IF(N45 + O44 &lt; 0, N45 + O44, 0)</f>
        <v>0</v>
      </c>
      <c r="P45" s="1">
        <v>0</v>
      </c>
      <c r="Q45" s="1">
        <f>IF(P45 + Q44 &lt; 0, P45 + Q44, 0)</f>
        <v>0</v>
      </c>
      <c r="R45" s="1">
        <v>0</v>
      </c>
      <c r="S45" s="1">
        <f>IF(R45 + S44 &lt; 0, R45 + S44, 0)</f>
        <v>0</v>
      </c>
      <c r="T45" s="1">
        <v>0</v>
      </c>
      <c r="U45" s="1">
        <f>IF(T45 + U44 &lt; 0, T45 + U44, 0)</f>
        <v>0</v>
      </c>
      <c r="V45" s="1">
        <v>0</v>
      </c>
      <c r="W45" s="1">
        <f>IF(V45 + W44 &lt; 0, V45 + W44, 0)</f>
        <v>0</v>
      </c>
      <c r="X45" s="1">
        <v>0</v>
      </c>
      <c r="Y45" s="1">
        <f>IF(X45 + Y44 &lt; 0, X45 + Y44, 0)</f>
        <v>0</v>
      </c>
      <c r="Z45" s="1">
        <v>0</v>
      </c>
      <c r="AA45" s="1">
        <f>IF(Z45 + AA44 &lt; 0, Z45 + AA44, 0)</f>
        <v>0</v>
      </c>
      <c r="AB45" s="1">
        <v>0</v>
      </c>
      <c r="AC45" s="1">
        <f>IF(AB45 + AC44 &lt; 0, AB45 + AC44, 0)</f>
        <v>0</v>
      </c>
      <c r="AD45" s="1">
        <v>0</v>
      </c>
      <c r="AE45" s="1">
        <f>IF(AD45 + AE44 &lt; 0, AD45 + AE44, 0)</f>
        <v>0</v>
      </c>
      <c r="AF45" s="1">
        <v>214984.0133276874</v>
      </c>
      <c r="AG45" s="1">
        <f>IF(AF45 + AG44 &lt; 0, AF45 + AG44, 0)</f>
        <v>0</v>
      </c>
      <c r="AH45" s="1">
        <v>-116157.2275027091</v>
      </c>
      <c r="AI45" s="1">
        <f>IF(AH45 + AI44 &lt; 0, AH45 + AI44, 0)</f>
        <v>0</v>
      </c>
      <c r="AJ45" s="1">
        <v>150023.0985181612</v>
      </c>
      <c r="AK45" s="1">
        <f>IF(AJ45 + AK44 &lt; 0, AJ45 + AK44, 0)</f>
        <v>0</v>
      </c>
    </row>
    <row r="46" spans="1:37" s="1" customFormat="1">
      <c r="A46" s="3">
        <v>45355</v>
      </c>
      <c r="B46" s="2" t="s">
        <v>22</v>
      </c>
      <c r="C46" s="2">
        <v>16</v>
      </c>
      <c r="D46" s="2">
        <v>15</v>
      </c>
      <c r="E46" s="2">
        <v>14</v>
      </c>
      <c r="F46" s="2">
        <v>4</v>
      </c>
      <c r="G46" s="2">
        <v>4</v>
      </c>
      <c r="H46" s="1">
        <v>0</v>
      </c>
      <c r="I46" s="1">
        <f>IF(H46 + I45 &lt; 0, H46 + I45, 0)</f>
        <v>0</v>
      </c>
      <c r="J46" s="1">
        <v>0</v>
      </c>
      <c r="K46" s="1">
        <f>IF(J46 + K45 &lt; 0, J46 + K45, 0)</f>
        <v>0</v>
      </c>
      <c r="L46" s="1">
        <v>0</v>
      </c>
      <c r="M46" s="1">
        <f>IF(L46 + M45 &lt; 0, L46 + M45, 0)</f>
        <v>0</v>
      </c>
      <c r="N46" s="1">
        <v>0</v>
      </c>
      <c r="O46" s="1">
        <f>IF(N46 + O45 &lt; 0, N46 + O45, 0)</f>
        <v>0</v>
      </c>
      <c r="P46" s="1">
        <v>0</v>
      </c>
      <c r="Q46" s="1">
        <f>IF(P46 + Q45 &lt; 0, P46 + Q45, 0)</f>
        <v>0</v>
      </c>
      <c r="R46" s="1">
        <v>0</v>
      </c>
      <c r="S46" s="1">
        <f>IF(R46 + S45 &lt; 0, R46 + S45, 0)</f>
        <v>0</v>
      </c>
      <c r="T46" s="1">
        <v>0</v>
      </c>
      <c r="U46" s="1">
        <f>IF(T46 + U45 &lt; 0, T46 + U45, 0)</f>
        <v>0</v>
      </c>
      <c r="V46" s="1">
        <v>0</v>
      </c>
      <c r="W46" s="1">
        <f>IF(V46 + W45 &lt; 0, V46 + W45, 0)</f>
        <v>0</v>
      </c>
      <c r="X46" s="1">
        <v>0</v>
      </c>
      <c r="Y46" s="1">
        <f>IF(X46 + Y45 &lt; 0, X46 + Y45, 0)</f>
        <v>0</v>
      </c>
      <c r="Z46" s="1">
        <v>0</v>
      </c>
      <c r="AA46" s="1">
        <f>IF(Z46 + AA45 &lt; 0, Z46 + AA45, 0)</f>
        <v>0</v>
      </c>
      <c r="AB46" s="1">
        <v>0</v>
      </c>
      <c r="AC46" s="1">
        <f>IF(AB46 + AC45 &lt; 0, AB46 + AC45, 0)</f>
        <v>0</v>
      </c>
      <c r="AD46" s="1">
        <v>0</v>
      </c>
      <c r="AE46" s="1">
        <f>IF(AD46 + AE45 &lt; 0, AD46 + AE45, 0)</f>
        <v>0</v>
      </c>
      <c r="AF46" s="1">
        <v>0</v>
      </c>
      <c r="AG46" s="1">
        <f>IF(AF46 + AG45 &lt; 0, AF46 + AG45, 0)</f>
        <v>0</v>
      </c>
      <c r="AH46" s="1">
        <v>0</v>
      </c>
      <c r="AI46" s="1">
        <f>IF(AH46 + AI45 &lt; 0, AH46 + AI45, 0)</f>
        <v>0</v>
      </c>
      <c r="AJ46" s="1">
        <v>0</v>
      </c>
      <c r="AK46" s="1">
        <f>IF(AJ46 + AK45 &lt; 0, AJ46 + AK45, 0)</f>
        <v>0</v>
      </c>
    </row>
    <row r="47" spans="1:37" s="1" customFormat="1">
      <c r="A47" s="3">
        <v>45356</v>
      </c>
      <c r="B47" s="2" t="s">
        <v>23</v>
      </c>
      <c r="C47" s="2">
        <v>15</v>
      </c>
      <c r="D47" s="2">
        <v>14</v>
      </c>
      <c r="E47" s="2">
        <v>13</v>
      </c>
      <c r="F47" s="2">
        <v>3</v>
      </c>
      <c r="G47" s="2">
        <v>3</v>
      </c>
      <c r="H47" s="1">
        <v>0</v>
      </c>
      <c r="I47" s="1">
        <f>IF(H47 + I46 &lt; 0, H47 + I46, 0)</f>
        <v>0</v>
      </c>
      <c r="J47" s="1">
        <v>0</v>
      </c>
      <c r="K47" s="1">
        <f>IF(J47 + K46 &lt; 0, J47 + K46, 0)</f>
        <v>0</v>
      </c>
      <c r="L47" s="1">
        <v>0</v>
      </c>
      <c r="M47" s="1">
        <f>IF(L47 + M46 &lt; 0, L47 + M46, 0)</f>
        <v>0</v>
      </c>
      <c r="N47" s="1">
        <v>0</v>
      </c>
      <c r="O47" s="1">
        <f>IF(N47 + O46 &lt; 0, N47 + O46, 0)</f>
        <v>0</v>
      </c>
      <c r="P47" s="1">
        <v>0</v>
      </c>
      <c r="Q47" s="1">
        <f>IF(P47 + Q46 &lt; 0, P47 + Q46, 0)</f>
        <v>0</v>
      </c>
      <c r="R47" s="1">
        <v>0</v>
      </c>
      <c r="S47" s="1">
        <f>IF(R47 + S46 &lt; 0, R47 + S46, 0)</f>
        <v>0</v>
      </c>
      <c r="T47" s="1">
        <v>0</v>
      </c>
      <c r="U47" s="1">
        <f>IF(T47 + U46 &lt; 0, T47 + U46, 0)</f>
        <v>0</v>
      </c>
      <c r="V47" s="1">
        <v>0</v>
      </c>
      <c r="W47" s="1">
        <f>IF(V47 + W46 &lt; 0, V47 + W46, 0)</f>
        <v>0</v>
      </c>
      <c r="X47" s="1">
        <v>0</v>
      </c>
      <c r="Y47" s="1">
        <f>IF(X47 + Y46 &lt; 0, X47 + Y46, 0)</f>
        <v>0</v>
      </c>
      <c r="Z47" s="1">
        <v>0</v>
      </c>
      <c r="AA47" s="1">
        <f>IF(Z47 + AA46 &lt; 0, Z47 + AA46, 0)</f>
        <v>0</v>
      </c>
      <c r="AB47" s="1">
        <v>0</v>
      </c>
      <c r="AC47" s="1">
        <f>IF(AB47 + AC46 &lt; 0, AB47 + AC46, 0)</f>
        <v>0</v>
      </c>
      <c r="AD47" s="1">
        <v>0</v>
      </c>
      <c r="AE47" s="1">
        <f>IF(AD47 + AE46 &lt; 0, AD47 + AE46, 0)</f>
        <v>0</v>
      </c>
      <c r="AF47" s="1">
        <v>0</v>
      </c>
      <c r="AG47" s="1">
        <f>IF(AF47 + AG46 &lt; 0, AF47 + AG46, 0)</f>
        <v>0</v>
      </c>
      <c r="AH47" s="1">
        <v>0</v>
      </c>
      <c r="AI47" s="1">
        <f>IF(AH47 + AI46 &lt; 0, AH47 + AI46, 0)</f>
        <v>0</v>
      </c>
      <c r="AJ47" s="1">
        <v>0</v>
      </c>
      <c r="AK47" s="1">
        <f>IF(AJ47 + AK46 &lt; 0, AJ47 + AK46, 0)</f>
        <v>0</v>
      </c>
    </row>
    <row r="48" spans="1:37" s="1" customFormat="1">
      <c r="A48" s="3">
        <v>45357</v>
      </c>
      <c r="B48" s="2" t="s">
        <v>24</v>
      </c>
      <c r="C48" s="2">
        <v>14</v>
      </c>
      <c r="D48" s="2">
        <v>13</v>
      </c>
      <c r="E48" s="2">
        <v>12</v>
      </c>
      <c r="F48" s="2">
        <v>2</v>
      </c>
      <c r="G48" s="2">
        <v>2</v>
      </c>
      <c r="H48" s="1">
        <v>0</v>
      </c>
      <c r="I48" s="1">
        <f>IF(H48 + I47 &lt; 0, H48 + I47, 0)</f>
        <v>0</v>
      </c>
      <c r="J48" s="1">
        <v>0</v>
      </c>
      <c r="K48" s="1">
        <f>IF(J48 + K47 &lt; 0, J48 + K47, 0)</f>
        <v>0</v>
      </c>
      <c r="L48" s="1">
        <v>0</v>
      </c>
      <c r="M48" s="1">
        <f>IF(L48 + M47 &lt; 0, L48 + M47, 0)</f>
        <v>0</v>
      </c>
      <c r="N48" s="1">
        <v>0</v>
      </c>
      <c r="O48" s="1">
        <f>IF(N48 + O47 &lt; 0, N48 + O47, 0)</f>
        <v>0</v>
      </c>
      <c r="P48" s="1">
        <v>0</v>
      </c>
      <c r="Q48" s="1">
        <f>IF(P48 + Q47 &lt; 0, P48 + Q47, 0)</f>
        <v>0</v>
      </c>
      <c r="R48" s="1">
        <v>0</v>
      </c>
      <c r="S48" s="1">
        <f>IF(R48 + S47 &lt; 0, R48 + S47, 0)</f>
        <v>0</v>
      </c>
      <c r="T48" s="1">
        <v>0</v>
      </c>
      <c r="U48" s="1">
        <f>IF(T48 + U47 &lt; 0, T48 + U47, 0)</f>
        <v>0</v>
      </c>
      <c r="V48" s="1">
        <v>0</v>
      </c>
      <c r="W48" s="1">
        <f>IF(V48 + W47 &lt; 0, V48 + W47, 0)</f>
        <v>0</v>
      </c>
      <c r="X48" s="1">
        <v>0</v>
      </c>
      <c r="Y48" s="1">
        <f>IF(X48 + Y47 &lt; 0, X48 + Y47, 0)</f>
        <v>0</v>
      </c>
      <c r="Z48" s="1">
        <v>0</v>
      </c>
      <c r="AA48" s="1">
        <f>IF(Z48 + AA47 &lt; 0, Z48 + AA47, 0)</f>
        <v>0</v>
      </c>
      <c r="AB48" s="1">
        <v>0</v>
      </c>
      <c r="AC48" s="1">
        <f>IF(AB48 + AC47 &lt; 0, AB48 + AC47, 0)</f>
        <v>0</v>
      </c>
      <c r="AD48" s="1">
        <v>0</v>
      </c>
      <c r="AE48" s="1">
        <f>IF(AD48 + AE47 &lt; 0, AD48 + AE47, 0)</f>
        <v>0</v>
      </c>
      <c r="AF48" s="1">
        <v>0</v>
      </c>
      <c r="AG48" s="1">
        <f>IF(AF48 + AG47 &lt; 0, AF48 + AG47, 0)</f>
        <v>0</v>
      </c>
      <c r="AH48" s="1">
        <v>0</v>
      </c>
      <c r="AI48" s="1">
        <f>IF(AH48 + AI47 &lt; 0, AH48 + AI47, 0)</f>
        <v>0</v>
      </c>
      <c r="AJ48" s="1">
        <v>0</v>
      </c>
      <c r="AK48" s="1">
        <f>IF(AJ48 + AK47 &lt; 0, AJ48 + AK47, 0)</f>
        <v>0</v>
      </c>
    </row>
    <row r="49" spans="1:37" s="1" customFormat="1">
      <c r="A49" s="3">
        <v>45358</v>
      </c>
      <c r="B49" s="2" t="s">
        <v>25</v>
      </c>
      <c r="C49" s="2">
        <v>13</v>
      </c>
      <c r="D49" s="2">
        <v>12</v>
      </c>
      <c r="E49" s="2">
        <v>11</v>
      </c>
      <c r="F49" s="2">
        <v>1</v>
      </c>
      <c r="G49" s="2">
        <v>1</v>
      </c>
      <c r="H49" s="1">
        <v>0</v>
      </c>
      <c r="I49" s="1">
        <f>IF(H49 + I48 &lt; 0, H49 + I48, 0)</f>
        <v>0</v>
      </c>
      <c r="J49" s="1">
        <v>0</v>
      </c>
      <c r="K49" s="1">
        <f>IF(J49 + K48 &lt; 0, J49 + K48, 0)</f>
        <v>0</v>
      </c>
      <c r="L49" s="1">
        <v>0</v>
      </c>
      <c r="M49" s="1">
        <f>IF(L49 + M48 &lt; 0, L49 + M48, 0)</f>
        <v>0</v>
      </c>
      <c r="N49" s="1">
        <v>0</v>
      </c>
      <c r="O49" s="1">
        <f>IF(N49 + O48 &lt; 0, N49 + O48, 0)</f>
        <v>0</v>
      </c>
      <c r="P49" s="1">
        <v>0</v>
      </c>
      <c r="Q49" s="1">
        <f>IF(P49 + Q48 &lt; 0, P49 + Q48, 0)</f>
        <v>0</v>
      </c>
      <c r="R49" s="1">
        <v>0</v>
      </c>
      <c r="S49" s="1">
        <f>IF(R49 + S48 &lt; 0, R49 + S48, 0)</f>
        <v>0</v>
      </c>
      <c r="T49" s="1">
        <v>0</v>
      </c>
      <c r="U49" s="1">
        <f>IF(T49 + U48 &lt; 0, T49 + U48, 0)</f>
        <v>0</v>
      </c>
      <c r="V49" s="1">
        <v>0</v>
      </c>
      <c r="W49" s="1">
        <f>IF(V49 + W48 &lt; 0, V49 + W48, 0)</f>
        <v>0</v>
      </c>
      <c r="X49" s="1">
        <v>0</v>
      </c>
      <c r="Y49" s="1">
        <f>IF(X49 + Y48 &lt; 0, X49 + Y48, 0)</f>
        <v>0</v>
      </c>
      <c r="Z49" s="1">
        <v>1112274.950789632</v>
      </c>
      <c r="AA49" s="1">
        <f>IF(Z49 + AA48 &lt; 0, Z49 + AA48, 0)</f>
        <v>0</v>
      </c>
      <c r="AB49" s="1">
        <v>474264.8194240102</v>
      </c>
      <c r="AC49" s="1">
        <f>IF(AB49 + AC48 &lt; 0, AB49 + AC48, 0)</f>
        <v>0</v>
      </c>
      <c r="AD49" s="1">
        <v>517044.5758450491</v>
      </c>
      <c r="AE49" s="1">
        <f>IF(AD49 + AE48 &lt; 0, AD49 + AE48, 0)</f>
        <v>0</v>
      </c>
      <c r="AF49" s="1">
        <v>983138.7992844158</v>
      </c>
      <c r="AG49" s="1">
        <f>IF(AF49 + AG48 &lt; 0, AF49 + AG48, 0)</f>
        <v>0</v>
      </c>
      <c r="AH49" s="1">
        <v>983138.7992844158</v>
      </c>
      <c r="AI49" s="1">
        <f>IF(AH49 + AI48 &lt; 0, AH49 + AI48, 0)</f>
        <v>0</v>
      </c>
      <c r="AJ49" s="1">
        <v>658964.7608871171</v>
      </c>
      <c r="AK49" s="1">
        <f>IF(AJ49 + AK48 &lt; 0, AJ49 + AK48, 0)</f>
        <v>0</v>
      </c>
    </row>
    <row r="50" spans="1:37" s="1" customFormat="1">
      <c r="A50" s="3">
        <v>45362</v>
      </c>
      <c r="B50" s="2" t="s">
        <v>22</v>
      </c>
      <c r="C50" s="2">
        <v>12</v>
      </c>
      <c r="D50" s="2">
        <v>11</v>
      </c>
      <c r="E50" s="2">
        <v>10</v>
      </c>
      <c r="F50" s="2">
        <v>4</v>
      </c>
      <c r="G50" s="2">
        <v>5</v>
      </c>
      <c r="H50" s="1">
        <v>0</v>
      </c>
      <c r="I50" s="1">
        <f>IF(H50 + I49 &lt; 0, H50 + I49, 0)</f>
        <v>0</v>
      </c>
      <c r="J50" s="1">
        <v>0</v>
      </c>
      <c r="K50" s="1">
        <f>IF(J50 + K49 &lt; 0, J50 + K49, 0)</f>
        <v>0</v>
      </c>
      <c r="L50" s="1">
        <v>0</v>
      </c>
      <c r="M50" s="1">
        <f>IF(L50 + M49 &lt; 0, L50 + M49, 0)</f>
        <v>0</v>
      </c>
      <c r="N50" s="1">
        <v>0</v>
      </c>
      <c r="O50" s="1">
        <f>IF(N50 + O49 &lt; 0, N50 + O49, 0)</f>
        <v>0</v>
      </c>
      <c r="P50" s="1">
        <v>0</v>
      </c>
      <c r="Q50" s="1">
        <f>IF(P50 + Q49 &lt; 0, P50 + Q49, 0)</f>
        <v>0</v>
      </c>
      <c r="R50" s="1">
        <v>0</v>
      </c>
      <c r="S50" s="1">
        <f>IF(R50 + S49 &lt; 0, R50 + S49, 0)</f>
        <v>0</v>
      </c>
      <c r="T50" s="1">
        <v>0</v>
      </c>
      <c r="U50" s="1">
        <f>IF(T50 + U49 &lt; 0, T50 + U49, 0)</f>
        <v>0</v>
      </c>
      <c r="V50" s="1">
        <v>0</v>
      </c>
      <c r="W50" s="1">
        <f>IF(V50 + W49 &lt; 0, V50 + W49, 0)</f>
        <v>0</v>
      </c>
      <c r="X50" s="1">
        <v>0</v>
      </c>
      <c r="Y50" s="1">
        <f>IF(X50 + Y49 &lt; 0, X50 + Y49, 0)</f>
        <v>0</v>
      </c>
      <c r="Z50" s="1">
        <v>0</v>
      </c>
      <c r="AA50" s="1">
        <f>IF(Z50 + AA49 &lt; 0, Z50 + AA49, 0)</f>
        <v>0</v>
      </c>
      <c r="AB50" s="1">
        <v>0</v>
      </c>
      <c r="AC50" s="1">
        <f>IF(AB50 + AC49 &lt; 0, AB50 + AC49, 0)</f>
        <v>0</v>
      </c>
      <c r="AD50" s="1">
        <v>0</v>
      </c>
      <c r="AE50" s="1">
        <f>IF(AD50 + AE49 &lt; 0, AD50 + AE49, 0)</f>
        <v>0</v>
      </c>
      <c r="AF50" s="1">
        <v>0</v>
      </c>
      <c r="AG50" s="1">
        <f>IF(AF50 + AG49 &lt; 0, AF50 + AG49, 0)</f>
        <v>0</v>
      </c>
      <c r="AH50" s="1">
        <v>0</v>
      </c>
      <c r="AI50" s="1">
        <f>IF(AH50 + AI49 &lt; 0, AH50 + AI49, 0)</f>
        <v>0</v>
      </c>
      <c r="AJ50" s="1">
        <v>0</v>
      </c>
      <c r="AK50" s="1">
        <f>IF(AJ50 + AK49 &lt; 0, AJ50 + AK49, 0)</f>
        <v>0</v>
      </c>
    </row>
    <row r="51" spans="1:37" s="1" customFormat="1">
      <c r="A51" s="3">
        <v>45363</v>
      </c>
      <c r="B51" s="2" t="s">
        <v>23</v>
      </c>
      <c r="C51" s="2">
        <v>11</v>
      </c>
      <c r="D51" s="2">
        <v>10</v>
      </c>
      <c r="E51" s="2">
        <v>9</v>
      </c>
      <c r="F51" s="2">
        <v>3</v>
      </c>
      <c r="G51" s="2">
        <v>4</v>
      </c>
      <c r="H51" s="1">
        <v>0</v>
      </c>
      <c r="I51" s="1">
        <f>IF(H51 + I50 &lt; 0, H51 + I50, 0)</f>
        <v>0</v>
      </c>
      <c r="J51" s="1">
        <v>0</v>
      </c>
      <c r="K51" s="1">
        <f>IF(J51 + K50 &lt; 0, J51 + K50, 0)</f>
        <v>0</v>
      </c>
      <c r="L51" s="1">
        <v>0</v>
      </c>
      <c r="M51" s="1">
        <f>IF(L51 + M50 &lt; 0, L51 + M50, 0)</f>
        <v>0</v>
      </c>
      <c r="N51" s="1">
        <v>0</v>
      </c>
      <c r="O51" s="1">
        <f>IF(N51 + O50 &lt; 0, N51 + O50, 0)</f>
        <v>0</v>
      </c>
      <c r="P51" s="1">
        <v>0</v>
      </c>
      <c r="Q51" s="1">
        <f>IF(P51 + Q50 &lt; 0, P51 + Q50, 0)</f>
        <v>0</v>
      </c>
      <c r="R51" s="1">
        <v>0</v>
      </c>
      <c r="S51" s="1">
        <f>IF(R51 + S50 &lt; 0, R51 + S50, 0)</f>
        <v>0</v>
      </c>
      <c r="T51" s="1">
        <v>0</v>
      </c>
      <c r="U51" s="1">
        <f>IF(T51 + U50 &lt; 0, T51 + U50, 0)</f>
        <v>0</v>
      </c>
      <c r="V51" s="1">
        <v>0</v>
      </c>
      <c r="W51" s="1">
        <f>IF(V51 + W50 &lt; 0, V51 + W50, 0)</f>
        <v>0</v>
      </c>
      <c r="X51" s="1">
        <v>0</v>
      </c>
      <c r="Y51" s="1">
        <f>IF(X51 + Y50 &lt; 0, X51 + Y50, 0)</f>
        <v>0</v>
      </c>
      <c r="Z51" s="1">
        <v>0</v>
      </c>
      <c r="AA51" s="1">
        <f>IF(Z51 + AA50 &lt; 0, Z51 + AA50, 0)</f>
        <v>0</v>
      </c>
      <c r="AB51" s="1">
        <v>0</v>
      </c>
      <c r="AC51" s="1">
        <f>IF(AB51 + AC50 &lt; 0, AB51 + AC50, 0)</f>
        <v>0</v>
      </c>
      <c r="AD51" s="1">
        <v>0</v>
      </c>
      <c r="AE51" s="1">
        <f>IF(AD51 + AE50 &lt; 0, AD51 + AE50, 0)</f>
        <v>0</v>
      </c>
      <c r="AF51" s="1">
        <v>0</v>
      </c>
      <c r="AG51" s="1">
        <f>IF(AF51 + AG50 &lt; 0, AF51 + AG50, 0)</f>
        <v>0</v>
      </c>
      <c r="AH51" s="1">
        <v>0</v>
      </c>
      <c r="AI51" s="1">
        <f>IF(AH51 + AI50 &lt; 0, AH51 + AI50, 0)</f>
        <v>0</v>
      </c>
      <c r="AJ51" s="1">
        <v>0</v>
      </c>
      <c r="AK51" s="1">
        <f>IF(AJ51 + AK50 &lt; 0, AJ51 + AK50, 0)</f>
        <v>0</v>
      </c>
    </row>
    <row r="52" spans="1:37" s="1" customFormat="1">
      <c r="A52" s="3">
        <v>45364</v>
      </c>
      <c r="B52" s="2" t="s">
        <v>24</v>
      </c>
      <c r="C52" s="2">
        <v>10</v>
      </c>
      <c r="D52" s="2">
        <v>9</v>
      </c>
      <c r="E52" s="2">
        <v>8</v>
      </c>
      <c r="F52" s="2">
        <v>2</v>
      </c>
      <c r="G52" s="2">
        <v>3</v>
      </c>
      <c r="H52" s="1">
        <v>0</v>
      </c>
      <c r="I52" s="1">
        <f>IF(H52 + I51 &lt; 0, H52 + I51, 0)</f>
        <v>0</v>
      </c>
      <c r="J52" s="1">
        <v>0</v>
      </c>
      <c r="K52" s="1">
        <f>IF(J52 + K51 &lt; 0, J52 + K51, 0)</f>
        <v>0</v>
      </c>
      <c r="L52" s="1">
        <v>0</v>
      </c>
      <c r="M52" s="1">
        <f>IF(L52 + M51 &lt; 0, L52 + M51, 0)</f>
        <v>0</v>
      </c>
      <c r="N52" s="1">
        <v>0</v>
      </c>
      <c r="O52" s="1">
        <f>IF(N52 + O51 &lt; 0, N52 + O51, 0)</f>
        <v>0</v>
      </c>
      <c r="P52" s="1">
        <v>0</v>
      </c>
      <c r="Q52" s="1">
        <f>IF(P52 + Q51 &lt; 0, P52 + Q51, 0)</f>
        <v>0</v>
      </c>
      <c r="R52" s="1">
        <v>0</v>
      </c>
      <c r="S52" s="1">
        <f>IF(R52 + S51 &lt; 0, R52 + S51, 0)</f>
        <v>0</v>
      </c>
      <c r="T52" s="1">
        <v>0</v>
      </c>
      <c r="U52" s="1">
        <f>IF(T52 + U51 &lt; 0, T52 + U51, 0)</f>
        <v>0</v>
      </c>
      <c r="V52" s="1">
        <v>0</v>
      </c>
      <c r="W52" s="1">
        <f>IF(V52 + W51 &lt; 0, V52 + W51, 0)</f>
        <v>0</v>
      </c>
      <c r="X52" s="1">
        <v>0</v>
      </c>
      <c r="Y52" s="1">
        <f>IF(X52 + Y51 &lt; 0, X52 + Y51, 0)</f>
        <v>0</v>
      </c>
      <c r="Z52" s="1">
        <v>0</v>
      </c>
      <c r="AA52" s="1">
        <f>IF(Z52 + AA51 &lt; 0, Z52 + AA51, 0)</f>
        <v>0</v>
      </c>
      <c r="AB52" s="1">
        <v>0</v>
      </c>
      <c r="AC52" s="1">
        <f>IF(AB52 + AC51 &lt; 0, AB52 + AC51, 0)</f>
        <v>0</v>
      </c>
      <c r="AD52" s="1">
        <v>0</v>
      </c>
      <c r="AE52" s="1">
        <f>IF(AD52 + AE51 &lt; 0, AD52 + AE51, 0)</f>
        <v>0</v>
      </c>
      <c r="AF52" s="1">
        <v>0</v>
      </c>
      <c r="AG52" s="1">
        <f>IF(AF52 + AG51 &lt; 0, AF52 + AG51, 0)</f>
        <v>0</v>
      </c>
      <c r="AH52" s="1">
        <v>0</v>
      </c>
      <c r="AI52" s="1">
        <f>IF(AH52 + AI51 &lt; 0, AH52 + AI51, 0)</f>
        <v>0</v>
      </c>
      <c r="AJ52" s="1">
        <v>0</v>
      </c>
      <c r="AK52" s="1">
        <f>IF(AJ52 + AK51 &lt; 0, AJ52 + AK51, 0)</f>
        <v>0</v>
      </c>
    </row>
    <row r="53" spans="1:37" s="1" customFormat="1">
      <c r="A53" s="3">
        <v>45365</v>
      </c>
      <c r="B53" s="2" t="s">
        <v>25</v>
      </c>
      <c r="C53" s="2">
        <v>9</v>
      </c>
      <c r="D53" s="2">
        <v>8</v>
      </c>
      <c r="E53" s="2">
        <v>7</v>
      </c>
      <c r="F53" s="2">
        <v>1</v>
      </c>
      <c r="G53" s="2">
        <v>2</v>
      </c>
      <c r="H53" s="1">
        <v>0</v>
      </c>
      <c r="I53" s="1">
        <f>IF(H53 + I52 &lt; 0, H53 + I52, 0)</f>
        <v>0</v>
      </c>
      <c r="J53" s="1">
        <v>0</v>
      </c>
      <c r="K53" s="1">
        <f>IF(J53 + K52 &lt; 0, J53 + K52, 0)</f>
        <v>0</v>
      </c>
      <c r="L53" s="1">
        <v>0</v>
      </c>
      <c r="M53" s="1">
        <f>IF(L53 + M52 &lt; 0, L53 + M52, 0)</f>
        <v>0</v>
      </c>
      <c r="N53" s="1">
        <v>0</v>
      </c>
      <c r="O53" s="1">
        <f>IF(N53 + O52 &lt; 0, N53 + O52, 0)</f>
        <v>0</v>
      </c>
      <c r="P53" s="1">
        <v>0</v>
      </c>
      <c r="Q53" s="1">
        <f>IF(P53 + Q52 &lt; 0, P53 + Q52, 0)</f>
        <v>0</v>
      </c>
      <c r="R53" s="1">
        <v>0</v>
      </c>
      <c r="S53" s="1">
        <f>IF(R53 + S52 &lt; 0, R53 + S52, 0)</f>
        <v>0</v>
      </c>
      <c r="T53" s="1">
        <v>0</v>
      </c>
      <c r="U53" s="1">
        <f>IF(T53 + U52 &lt; 0, T53 + U52, 0)</f>
        <v>0</v>
      </c>
      <c r="V53" s="1">
        <v>0</v>
      </c>
      <c r="W53" s="1">
        <f>IF(V53 + W52 &lt; 0, V53 + W52, 0)</f>
        <v>0</v>
      </c>
      <c r="X53" s="1">
        <v>0</v>
      </c>
      <c r="Y53" s="1">
        <f>IF(X53 + Y52 &lt; 0, X53 + Y52, 0)</f>
        <v>0</v>
      </c>
      <c r="Z53" s="1">
        <v>-436433.2021224089</v>
      </c>
      <c r="AA53" s="1">
        <f>IF(Z53 + AA52 &lt; 0, Z53 + AA52, 0)</f>
        <v>0</v>
      </c>
      <c r="AB53" s="1">
        <v>-436433.2021224089</v>
      </c>
      <c r="AC53" s="1">
        <f>IF(AB53 + AC52 &lt; 0, AB53 + AC52, 0)</f>
        <v>0</v>
      </c>
      <c r="AD53" s="1">
        <v>-617240.7746790691</v>
      </c>
      <c r="AE53" s="1">
        <f>IF(AD53 + AE52 &lt; 0, AD53 + AE52, 0)</f>
        <v>0</v>
      </c>
      <c r="AF53" s="1">
        <v>0</v>
      </c>
      <c r="AG53" s="1">
        <f>IF(AF53 + AG52 &lt; 0, AF53 + AG52, 0)</f>
        <v>0</v>
      </c>
      <c r="AH53" s="1">
        <v>0</v>
      </c>
      <c r="AI53" s="1">
        <f>IF(AH53 + AI52 &lt; 0, AH53 + AI52, 0)</f>
        <v>0</v>
      </c>
      <c r="AJ53" s="1">
        <v>0</v>
      </c>
      <c r="AK53" s="1">
        <f>IF(AJ53 + AK52 &lt; 0, AJ53 + AK52, 0)</f>
        <v>0</v>
      </c>
    </row>
    <row r="54" spans="1:37" s="1" customFormat="1">
      <c r="A54" s="3">
        <v>45366</v>
      </c>
      <c r="B54" s="2" t="s">
        <v>26</v>
      </c>
      <c r="C54" s="2">
        <v>8</v>
      </c>
      <c r="D54" s="2">
        <v>7</v>
      </c>
      <c r="E54" s="2">
        <v>6</v>
      </c>
      <c r="F54" s="2">
        <v>5</v>
      </c>
      <c r="G54" s="2">
        <v>1</v>
      </c>
      <c r="H54" s="1">
        <v>0</v>
      </c>
      <c r="I54" s="1">
        <f>IF(H54 + I53 &lt; 0, H54 + I53, 0)</f>
        <v>0</v>
      </c>
      <c r="J54" s="1">
        <v>0</v>
      </c>
      <c r="K54" s="1">
        <f>IF(J54 + K53 &lt; 0, J54 + K53, 0)</f>
        <v>0</v>
      </c>
      <c r="L54" s="1">
        <v>0</v>
      </c>
      <c r="M54" s="1">
        <f>IF(L54 + M53 &lt; 0, L54 + M53, 0)</f>
        <v>0</v>
      </c>
      <c r="N54" s="1">
        <v>0</v>
      </c>
      <c r="O54" s="1">
        <f>IF(N54 + O53 &lt; 0, N54 + O53, 0)</f>
        <v>0</v>
      </c>
      <c r="P54" s="1">
        <v>0</v>
      </c>
      <c r="Q54" s="1">
        <f>IF(P54 + Q53 &lt; 0, P54 + Q53, 0)</f>
        <v>0</v>
      </c>
      <c r="R54" s="1">
        <v>0</v>
      </c>
      <c r="S54" s="1">
        <f>IF(R54 + S53 &lt; 0, R54 + S53, 0)</f>
        <v>0</v>
      </c>
      <c r="T54" s="1">
        <v>0</v>
      </c>
      <c r="U54" s="1">
        <f>IF(T54 + U53 &lt; 0, T54 + U53, 0)</f>
        <v>0</v>
      </c>
      <c r="V54" s="1">
        <v>0</v>
      </c>
      <c r="W54" s="1">
        <f>IF(V54 + W53 &lt; 0, V54 + W53, 0)</f>
        <v>0</v>
      </c>
      <c r="X54" s="1">
        <v>0</v>
      </c>
      <c r="Y54" s="1">
        <f>IF(X54 + Y53 &lt; 0, X54 + Y53, 0)</f>
        <v>0</v>
      </c>
      <c r="Z54" s="1">
        <v>0</v>
      </c>
      <c r="AA54" s="1">
        <f>IF(Z54 + AA53 &lt; 0, Z54 + AA53, 0)</f>
        <v>0</v>
      </c>
      <c r="AB54" s="1">
        <v>0</v>
      </c>
      <c r="AC54" s="1">
        <f>IF(AB54 + AC53 &lt; 0, AB54 + AC53, 0)</f>
        <v>0</v>
      </c>
      <c r="AD54" s="1">
        <v>0</v>
      </c>
      <c r="AE54" s="1">
        <f>IF(AD54 + AE53 &lt; 0, AD54 + AE53, 0)</f>
        <v>0</v>
      </c>
      <c r="AF54" s="1">
        <v>729155.3390414906</v>
      </c>
      <c r="AG54" s="1">
        <f>IF(AF54 + AG53 &lt; 0, AF54 + AG53, 0)</f>
        <v>0</v>
      </c>
      <c r="AH54" s="1">
        <v>633854.2651566733</v>
      </c>
      <c r="AI54" s="1">
        <f>IF(AH54 + AI53 &lt; 0, AH54 + AI53, 0)</f>
        <v>0</v>
      </c>
      <c r="AJ54" s="1">
        <v>491212.6621309308</v>
      </c>
      <c r="AK54" s="1">
        <f>IF(AJ54 + AK53 &lt; 0, AJ54 + AK53, 0)</f>
        <v>0</v>
      </c>
    </row>
    <row r="55" spans="1:37" s="1" customFormat="1">
      <c r="A55" s="3">
        <v>45369</v>
      </c>
      <c r="B55" s="2" t="s">
        <v>22</v>
      </c>
      <c r="C55" s="2">
        <v>7</v>
      </c>
      <c r="D55" s="2">
        <v>6</v>
      </c>
      <c r="E55" s="2">
        <v>5</v>
      </c>
      <c r="F55" s="2">
        <v>4</v>
      </c>
      <c r="G55" s="2">
        <v>5</v>
      </c>
      <c r="H55" s="1">
        <v>0</v>
      </c>
      <c r="I55" s="1">
        <f>IF(H55 + I54 &lt; 0, H55 + I54, 0)</f>
        <v>0</v>
      </c>
      <c r="J55" s="1">
        <v>0</v>
      </c>
      <c r="K55" s="1">
        <f>IF(J55 + K54 &lt; 0, J55 + K54, 0)</f>
        <v>0</v>
      </c>
      <c r="L55" s="1">
        <v>0</v>
      </c>
      <c r="M55" s="1">
        <f>IF(L55 + M54 &lt; 0, L55 + M54, 0)</f>
        <v>0</v>
      </c>
      <c r="N55" s="1">
        <v>0</v>
      </c>
      <c r="O55" s="1">
        <f>IF(N55 + O54 &lt; 0, N55 + O54, 0)</f>
        <v>0</v>
      </c>
      <c r="P55" s="1">
        <v>0</v>
      </c>
      <c r="Q55" s="1">
        <f>IF(P55 + Q54 &lt; 0, P55 + Q54, 0)</f>
        <v>0</v>
      </c>
      <c r="R55" s="1">
        <v>0</v>
      </c>
      <c r="S55" s="1">
        <f>IF(R55 + S54 &lt; 0, R55 + S54, 0)</f>
        <v>0</v>
      </c>
      <c r="T55" s="1">
        <v>0</v>
      </c>
      <c r="U55" s="1">
        <f>IF(T55 + U54 &lt; 0, T55 + U54, 0)</f>
        <v>0</v>
      </c>
      <c r="V55" s="1">
        <v>0</v>
      </c>
      <c r="W55" s="1">
        <f>IF(V55 + W54 &lt; 0, V55 + W54, 0)</f>
        <v>0</v>
      </c>
      <c r="X55" s="1">
        <v>0</v>
      </c>
      <c r="Y55" s="1">
        <f>IF(X55 + Y54 &lt; 0, X55 + Y54, 0)</f>
        <v>0</v>
      </c>
      <c r="Z55" s="1">
        <v>0</v>
      </c>
      <c r="AA55" s="1">
        <f>IF(Z55 + AA54 &lt; 0, Z55 + AA54, 0)</f>
        <v>0</v>
      </c>
      <c r="AB55" s="1">
        <v>0</v>
      </c>
      <c r="AC55" s="1">
        <f>IF(AB55 + AC54 &lt; 0, AB55 + AC54, 0)</f>
        <v>0</v>
      </c>
      <c r="AD55" s="1">
        <v>0</v>
      </c>
      <c r="AE55" s="1">
        <f>IF(AD55 + AE54 &lt; 0, AD55 + AE54, 0)</f>
        <v>0</v>
      </c>
      <c r="AF55" s="1">
        <v>0</v>
      </c>
      <c r="AG55" s="1">
        <f>IF(AF55 + AG54 &lt; 0, AF55 + AG54, 0)</f>
        <v>0</v>
      </c>
      <c r="AH55" s="1">
        <v>0</v>
      </c>
      <c r="AI55" s="1">
        <f>IF(AH55 + AI54 &lt; 0, AH55 + AI54, 0)</f>
        <v>0</v>
      </c>
      <c r="AJ55" s="1">
        <v>0</v>
      </c>
      <c r="AK55" s="1">
        <f>IF(AJ55 + AK54 &lt; 0, AJ55 + AK54, 0)</f>
        <v>0</v>
      </c>
    </row>
    <row r="56" spans="1:37" s="1" customFormat="1">
      <c r="A56" s="3">
        <v>45370</v>
      </c>
      <c r="B56" s="2" t="s">
        <v>23</v>
      </c>
      <c r="C56" s="2">
        <v>6</v>
      </c>
      <c r="D56" s="2">
        <v>5</v>
      </c>
      <c r="E56" s="2">
        <v>4</v>
      </c>
      <c r="F56" s="2">
        <v>3</v>
      </c>
      <c r="G56" s="2">
        <v>4</v>
      </c>
      <c r="H56" s="1">
        <v>0</v>
      </c>
      <c r="I56" s="1">
        <f>IF(H56 + I55 &lt; 0, H56 + I55, 0)</f>
        <v>0</v>
      </c>
      <c r="J56" s="1">
        <v>0</v>
      </c>
      <c r="K56" s="1">
        <f>IF(J56 + K55 &lt; 0, J56 + K55, 0)</f>
        <v>0</v>
      </c>
      <c r="L56" s="1">
        <v>0</v>
      </c>
      <c r="M56" s="1">
        <f>IF(L56 + M55 &lt; 0, L56 + M55, 0)</f>
        <v>0</v>
      </c>
      <c r="N56" s="1">
        <v>0</v>
      </c>
      <c r="O56" s="1">
        <f>IF(N56 + O55 &lt; 0, N56 + O55, 0)</f>
        <v>0</v>
      </c>
      <c r="P56" s="1">
        <v>0</v>
      </c>
      <c r="Q56" s="1">
        <f>IF(P56 + Q55 &lt; 0, P56 + Q55, 0)</f>
        <v>0</v>
      </c>
      <c r="R56" s="1">
        <v>0</v>
      </c>
      <c r="S56" s="1">
        <f>IF(R56 + S55 &lt; 0, R56 + S55, 0)</f>
        <v>0</v>
      </c>
      <c r="T56" s="1">
        <v>0</v>
      </c>
      <c r="U56" s="1">
        <f>IF(T56 + U55 &lt; 0, T56 + U55, 0)</f>
        <v>0</v>
      </c>
      <c r="V56" s="1">
        <v>0</v>
      </c>
      <c r="W56" s="1">
        <f>IF(V56 + W55 &lt; 0, V56 + W55, 0)</f>
        <v>0</v>
      </c>
      <c r="X56" s="1">
        <v>0</v>
      </c>
      <c r="Y56" s="1">
        <f>IF(X56 + Y55 &lt; 0, X56 + Y55, 0)</f>
        <v>0</v>
      </c>
      <c r="Z56" s="1">
        <v>0</v>
      </c>
      <c r="AA56" s="1">
        <f>IF(Z56 + AA55 &lt; 0, Z56 + AA55, 0)</f>
        <v>0</v>
      </c>
      <c r="AB56" s="1">
        <v>0</v>
      </c>
      <c r="AC56" s="1">
        <f>IF(AB56 + AC55 &lt; 0, AB56 + AC55, 0)</f>
        <v>0</v>
      </c>
      <c r="AD56" s="1">
        <v>0</v>
      </c>
      <c r="AE56" s="1">
        <f>IF(AD56 + AE55 &lt; 0, AD56 + AE55, 0)</f>
        <v>0</v>
      </c>
      <c r="AF56" s="1">
        <v>0</v>
      </c>
      <c r="AG56" s="1">
        <f>IF(AF56 + AG55 &lt; 0, AF56 + AG55, 0)</f>
        <v>0</v>
      </c>
      <c r="AH56" s="1">
        <v>0</v>
      </c>
      <c r="AI56" s="1">
        <f>IF(AH56 + AI55 &lt; 0, AH56 + AI55, 0)</f>
        <v>0</v>
      </c>
      <c r="AJ56" s="1">
        <v>0</v>
      </c>
      <c r="AK56" s="1">
        <f>IF(AJ56 + AK55 &lt; 0, AJ56 + AK55, 0)</f>
        <v>0</v>
      </c>
    </row>
    <row r="57" spans="1:37" s="1" customFormat="1">
      <c r="A57" s="3">
        <v>45371</v>
      </c>
      <c r="B57" s="2" t="s">
        <v>24</v>
      </c>
      <c r="C57" s="2">
        <v>5</v>
      </c>
      <c r="D57" s="2">
        <v>4</v>
      </c>
      <c r="E57" s="2">
        <v>3</v>
      </c>
      <c r="F57" s="2">
        <v>2</v>
      </c>
      <c r="G57" s="2">
        <v>3</v>
      </c>
      <c r="H57" s="1">
        <v>0</v>
      </c>
      <c r="I57" s="1">
        <f>IF(H57 + I56 &lt; 0, H57 + I56, 0)</f>
        <v>0</v>
      </c>
      <c r="J57" s="1">
        <v>0</v>
      </c>
      <c r="K57" s="1">
        <f>IF(J57 + K56 &lt; 0, J57 + K56, 0)</f>
        <v>0</v>
      </c>
      <c r="L57" s="1">
        <v>0</v>
      </c>
      <c r="M57" s="1">
        <f>IF(L57 + M56 &lt; 0, L57 + M56, 0)</f>
        <v>0</v>
      </c>
      <c r="N57" s="1">
        <v>0</v>
      </c>
      <c r="O57" s="1">
        <f>IF(N57 + O56 &lt; 0, N57 + O56, 0)</f>
        <v>0</v>
      </c>
      <c r="P57" s="1">
        <v>0</v>
      </c>
      <c r="Q57" s="1">
        <f>IF(P57 + Q56 &lt; 0, P57 + Q56, 0)</f>
        <v>0</v>
      </c>
      <c r="R57" s="1">
        <v>0</v>
      </c>
      <c r="S57" s="1">
        <f>IF(R57 + S56 &lt; 0, R57 + S56, 0)</f>
        <v>0</v>
      </c>
      <c r="T57" s="1">
        <v>0</v>
      </c>
      <c r="U57" s="1">
        <f>IF(T57 + U56 &lt; 0, T57 + U56, 0)</f>
        <v>0</v>
      </c>
      <c r="V57" s="1">
        <v>0</v>
      </c>
      <c r="W57" s="1">
        <f>IF(V57 + W56 &lt; 0, V57 + W56, 0)</f>
        <v>0</v>
      </c>
      <c r="X57" s="1">
        <v>0</v>
      </c>
      <c r="Y57" s="1">
        <f>IF(X57 + Y56 &lt; 0, X57 + Y56, 0)</f>
        <v>0</v>
      </c>
      <c r="Z57" s="1">
        <v>0</v>
      </c>
      <c r="AA57" s="1">
        <f>IF(Z57 + AA56 &lt; 0, Z57 + AA56, 0)</f>
        <v>0</v>
      </c>
      <c r="AB57" s="1">
        <v>0</v>
      </c>
      <c r="AC57" s="1">
        <f>IF(AB57 + AC56 &lt; 0, AB57 + AC56, 0)</f>
        <v>0</v>
      </c>
      <c r="AD57" s="1">
        <v>0</v>
      </c>
      <c r="AE57" s="1">
        <f>IF(AD57 + AE56 &lt; 0, AD57 + AE56, 0)</f>
        <v>0</v>
      </c>
      <c r="AF57" s="1">
        <v>0</v>
      </c>
      <c r="AG57" s="1">
        <f>IF(AF57 + AG56 &lt; 0, AF57 + AG56, 0)</f>
        <v>0</v>
      </c>
      <c r="AH57" s="1">
        <v>0</v>
      </c>
      <c r="AI57" s="1">
        <f>IF(AH57 + AI56 &lt; 0, AH57 + AI56, 0)</f>
        <v>0</v>
      </c>
      <c r="AJ57" s="1">
        <v>0</v>
      </c>
      <c r="AK57" s="1">
        <f>IF(AJ57 + AK56 &lt; 0, AJ57 + AK56, 0)</f>
        <v>0</v>
      </c>
    </row>
    <row r="58" spans="1:37" s="1" customFormat="1">
      <c r="A58" s="3">
        <v>45372</v>
      </c>
      <c r="B58" s="2" t="s">
        <v>25</v>
      </c>
      <c r="C58" s="2">
        <v>4</v>
      </c>
      <c r="D58" s="2">
        <v>3</v>
      </c>
      <c r="E58" s="2">
        <v>2</v>
      </c>
      <c r="F58" s="2">
        <v>1</v>
      </c>
      <c r="G58" s="2">
        <v>2</v>
      </c>
      <c r="H58" s="1">
        <v>0</v>
      </c>
      <c r="I58" s="1">
        <f>IF(H58 + I57 &lt; 0, H58 + I57, 0)</f>
        <v>0</v>
      </c>
      <c r="J58" s="1">
        <v>0</v>
      </c>
      <c r="K58" s="1">
        <f>IF(J58 + K57 &lt; 0, J58 + K57, 0)</f>
        <v>0</v>
      </c>
      <c r="L58" s="1">
        <v>0</v>
      </c>
      <c r="M58" s="1">
        <f>IF(L58 + M57 &lt; 0, L58 + M57, 0)</f>
        <v>0</v>
      </c>
      <c r="N58" s="1">
        <v>0</v>
      </c>
      <c r="O58" s="1">
        <f>IF(N58 + O57 &lt; 0, N58 + O57, 0)</f>
        <v>0</v>
      </c>
      <c r="P58" s="1">
        <v>0</v>
      </c>
      <c r="Q58" s="1">
        <f>IF(P58 + Q57 &lt; 0, P58 + Q57, 0)</f>
        <v>0</v>
      </c>
      <c r="R58" s="1">
        <v>0</v>
      </c>
      <c r="S58" s="1">
        <f>IF(R58 + S57 &lt; 0, R58 + S57, 0)</f>
        <v>0</v>
      </c>
      <c r="T58" s="1">
        <v>0</v>
      </c>
      <c r="U58" s="1">
        <f>IF(T58 + U57 &lt; 0, T58 + U57, 0)</f>
        <v>0</v>
      </c>
      <c r="V58" s="1">
        <v>0</v>
      </c>
      <c r="W58" s="1">
        <f>IF(V58 + W57 &lt; 0, V58 + W57, 0)</f>
        <v>0</v>
      </c>
      <c r="X58" s="1">
        <v>0</v>
      </c>
      <c r="Y58" s="1">
        <f>IF(X58 + Y57 &lt; 0, X58 + Y57, 0)</f>
        <v>0</v>
      </c>
      <c r="Z58" s="1">
        <v>623804.3025474844</v>
      </c>
      <c r="AA58" s="1">
        <f>IF(Z58 + AA57 &lt; 0, Z58 + AA57, 0)</f>
        <v>0</v>
      </c>
      <c r="AB58" s="1">
        <v>303476.6371434255</v>
      </c>
      <c r="AC58" s="1">
        <f>IF(AB58 + AC57 &lt; 0, AB58 + AC57, 0)</f>
        <v>0</v>
      </c>
      <c r="AD58" s="1">
        <v>582900.4943401456</v>
      </c>
      <c r="AE58" s="1">
        <f>IF(AD58 + AE57 &lt; 0, AD58 + AE57, 0)</f>
        <v>0</v>
      </c>
      <c r="AF58" s="1">
        <v>0</v>
      </c>
      <c r="AG58" s="1">
        <f>IF(AF58 + AG57 &lt; 0, AF58 + AG57, 0)</f>
        <v>0</v>
      </c>
      <c r="AH58" s="1">
        <v>0</v>
      </c>
      <c r="AI58" s="1">
        <f>IF(AH58 + AI57 &lt; 0, AH58 + AI57, 0)</f>
        <v>0</v>
      </c>
      <c r="AJ58" s="1">
        <v>0</v>
      </c>
      <c r="AK58" s="1">
        <f>IF(AJ58 + AK57 &lt; 0, AJ58 + AK57, 0)</f>
        <v>0</v>
      </c>
    </row>
    <row r="59" spans="1:37" s="1" customFormat="1">
      <c r="A59" s="3">
        <v>45373</v>
      </c>
      <c r="B59" s="2" t="s">
        <v>26</v>
      </c>
      <c r="C59" s="2">
        <v>3</v>
      </c>
      <c r="D59" s="2">
        <v>2</v>
      </c>
      <c r="E59" s="2">
        <v>1</v>
      </c>
      <c r="F59" s="2">
        <v>4</v>
      </c>
      <c r="G59" s="2">
        <v>1</v>
      </c>
      <c r="H59" s="1">
        <v>0</v>
      </c>
      <c r="I59" s="1">
        <f>IF(H59 + I58 &lt; 0, H59 + I58, 0)</f>
        <v>0</v>
      </c>
      <c r="J59" s="1">
        <v>0</v>
      </c>
      <c r="K59" s="1">
        <f>IF(J59 + K58 &lt; 0, J59 + K58, 0)</f>
        <v>0</v>
      </c>
      <c r="L59" s="1">
        <v>0</v>
      </c>
      <c r="M59" s="1">
        <f>IF(L59 + M58 &lt; 0, L59 + M58, 0)</f>
        <v>0</v>
      </c>
      <c r="N59" s="1">
        <v>0</v>
      </c>
      <c r="O59" s="1">
        <f>IF(N59 + O58 &lt; 0, N59 + O58, 0)</f>
        <v>0</v>
      </c>
      <c r="P59" s="1">
        <v>0</v>
      </c>
      <c r="Q59" s="1">
        <f>IF(P59 + Q58 &lt; 0, P59 + Q58, 0)</f>
        <v>0</v>
      </c>
      <c r="R59" s="1">
        <v>0</v>
      </c>
      <c r="S59" s="1">
        <f>IF(R59 + S58 &lt; 0, R59 + S58, 0)</f>
        <v>0</v>
      </c>
      <c r="T59" s="1">
        <v>0</v>
      </c>
      <c r="U59" s="1">
        <f>IF(T59 + U58 &lt; 0, T59 + U58, 0)</f>
        <v>0</v>
      </c>
      <c r="V59" s="1">
        <v>0</v>
      </c>
      <c r="W59" s="1">
        <f>IF(V59 + W58 &lt; 0, V59 + W58, 0)</f>
        <v>0</v>
      </c>
      <c r="X59" s="1">
        <v>0</v>
      </c>
      <c r="Y59" s="1">
        <f>IF(X59 + Y58 &lt; 0, X59 + Y58, 0)</f>
        <v>0</v>
      </c>
      <c r="Z59" s="1">
        <v>0</v>
      </c>
      <c r="AA59" s="1">
        <f>IF(Z59 + AA58 &lt; 0, Z59 + AA58, 0)</f>
        <v>0</v>
      </c>
      <c r="AB59" s="1">
        <v>0</v>
      </c>
      <c r="AC59" s="1">
        <f>IF(AB59 + AC58 &lt; 0, AB59 + AC58, 0)</f>
        <v>0</v>
      </c>
      <c r="AD59" s="1">
        <v>0</v>
      </c>
      <c r="AE59" s="1">
        <f>IF(AD59 + AE58 &lt; 0, AD59 + AE58, 0)</f>
        <v>0</v>
      </c>
      <c r="AF59" s="1">
        <v>-352399.8851059274</v>
      </c>
      <c r="AG59" s="1">
        <f>IF(AF59 + AG58 &lt; 0, AF59 + AG58, 0)</f>
        <v>0</v>
      </c>
      <c r="AH59" s="1">
        <v>314509.300240885</v>
      </c>
      <c r="AI59" s="1">
        <f>IF(AH59 + AI58 &lt; 0, AH59 + AI58, 0)</f>
        <v>0</v>
      </c>
      <c r="AJ59" s="1">
        <v>-107581.8916959563</v>
      </c>
      <c r="AK59" s="1">
        <f>IF(AJ59 + AK58 &lt; 0, AJ59 + AK58, 0)</f>
        <v>0</v>
      </c>
    </row>
    <row r="60" spans="1:37" s="1" customFormat="1">
      <c r="A60" s="3">
        <v>45377</v>
      </c>
      <c r="B60" s="2" t="s">
        <v>23</v>
      </c>
      <c r="C60" s="2">
        <v>2</v>
      </c>
      <c r="D60" s="2">
        <v>1</v>
      </c>
      <c r="E60" s="2">
        <v>22</v>
      </c>
      <c r="F60" s="2">
        <v>3</v>
      </c>
      <c r="G60" s="2">
        <v>3</v>
      </c>
      <c r="H60" s="1">
        <v>0</v>
      </c>
      <c r="I60" s="1">
        <f>IF(H60 + I59 &lt; 0, H60 + I59, 0)</f>
        <v>0</v>
      </c>
      <c r="J60" s="1">
        <v>0</v>
      </c>
      <c r="K60" s="1">
        <f>IF(J60 + K59 &lt; 0, J60 + K59, 0)</f>
        <v>0</v>
      </c>
      <c r="L60" s="1">
        <v>0</v>
      </c>
      <c r="M60" s="1">
        <f>IF(L60 + M59 &lt; 0, L60 + M59, 0)</f>
        <v>0</v>
      </c>
      <c r="N60" s="1">
        <v>0</v>
      </c>
      <c r="O60" s="1">
        <f>IF(N60 + O59 &lt; 0, N60 + O59, 0)</f>
        <v>0</v>
      </c>
      <c r="P60" s="1">
        <v>0</v>
      </c>
      <c r="Q60" s="1">
        <f>IF(P60 + Q59 &lt; 0, P60 + Q59, 0)</f>
        <v>0</v>
      </c>
      <c r="R60" s="1">
        <v>0</v>
      </c>
      <c r="S60" s="1">
        <f>IF(R60 + S59 &lt; 0, R60 + S59, 0)</f>
        <v>0</v>
      </c>
      <c r="T60" s="1">
        <v>0</v>
      </c>
      <c r="U60" s="1">
        <f>IF(T60 + U59 &lt; 0, T60 + U59, 0)</f>
        <v>0</v>
      </c>
      <c r="V60" s="1">
        <v>0</v>
      </c>
      <c r="W60" s="1">
        <f>IF(V60 + W59 &lt; 0, V60 + W59, 0)</f>
        <v>0</v>
      </c>
      <c r="X60" s="1">
        <v>0</v>
      </c>
      <c r="Y60" s="1">
        <f>IF(X60 + Y59 &lt; 0, X60 + Y59, 0)</f>
        <v>0</v>
      </c>
      <c r="Z60" s="1">
        <v>0</v>
      </c>
      <c r="AA60" s="1">
        <f>IF(Z60 + AA59 &lt; 0, Z60 + AA59, 0)</f>
        <v>0</v>
      </c>
      <c r="AB60" s="1">
        <v>0</v>
      </c>
      <c r="AC60" s="1">
        <f>IF(AB60 + AC59 &lt; 0, AB60 + AC59, 0)</f>
        <v>0</v>
      </c>
      <c r="AD60" s="1">
        <v>0</v>
      </c>
      <c r="AE60" s="1">
        <f>IF(AD60 + AE59 &lt; 0, AD60 + AE59, 0)</f>
        <v>0</v>
      </c>
      <c r="AF60" s="1">
        <v>0</v>
      </c>
      <c r="AG60" s="1">
        <f>IF(AF60 + AG59 &lt; 0, AF60 + AG59, 0)</f>
        <v>0</v>
      </c>
      <c r="AH60" s="1">
        <v>0</v>
      </c>
      <c r="AI60" s="1">
        <f>IF(AH60 + AI59 &lt; 0, AH60 + AI59, 0)</f>
        <v>0</v>
      </c>
      <c r="AJ60" s="1">
        <v>0</v>
      </c>
      <c r="AK60" s="1">
        <f>IF(AJ60 + AK59 &lt; 0, AJ60 + AK59, 0)</f>
        <v>0</v>
      </c>
    </row>
    <row r="61" spans="1:37" s="1" customFormat="1">
      <c r="A61" s="3">
        <v>45378</v>
      </c>
      <c r="B61" s="2" t="s">
        <v>24</v>
      </c>
      <c r="C61" s="2">
        <v>1</v>
      </c>
      <c r="D61" s="2">
        <v>22</v>
      </c>
      <c r="E61" s="2">
        <v>21</v>
      </c>
      <c r="F61" s="2">
        <v>2</v>
      </c>
      <c r="G61" s="2">
        <v>2</v>
      </c>
      <c r="H61" s="1">
        <v>0</v>
      </c>
      <c r="I61" s="1">
        <f>IF(H61 + I60 &lt; 0, H61 + I60, 0)</f>
        <v>0</v>
      </c>
      <c r="J61" s="1">
        <v>0</v>
      </c>
      <c r="K61" s="1">
        <f>IF(J61 + K60 &lt; 0, J61 + K60, 0)</f>
        <v>0</v>
      </c>
      <c r="L61" s="1">
        <v>0</v>
      </c>
      <c r="M61" s="1">
        <f>IF(L61 + M60 &lt; 0, L61 + M60, 0)</f>
        <v>0</v>
      </c>
      <c r="N61" s="1">
        <v>0</v>
      </c>
      <c r="O61" s="1">
        <f>IF(N61 + O60 &lt; 0, N61 + O60, 0)</f>
        <v>0</v>
      </c>
      <c r="P61" s="1">
        <v>0</v>
      </c>
      <c r="Q61" s="1">
        <f>IF(P61 + Q60 &lt; 0, P61 + Q60, 0)</f>
        <v>0</v>
      </c>
      <c r="R61" s="1">
        <v>0</v>
      </c>
      <c r="S61" s="1">
        <f>IF(R61 + S60 &lt; 0, R61 + S60, 0)</f>
        <v>0</v>
      </c>
      <c r="T61" s="1">
        <v>0</v>
      </c>
      <c r="U61" s="1">
        <f>IF(T61 + U60 &lt; 0, T61 + U60, 0)</f>
        <v>0</v>
      </c>
      <c r="V61" s="1">
        <v>0</v>
      </c>
      <c r="W61" s="1">
        <f>IF(V61 + W60 &lt; 0, V61 + W60, 0)</f>
        <v>0</v>
      </c>
      <c r="X61" s="1">
        <v>0</v>
      </c>
      <c r="Y61" s="1">
        <f>IF(X61 + Y60 &lt; 0, X61 + Y60, 0)</f>
        <v>0</v>
      </c>
      <c r="Z61" s="1">
        <v>0</v>
      </c>
      <c r="AA61" s="1">
        <f>IF(Z61 + AA60 &lt; 0, Z61 + AA60, 0)</f>
        <v>0</v>
      </c>
      <c r="AB61" s="1">
        <v>0</v>
      </c>
      <c r="AC61" s="1">
        <f>IF(AB61 + AC60 &lt; 0, AB61 + AC60, 0)</f>
        <v>0</v>
      </c>
      <c r="AD61" s="1">
        <v>0</v>
      </c>
      <c r="AE61" s="1">
        <f>IF(AD61 + AE60 &lt; 0, AD61 + AE60, 0)</f>
        <v>0</v>
      </c>
      <c r="AF61" s="1">
        <v>0</v>
      </c>
      <c r="AG61" s="1">
        <f>IF(AF61 + AG60 &lt; 0, AF61 + AG60, 0)</f>
        <v>0</v>
      </c>
      <c r="AH61" s="1">
        <v>0</v>
      </c>
      <c r="AI61" s="1">
        <f>IF(AH61 + AI60 &lt; 0, AH61 + AI60, 0)</f>
        <v>0</v>
      </c>
      <c r="AJ61" s="1">
        <v>0</v>
      </c>
      <c r="AK61" s="1">
        <f>IF(AJ61 + AK60 &lt; 0, AJ61 + AK60, 0)</f>
        <v>0</v>
      </c>
    </row>
    <row r="62" spans="1:37" s="1" customFormat="1">
      <c r="A62" s="3">
        <v>45379</v>
      </c>
      <c r="B62" s="2" t="s">
        <v>25</v>
      </c>
      <c r="C62" s="2">
        <v>21</v>
      </c>
      <c r="D62" s="2">
        <v>21</v>
      </c>
      <c r="E62" s="2">
        <v>20</v>
      </c>
      <c r="F62" s="2">
        <v>1</v>
      </c>
      <c r="G62" s="2">
        <v>1</v>
      </c>
      <c r="H62" s="1">
        <v>0</v>
      </c>
      <c r="I62" s="1">
        <f>IF(H62 + I61 &lt; 0, H62 + I61, 0)</f>
        <v>0</v>
      </c>
      <c r="J62" s="1">
        <v>0</v>
      </c>
      <c r="K62" s="1">
        <f>IF(J62 + K61 &lt; 0, J62 + K61, 0)</f>
        <v>0</v>
      </c>
      <c r="L62" s="1">
        <v>0</v>
      </c>
      <c r="M62" s="1">
        <f>IF(L62 + M61 &lt; 0, L62 + M61, 0)</f>
        <v>0</v>
      </c>
      <c r="N62" s="1">
        <v>0</v>
      </c>
      <c r="O62" s="1">
        <f>IF(N62 + O61 &lt; 0, N62 + O61, 0)</f>
        <v>0</v>
      </c>
      <c r="P62" s="1">
        <v>0</v>
      </c>
      <c r="Q62" s="1">
        <f>IF(P62 + Q61 &lt; 0, P62 + Q61, 0)</f>
        <v>0</v>
      </c>
      <c r="R62" s="1">
        <v>0</v>
      </c>
      <c r="S62" s="1">
        <f>IF(R62 + S61 &lt; 0, R62 + S61, 0)</f>
        <v>0</v>
      </c>
      <c r="T62" s="1">
        <v>0</v>
      </c>
      <c r="U62" s="1">
        <f>IF(T62 + U61 &lt; 0, T62 + U61, 0)</f>
        <v>0</v>
      </c>
      <c r="V62" s="1">
        <v>0</v>
      </c>
      <c r="W62" s="1">
        <f>IF(V62 + W61 &lt; 0, V62 + W61, 0)</f>
        <v>0</v>
      </c>
      <c r="X62" s="1">
        <v>0</v>
      </c>
      <c r="Y62" s="1">
        <f>IF(X62 + Y61 &lt; 0, X62 + Y61, 0)</f>
        <v>0</v>
      </c>
      <c r="Z62" s="1">
        <v>299169.3969012317</v>
      </c>
      <c r="AA62" s="1">
        <f>IF(Z62 + AA61 &lt; 0, Z62 + AA61, 0)</f>
        <v>0</v>
      </c>
      <c r="AB62" s="1">
        <v>299169.3969012317</v>
      </c>
      <c r="AC62" s="1">
        <f>IF(AB62 + AC61 &lt; 0, AB62 + AC61, 0)</f>
        <v>0</v>
      </c>
      <c r="AD62" s="1">
        <v>205830.9251992682</v>
      </c>
      <c r="AE62" s="1">
        <f>IF(AD62 + AE61 &lt; 0, AD62 + AE61, 0)</f>
        <v>0</v>
      </c>
      <c r="AF62" s="1">
        <v>121404.4478672682</v>
      </c>
      <c r="AG62" s="1">
        <f>IF(AF62 + AG61 &lt; 0, AF62 + AG61, 0)</f>
        <v>0</v>
      </c>
      <c r="AH62" s="1">
        <v>121404.4478672682</v>
      </c>
      <c r="AI62" s="1">
        <f>IF(AH62 + AI61 &lt; 0, AH62 + AI61, 0)</f>
        <v>0</v>
      </c>
      <c r="AJ62" s="1">
        <v>121404.4478672682</v>
      </c>
      <c r="AK62" s="1">
        <f>IF(AJ62 + AK61 &lt; 0, AJ62 + AK61, 0)</f>
        <v>0</v>
      </c>
    </row>
    <row r="63" spans="1:37" s="1" customFormat="1">
      <c r="A63" s="3">
        <v>45383</v>
      </c>
      <c r="B63" s="2" t="s">
        <v>22</v>
      </c>
      <c r="C63" s="2">
        <v>20</v>
      </c>
      <c r="D63" s="2">
        <v>20</v>
      </c>
      <c r="E63" s="2">
        <v>19</v>
      </c>
      <c r="F63" s="2">
        <v>4</v>
      </c>
      <c r="G63" s="2">
        <v>5</v>
      </c>
      <c r="H63" s="1">
        <v>0</v>
      </c>
      <c r="I63" s="1">
        <f>IF(H63 + I62 &lt; 0, H63 + I62, 0)</f>
        <v>0</v>
      </c>
      <c r="J63" s="1">
        <v>0</v>
      </c>
      <c r="K63" s="1">
        <f>IF(J63 + K62 &lt; 0, J63 + K62, 0)</f>
        <v>0</v>
      </c>
      <c r="L63" s="1">
        <v>0</v>
      </c>
      <c r="M63" s="1">
        <f>IF(L63 + M62 &lt; 0, L63 + M62, 0)</f>
        <v>0</v>
      </c>
      <c r="N63" s="1">
        <v>0</v>
      </c>
      <c r="O63" s="1">
        <f>IF(N63 + O62 &lt; 0, N63 + O62, 0)</f>
        <v>0</v>
      </c>
      <c r="P63" s="1">
        <v>0</v>
      </c>
      <c r="Q63" s="1">
        <f>IF(P63 + Q62 &lt; 0, P63 + Q62, 0)</f>
        <v>0</v>
      </c>
      <c r="R63" s="1">
        <v>0</v>
      </c>
      <c r="S63" s="1">
        <f>IF(R63 + S62 &lt; 0, R63 + S62, 0)</f>
        <v>0</v>
      </c>
      <c r="T63" s="1">
        <v>0</v>
      </c>
      <c r="U63" s="1">
        <f>IF(T63 + U62 &lt; 0, T63 + U62, 0)</f>
        <v>0</v>
      </c>
      <c r="V63" s="1">
        <v>0</v>
      </c>
      <c r="W63" s="1">
        <f>IF(V63 + W62 &lt; 0, V63 + W62, 0)</f>
        <v>0</v>
      </c>
      <c r="X63" s="1">
        <v>0</v>
      </c>
      <c r="Y63" s="1">
        <f>IF(X63 + Y62 &lt; 0, X63 + Y62, 0)</f>
        <v>0</v>
      </c>
      <c r="Z63" s="1">
        <v>0</v>
      </c>
      <c r="AA63" s="1">
        <f>IF(Z63 + AA62 &lt; 0, Z63 + AA62, 0)</f>
        <v>0</v>
      </c>
      <c r="AB63" s="1">
        <v>0</v>
      </c>
      <c r="AC63" s="1">
        <f>IF(AB63 + AC62 &lt; 0, AB63 + AC62, 0)</f>
        <v>0</v>
      </c>
      <c r="AD63" s="1">
        <v>0</v>
      </c>
      <c r="AE63" s="1">
        <f>IF(AD63 + AE62 &lt; 0, AD63 + AE62, 0)</f>
        <v>0</v>
      </c>
      <c r="AF63" s="1">
        <v>0</v>
      </c>
      <c r="AG63" s="1">
        <f>IF(AF63 + AG62 &lt; 0, AF63 + AG62, 0)</f>
        <v>0</v>
      </c>
      <c r="AH63" s="1">
        <v>0</v>
      </c>
      <c r="AI63" s="1">
        <f>IF(AH63 + AI62 &lt; 0, AH63 + AI62, 0)</f>
        <v>0</v>
      </c>
      <c r="AJ63" s="1">
        <v>0</v>
      </c>
      <c r="AK63" s="1">
        <f>IF(AJ63 + AK62 &lt; 0, AJ63 + AK62, 0)</f>
        <v>0</v>
      </c>
    </row>
    <row r="64" spans="1:37" s="1" customFormat="1">
      <c r="A64" s="3">
        <v>45384</v>
      </c>
      <c r="B64" s="2" t="s">
        <v>23</v>
      </c>
      <c r="C64" s="2">
        <v>19</v>
      </c>
      <c r="D64" s="2">
        <v>19</v>
      </c>
      <c r="E64" s="2">
        <v>18</v>
      </c>
      <c r="F64" s="2">
        <v>3</v>
      </c>
      <c r="G64" s="2">
        <v>4</v>
      </c>
      <c r="H64" s="1">
        <v>0</v>
      </c>
      <c r="I64" s="1">
        <f>IF(H64 + I63 &lt; 0, H64 + I63, 0)</f>
        <v>0</v>
      </c>
      <c r="J64" s="1">
        <v>0</v>
      </c>
      <c r="K64" s="1">
        <f>IF(J64 + K63 &lt; 0, J64 + K63, 0)</f>
        <v>0</v>
      </c>
      <c r="L64" s="1">
        <v>0</v>
      </c>
      <c r="M64" s="1">
        <f>IF(L64 + M63 &lt; 0, L64 + M63, 0)</f>
        <v>0</v>
      </c>
      <c r="N64" s="1">
        <v>0</v>
      </c>
      <c r="O64" s="1">
        <f>IF(N64 + O63 &lt; 0, N64 + O63, 0)</f>
        <v>0</v>
      </c>
      <c r="P64" s="1">
        <v>0</v>
      </c>
      <c r="Q64" s="1">
        <f>IF(P64 + Q63 &lt; 0, P64 + Q63, 0)</f>
        <v>0</v>
      </c>
      <c r="R64" s="1">
        <v>0</v>
      </c>
      <c r="S64" s="1">
        <f>IF(R64 + S63 &lt; 0, R64 + S63, 0)</f>
        <v>0</v>
      </c>
      <c r="T64" s="1">
        <v>0</v>
      </c>
      <c r="U64" s="1">
        <f>IF(T64 + U63 &lt; 0, T64 + U63, 0)</f>
        <v>0</v>
      </c>
      <c r="V64" s="1">
        <v>0</v>
      </c>
      <c r="W64" s="1">
        <f>IF(V64 + W63 &lt; 0, V64 + W63, 0)</f>
        <v>0</v>
      </c>
      <c r="X64" s="1">
        <v>0</v>
      </c>
      <c r="Y64" s="1">
        <f>IF(X64 + Y63 &lt; 0, X64 + Y63, 0)</f>
        <v>0</v>
      </c>
      <c r="Z64" s="1">
        <v>0</v>
      </c>
      <c r="AA64" s="1">
        <f>IF(Z64 + AA63 &lt; 0, Z64 + AA63, 0)</f>
        <v>0</v>
      </c>
      <c r="AB64" s="1">
        <v>0</v>
      </c>
      <c r="AC64" s="1">
        <f>IF(AB64 + AC63 &lt; 0, AB64 + AC63, 0)</f>
        <v>0</v>
      </c>
      <c r="AD64" s="1">
        <v>0</v>
      </c>
      <c r="AE64" s="1">
        <f>IF(AD64 + AE63 &lt; 0, AD64 + AE63, 0)</f>
        <v>0</v>
      </c>
      <c r="AF64" s="1">
        <v>0</v>
      </c>
      <c r="AG64" s="1">
        <f>IF(AF64 + AG63 &lt; 0, AF64 + AG63, 0)</f>
        <v>0</v>
      </c>
      <c r="AH64" s="1">
        <v>0</v>
      </c>
      <c r="AI64" s="1">
        <f>IF(AH64 + AI63 &lt; 0, AH64 + AI63, 0)</f>
        <v>0</v>
      </c>
      <c r="AJ64" s="1">
        <v>0</v>
      </c>
      <c r="AK64" s="1">
        <f>IF(AJ64 + AK63 &lt; 0, AJ64 + AK63, 0)</f>
        <v>0</v>
      </c>
    </row>
    <row r="65" spans="1:37" s="1" customFormat="1">
      <c r="A65" s="3">
        <v>45385</v>
      </c>
      <c r="B65" s="2" t="s">
        <v>24</v>
      </c>
      <c r="C65" s="2">
        <v>18</v>
      </c>
      <c r="D65" s="2">
        <v>18</v>
      </c>
      <c r="E65" s="2">
        <v>17</v>
      </c>
      <c r="F65" s="2">
        <v>2</v>
      </c>
      <c r="G65" s="2">
        <v>3</v>
      </c>
      <c r="H65" s="1">
        <v>0</v>
      </c>
      <c r="I65" s="1">
        <f>IF(H65 + I64 &lt; 0, H65 + I64, 0)</f>
        <v>0</v>
      </c>
      <c r="J65" s="1">
        <v>0</v>
      </c>
      <c r="K65" s="1">
        <f>IF(J65 + K64 &lt; 0, J65 + K64, 0)</f>
        <v>0</v>
      </c>
      <c r="L65" s="1">
        <v>0</v>
      </c>
      <c r="M65" s="1">
        <f>IF(L65 + M64 &lt; 0, L65 + M64, 0)</f>
        <v>0</v>
      </c>
      <c r="N65" s="1">
        <v>0</v>
      </c>
      <c r="O65" s="1">
        <f>IF(N65 + O64 &lt; 0, N65 + O64, 0)</f>
        <v>0</v>
      </c>
      <c r="P65" s="1">
        <v>0</v>
      </c>
      <c r="Q65" s="1">
        <f>IF(P65 + Q64 &lt; 0, P65 + Q64, 0)</f>
        <v>0</v>
      </c>
      <c r="R65" s="1">
        <v>0</v>
      </c>
      <c r="S65" s="1">
        <f>IF(R65 + S64 &lt; 0, R65 + S64, 0)</f>
        <v>0</v>
      </c>
      <c r="T65" s="1">
        <v>0</v>
      </c>
      <c r="U65" s="1">
        <f>IF(T65 + U64 &lt; 0, T65 + U64, 0)</f>
        <v>0</v>
      </c>
      <c r="V65" s="1">
        <v>0</v>
      </c>
      <c r="W65" s="1">
        <f>IF(V65 + W64 &lt; 0, V65 + W64, 0)</f>
        <v>0</v>
      </c>
      <c r="X65" s="1">
        <v>0</v>
      </c>
      <c r="Y65" s="1">
        <f>IF(X65 + Y64 &lt; 0, X65 + Y64, 0)</f>
        <v>0</v>
      </c>
      <c r="Z65" s="1">
        <v>0</v>
      </c>
      <c r="AA65" s="1">
        <f>IF(Z65 + AA64 &lt; 0, Z65 + AA64, 0)</f>
        <v>0</v>
      </c>
      <c r="AB65" s="1">
        <v>0</v>
      </c>
      <c r="AC65" s="1">
        <f>IF(AB65 + AC64 &lt; 0, AB65 + AC64, 0)</f>
        <v>0</v>
      </c>
      <c r="AD65" s="1">
        <v>0</v>
      </c>
      <c r="AE65" s="1">
        <f>IF(AD65 + AE64 &lt; 0, AD65 + AE64, 0)</f>
        <v>0</v>
      </c>
      <c r="AF65" s="1">
        <v>0</v>
      </c>
      <c r="AG65" s="1">
        <f>IF(AF65 + AG64 &lt; 0, AF65 + AG64, 0)</f>
        <v>0</v>
      </c>
      <c r="AH65" s="1">
        <v>0</v>
      </c>
      <c r="AI65" s="1">
        <f>IF(AH65 + AI64 &lt; 0, AH65 + AI64, 0)</f>
        <v>0</v>
      </c>
      <c r="AJ65" s="1">
        <v>0</v>
      </c>
      <c r="AK65" s="1">
        <f>IF(AJ65 + AK64 &lt; 0, AJ65 + AK64, 0)</f>
        <v>0</v>
      </c>
    </row>
    <row r="66" spans="1:37" s="1" customFormat="1">
      <c r="A66" s="3">
        <v>45386</v>
      </c>
      <c r="B66" s="2" t="s">
        <v>25</v>
      </c>
      <c r="C66" s="2">
        <v>17</v>
      </c>
      <c r="D66" s="2">
        <v>17</v>
      </c>
      <c r="E66" s="2">
        <v>16</v>
      </c>
      <c r="F66" s="2">
        <v>1</v>
      </c>
      <c r="G66" s="2">
        <v>2</v>
      </c>
      <c r="H66" s="1">
        <v>0</v>
      </c>
      <c r="I66" s="1">
        <f>IF(H66 + I65 &lt; 0, H66 + I65, 0)</f>
        <v>0</v>
      </c>
      <c r="J66" s="1">
        <v>0</v>
      </c>
      <c r="K66" s="1">
        <f>IF(J66 + K65 &lt; 0, J66 + K65, 0)</f>
        <v>0</v>
      </c>
      <c r="L66" s="1">
        <v>0</v>
      </c>
      <c r="M66" s="1">
        <f>IF(L66 + M65 &lt; 0, L66 + M65, 0)</f>
        <v>0</v>
      </c>
      <c r="N66" s="1">
        <v>0</v>
      </c>
      <c r="O66" s="1">
        <f>IF(N66 + O65 &lt; 0, N66 + O65, 0)</f>
        <v>0</v>
      </c>
      <c r="P66" s="1">
        <v>0</v>
      </c>
      <c r="Q66" s="1">
        <f>IF(P66 + Q65 &lt; 0, P66 + Q65, 0)</f>
        <v>0</v>
      </c>
      <c r="R66" s="1">
        <v>0</v>
      </c>
      <c r="S66" s="1">
        <f>IF(R66 + S65 &lt; 0, R66 + S65, 0)</f>
        <v>0</v>
      </c>
      <c r="T66" s="1">
        <v>0</v>
      </c>
      <c r="U66" s="1">
        <f>IF(T66 + U65 &lt; 0, T66 + U65, 0)</f>
        <v>0</v>
      </c>
      <c r="V66" s="1">
        <v>0</v>
      </c>
      <c r="W66" s="1">
        <f>IF(V66 + W65 &lt; 0, V66 + W65, 0)</f>
        <v>0</v>
      </c>
      <c r="X66" s="1">
        <v>0</v>
      </c>
      <c r="Y66" s="1">
        <f>IF(X66 + Y65 &lt; 0, X66 + Y65, 0)</f>
        <v>0</v>
      </c>
      <c r="Z66" s="1">
        <v>-578200.1950774172</v>
      </c>
      <c r="AA66" s="1">
        <f>IF(Z66 + AA65 &lt; 0, Z66 + AA65, 0)</f>
        <v>0</v>
      </c>
      <c r="AB66" s="1">
        <v>-578200.1950774172</v>
      </c>
      <c r="AC66" s="1">
        <f>IF(AB66 + AC65 &lt; 0, AB66 + AC65, 0)</f>
        <v>0</v>
      </c>
      <c r="AD66" s="1">
        <v>-75877.04439870328</v>
      </c>
      <c r="AE66" s="1">
        <f>IF(AD66 + AE65 &lt; 0, AD66 + AE65, 0)</f>
        <v>0</v>
      </c>
      <c r="AF66" s="1">
        <v>0</v>
      </c>
      <c r="AG66" s="1">
        <f>IF(AF66 + AG65 &lt; 0, AF66 + AG65, 0)</f>
        <v>0</v>
      </c>
      <c r="AH66" s="1">
        <v>0</v>
      </c>
      <c r="AI66" s="1">
        <f>IF(AH66 + AI65 &lt; 0, AH66 + AI65, 0)</f>
        <v>0</v>
      </c>
      <c r="AJ66" s="1">
        <v>0</v>
      </c>
      <c r="AK66" s="1">
        <f>IF(AJ66 + AK65 &lt; 0, AJ66 + AK65, 0)</f>
        <v>0</v>
      </c>
    </row>
    <row r="67" spans="1:37" s="1" customFormat="1">
      <c r="A67" s="3">
        <v>45387</v>
      </c>
      <c r="B67" s="2" t="s">
        <v>26</v>
      </c>
      <c r="C67" s="2">
        <v>16</v>
      </c>
      <c r="D67" s="2">
        <v>16</v>
      </c>
      <c r="E67" s="2">
        <v>15</v>
      </c>
      <c r="F67" s="2">
        <v>4</v>
      </c>
      <c r="G67" s="2">
        <v>1</v>
      </c>
      <c r="H67" s="1">
        <v>0</v>
      </c>
      <c r="I67" s="1">
        <f>IF(H67 + I66 &lt; 0, H67 + I66, 0)</f>
        <v>0</v>
      </c>
      <c r="J67" s="1">
        <v>0</v>
      </c>
      <c r="K67" s="1">
        <f>IF(J67 + K66 &lt; 0, J67 + K66, 0)</f>
        <v>0</v>
      </c>
      <c r="L67" s="1">
        <v>0</v>
      </c>
      <c r="M67" s="1">
        <f>IF(L67 + M66 &lt; 0, L67 + M66, 0)</f>
        <v>0</v>
      </c>
      <c r="N67" s="1">
        <v>0</v>
      </c>
      <c r="O67" s="1">
        <f>IF(N67 + O66 &lt; 0, N67 + O66, 0)</f>
        <v>0</v>
      </c>
      <c r="P67" s="1">
        <v>0</v>
      </c>
      <c r="Q67" s="1">
        <f>IF(P67 + Q66 &lt; 0, P67 + Q66, 0)</f>
        <v>0</v>
      </c>
      <c r="R67" s="1">
        <v>0</v>
      </c>
      <c r="S67" s="1">
        <f>IF(R67 + S66 &lt; 0, R67 + S66, 0)</f>
        <v>0</v>
      </c>
      <c r="T67" s="1">
        <v>0</v>
      </c>
      <c r="U67" s="1">
        <f>IF(T67 + U66 &lt; 0, T67 + U66, 0)</f>
        <v>0</v>
      </c>
      <c r="V67" s="1">
        <v>0</v>
      </c>
      <c r="W67" s="1">
        <f>IF(V67 + W66 &lt; 0, V67 + W66, 0)</f>
        <v>0</v>
      </c>
      <c r="X67" s="1">
        <v>0</v>
      </c>
      <c r="Y67" s="1">
        <f>IF(X67 + Y66 &lt; 0, X67 + Y66, 0)</f>
        <v>0</v>
      </c>
      <c r="Z67" s="1">
        <v>0</v>
      </c>
      <c r="AA67" s="1">
        <f>IF(Z67 + AA66 &lt; 0, Z67 + AA66, 0)</f>
        <v>0</v>
      </c>
      <c r="AB67" s="1">
        <v>0</v>
      </c>
      <c r="AC67" s="1">
        <f>IF(AB67 + AC66 &lt; 0, AB67 + AC66, 0)</f>
        <v>0</v>
      </c>
      <c r="AD67" s="1">
        <v>0</v>
      </c>
      <c r="AE67" s="1">
        <f>IF(AD67 + AE66 &lt; 0, AD67 + AE66, 0)</f>
        <v>0</v>
      </c>
      <c r="AF67" s="1">
        <v>726792.93275146</v>
      </c>
      <c r="AG67" s="1">
        <f>IF(AF67 + AG66 &lt; 0, AF67 + AG66, 0)</f>
        <v>0</v>
      </c>
      <c r="AH67" s="1">
        <v>808280.3926133515</v>
      </c>
      <c r="AI67" s="1">
        <f>IF(AH67 + AI66 &lt; 0, AH67 + AI66, 0)</f>
        <v>0</v>
      </c>
      <c r="AJ67" s="1">
        <v>593731.7290563371</v>
      </c>
      <c r="AK67" s="1">
        <f>IF(AJ67 + AK66 &lt; 0, AJ67 + AK66, 0)</f>
        <v>0</v>
      </c>
    </row>
    <row r="68" spans="1:37" s="1" customFormat="1">
      <c r="A68" s="3">
        <v>45390</v>
      </c>
      <c r="B68" s="2" t="s">
        <v>22</v>
      </c>
      <c r="C68" s="2">
        <v>15</v>
      </c>
      <c r="D68" s="2">
        <v>15</v>
      </c>
      <c r="E68" s="2">
        <v>14</v>
      </c>
      <c r="F68" s="2">
        <v>3</v>
      </c>
      <c r="G68" s="2">
        <v>4</v>
      </c>
      <c r="H68" s="1">
        <v>0</v>
      </c>
      <c r="I68" s="1">
        <f>IF(H68 + I67 &lt; 0, H68 + I67, 0)</f>
        <v>0</v>
      </c>
      <c r="J68" s="1">
        <v>0</v>
      </c>
      <c r="K68" s="1">
        <f>IF(J68 + K67 &lt; 0, J68 + K67, 0)</f>
        <v>0</v>
      </c>
      <c r="L68" s="1">
        <v>0</v>
      </c>
      <c r="M68" s="1">
        <f>IF(L68 + M67 &lt; 0, L68 + M67, 0)</f>
        <v>0</v>
      </c>
      <c r="N68" s="1">
        <v>0</v>
      </c>
      <c r="O68" s="1">
        <f>IF(N68 + O67 &lt; 0, N68 + O67, 0)</f>
        <v>0</v>
      </c>
      <c r="P68" s="1">
        <v>0</v>
      </c>
      <c r="Q68" s="1">
        <f>IF(P68 + Q67 &lt; 0, P68 + Q67, 0)</f>
        <v>0</v>
      </c>
      <c r="R68" s="1">
        <v>0</v>
      </c>
      <c r="S68" s="1">
        <f>IF(R68 + S67 &lt; 0, R68 + S67, 0)</f>
        <v>0</v>
      </c>
      <c r="T68" s="1">
        <v>0</v>
      </c>
      <c r="U68" s="1">
        <f>IF(T68 + U67 &lt; 0, T68 + U67, 0)</f>
        <v>0</v>
      </c>
      <c r="V68" s="1">
        <v>0</v>
      </c>
      <c r="W68" s="1">
        <f>IF(V68 + W67 &lt; 0, V68 + W67, 0)</f>
        <v>0</v>
      </c>
      <c r="X68" s="1">
        <v>0</v>
      </c>
      <c r="Y68" s="1">
        <f>IF(X68 + Y67 &lt; 0, X68 + Y67, 0)</f>
        <v>0</v>
      </c>
      <c r="Z68" s="1">
        <v>0</v>
      </c>
      <c r="AA68" s="1">
        <f>IF(Z68 + AA67 &lt; 0, Z68 + AA67, 0)</f>
        <v>0</v>
      </c>
      <c r="AB68" s="1">
        <v>0</v>
      </c>
      <c r="AC68" s="1">
        <f>IF(AB68 + AC67 &lt; 0, AB68 + AC67, 0)</f>
        <v>0</v>
      </c>
      <c r="AD68" s="1">
        <v>0</v>
      </c>
      <c r="AE68" s="1">
        <f>IF(AD68 + AE67 &lt; 0, AD68 + AE67, 0)</f>
        <v>0</v>
      </c>
      <c r="AF68" s="1">
        <v>0</v>
      </c>
      <c r="AG68" s="1">
        <f>IF(AF68 + AG67 &lt; 0, AF68 + AG67, 0)</f>
        <v>0</v>
      </c>
      <c r="AH68" s="1">
        <v>0</v>
      </c>
      <c r="AI68" s="1">
        <f>IF(AH68 + AI67 &lt; 0, AH68 + AI67, 0)</f>
        <v>0</v>
      </c>
      <c r="AJ68" s="1">
        <v>0</v>
      </c>
      <c r="AK68" s="1">
        <f>IF(AJ68 + AK67 &lt; 0, AJ68 + AK67, 0)</f>
        <v>0</v>
      </c>
    </row>
    <row r="69" spans="1:37" s="1" customFormat="1">
      <c r="A69" s="3">
        <v>45391</v>
      </c>
      <c r="B69" s="2" t="s">
        <v>23</v>
      </c>
      <c r="C69" s="2">
        <v>14</v>
      </c>
      <c r="D69" s="2">
        <v>14</v>
      </c>
      <c r="E69" s="2">
        <v>13</v>
      </c>
      <c r="F69" s="2">
        <v>2</v>
      </c>
      <c r="G69" s="2">
        <v>3</v>
      </c>
      <c r="H69" s="1">
        <v>0</v>
      </c>
      <c r="I69" s="1">
        <f>IF(H69 + I68 &lt; 0, H69 + I68, 0)</f>
        <v>0</v>
      </c>
      <c r="J69" s="1">
        <v>0</v>
      </c>
      <c r="K69" s="1">
        <f>IF(J69 + K68 &lt; 0, J69 + K68, 0)</f>
        <v>0</v>
      </c>
      <c r="L69" s="1">
        <v>0</v>
      </c>
      <c r="M69" s="1">
        <f>IF(L69 + M68 &lt; 0, L69 + M68, 0)</f>
        <v>0</v>
      </c>
      <c r="N69" s="1">
        <v>0</v>
      </c>
      <c r="O69" s="1">
        <f>IF(N69 + O68 &lt; 0, N69 + O68, 0)</f>
        <v>0</v>
      </c>
      <c r="P69" s="1">
        <v>0</v>
      </c>
      <c r="Q69" s="1">
        <f>IF(P69 + Q68 &lt; 0, P69 + Q68, 0)</f>
        <v>0</v>
      </c>
      <c r="R69" s="1">
        <v>0</v>
      </c>
      <c r="S69" s="1">
        <f>IF(R69 + S68 &lt; 0, R69 + S68, 0)</f>
        <v>0</v>
      </c>
      <c r="T69" s="1">
        <v>0</v>
      </c>
      <c r="U69" s="1">
        <f>IF(T69 + U68 &lt; 0, T69 + U68, 0)</f>
        <v>0</v>
      </c>
      <c r="V69" s="1">
        <v>0</v>
      </c>
      <c r="W69" s="1">
        <f>IF(V69 + W68 &lt; 0, V69 + W68, 0)</f>
        <v>0</v>
      </c>
      <c r="X69" s="1">
        <v>0</v>
      </c>
      <c r="Y69" s="1">
        <f>IF(X69 + Y68 &lt; 0, X69 + Y68, 0)</f>
        <v>0</v>
      </c>
      <c r="Z69" s="1">
        <v>0</v>
      </c>
      <c r="AA69" s="1">
        <f>IF(Z69 + AA68 &lt; 0, Z69 + AA68, 0)</f>
        <v>0</v>
      </c>
      <c r="AB69" s="1">
        <v>0</v>
      </c>
      <c r="AC69" s="1">
        <f>IF(AB69 + AC68 &lt; 0, AB69 + AC68, 0)</f>
        <v>0</v>
      </c>
      <c r="AD69" s="1">
        <v>0</v>
      </c>
      <c r="AE69" s="1">
        <f>IF(AD69 + AE68 &lt; 0, AD69 + AE68, 0)</f>
        <v>0</v>
      </c>
      <c r="AF69" s="1">
        <v>0</v>
      </c>
      <c r="AG69" s="1">
        <f>IF(AF69 + AG68 &lt; 0, AF69 + AG68, 0)</f>
        <v>0</v>
      </c>
      <c r="AH69" s="1">
        <v>0</v>
      </c>
      <c r="AI69" s="1">
        <f>IF(AH69 + AI68 &lt; 0, AH69 + AI68, 0)</f>
        <v>0</v>
      </c>
      <c r="AJ69" s="1">
        <v>0</v>
      </c>
      <c r="AK69" s="1">
        <f>IF(AJ69 + AK68 &lt; 0, AJ69 + AK68, 0)</f>
        <v>0</v>
      </c>
    </row>
    <row r="70" spans="1:37" s="1" customFormat="1">
      <c r="A70" s="3">
        <v>45392</v>
      </c>
      <c r="B70" s="2" t="s">
        <v>24</v>
      </c>
      <c r="C70" s="2">
        <v>13</v>
      </c>
      <c r="D70" s="2">
        <v>13</v>
      </c>
      <c r="E70" s="2">
        <v>12</v>
      </c>
      <c r="F70" s="2">
        <v>1</v>
      </c>
      <c r="G70" s="2">
        <v>2</v>
      </c>
      <c r="H70" s="1">
        <v>0</v>
      </c>
      <c r="I70" s="1">
        <f>IF(H70 + I69 &lt; 0, H70 + I69, 0)</f>
        <v>0</v>
      </c>
      <c r="J70" s="1">
        <v>0</v>
      </c>
      <c r="K70" s="1">
        <f>IF(J70 + K69 &lt; 0, J70 + K69, 0)</f>
        <v>0</v>
      </c>
      <c r="L70" s="1">
        <v>0</v>
      </c>
      <c r="M70" s="1">
        <f>IF(L70 + M69 &lt; 0, L70 + M69, 0)</f>
        <v>0</v>
      </c>
      <c r="N70" s="1">
        <v>0</v>
      </c>
      <c r="O70" s="1">
        <f>IF(N70 + O69 &lt; 0, N70 + O69, 0)</f>
        <v>0</v>
      </c>
      <c r="P70" s="1">
        <v>0</v>
      </c>
      <c r="Q70" s="1">
        <f>IF(P70 + Q69 &lt; 0, P70 + Q69, 0)</f>
        <v>0</v>
      </c>
      <c r="R70" s="1">
        <v>0</v>
      </c>
      <c r="S70" s="1">
        <f>IF(R70 + S69 &lt; 0, R70 + S69, 0)</f>
        <v>0</v>
      </c>
      <c r="T70" s="1">
        <v>0</v>
      </c>
      <c r="U70" s="1">
        <f>IF(T70 + U69 &lt; 0, T70 + U69, 0)</f>
        <v>0</v>
      </c>
      <c r="V70" s="1">
        <v>0</v>
      </c>
      <c r="W70" s="1">
        <f>IF(V70 + W69 &lt; 0, V70 + W69, 0)</f>
        <v>0</v>
      </c>
      <c r="X70" s="1">
        <v>0</v>
      </c>
      <c r="Y70" s="1">
        <f>IF(X70 + Y69 &lt; 0, X70 + Y69, 0)</f>
        <v>0</v>
      </c>
      <c r="Z70" s="1">
        <v>522590.6864545658</v>
      </c>
      <c r="AA70" s="1">
        <f>IF(Z70 + AA69 &lt; 0, Z70 + AA69, 0)</f>
        <v>0</v>
      </c>
      <c r="AB70" s="1">
        <v>522590.6864545658</v>
      </c>
      <c r="AC70" s="1">
        <f>IF(AB70 + AC69 &lt; 0, AB70 + AC69, 0)</f>
        <v>0</v>
      </c>
      <c r="AD70" s="1">
        <v>605256.1626418827</v>
      </c>
      <c r="AE70" s="1">
        <f>IF(AD70 + AE69 &lt; 0, AD70 + AE69, 0)</f>
        <v>0</v>
      </c>
      <c r="AF70" s="1">
        <v>0</v>
      </c>
      <c r="AG70" s="1">
        <f>IF(AF70 + AG69 &lt; 0, AF70 + AG69, 0)</f>
        <v>0</v>
      </c>
      <c r="AH70" s="1">
        <v>0</v>
      </c>
      <c r="AI70" s="1">
        <f>IF(AH70 + AI69 &lt; 0, AH70 + AI69, 0)</f>
        <v>0</v>
      </c>
      <c r="AJ70" s="1">
        <v>0</v>
      </c>
      <c r="AK70" s="1">
        <f>IF(AJ70 + AK69 &lt; 0, AJ70 + AK69, 0)</f>
        <v>0</v>
      </c>
    </row>
    <row r="71" spans="1:37" s="1" customFormat="1">
      <c r="A71" s="3">
        <v>45394</v>
      </c>
      <c r="B71" s="2" t="s">
        <v>26</v>
      </c>
      <c r="C71" s="2">
        <v>12</v>
      </c>
      <c r="D71" s="2">
        <v>12</v>
      </c>
      <c r="E71" s="2">
        <v>11</v>
      </c>
      <c r="F71" s="2">
        <v>4</v>
      </c>
      <c r="G71" s="2">
        <v>1</v>
      </c>
      <c r="H71" s="1">
        <v>0</v>
      </c>
      <c r="I71" s="1">
        <f>IF(H71 + I70 &lt; 0, H71 + I70, 0)</f>
        <v>0</v>
      </c>
      <c r="J71" s="1">
        <v>0</v>
      </c>
      <c r="K71" s="1">
        <f>IF(J71 + K70 &lt; 0, J71 + K70, 0)</f>
        <v>0</v>
      </c>
      <c r="L71" s="1">
        <v>0</v>
      </c>
      <c r="M71" s="1">
        <f>IF(L71 + M70 &lt; 0, L71 + M70, 0)</f>
        <v>0</v>
      </c>
      <c r="N71" s="1">
        <v>0</v>
      </c>
      <c r="O71" s="1">
        <f>IF(N71 + O70 &lt; 0, N71 + O70, 0)</f>
        <v>0</v>
      </c>
      <c r="P71" s="1">
        <v>0</v>
      </c>
      <c r="Q71" s="1">
        <f>IF(P71 + Q70 &lt; 0, P71 + Q70, 0)</f>
        <v>0</v>
      </c>
      <c r="R71" s="1">
        <v>0</v>
      </c>
      <c r="S71" s="1">
        <f>IF(R71 + S70 &lt; 0, R71 + S70, 0)</f>
        <v>0</v>
      </c>
      <c r="T71" s="1">
        <v>0</v>
      </c>
      <c r="U71" s="1">
        <f>IF(T71 + U70 &lt; 0, T71 + U70, 0)</f>
        <v>0</v>
      </c>
      <c r="V71" s="1">
        <v>0</v>
      </c>
      <c r="W71" s="1">
        <f>IF(V71 + W70 &lt; 0, V71 + W70, 0)</f>
        <v>0</v>
      </c>
      <c r="X71" s="1">
        <v>0</v>
      </c>
      <c r="Y71" s="1">
        <f>IF(X71 + Y70 &lt; 0, X71 + Y70, 0)</f>
        <v>0</v>
      </c>
      <c r="Z71" s="1">
        <v>0</v>
      </c>
      <c r="AA71" s="1">
        <f>IF(Z71 + AA70 &lt; 0, Z71 + AA70, 0)</f>
        <v>0</v>
      </c>
      <c r="AB71" s="1">
        <v>0</v>
      </c>
      <c r="AC71" s="1">
        <f>IF(AB71 + AC70 &lt; 0, AB71 + AC70, 0)</f>
        <v>0</v>
      </c>
      <c r="AD71" s="1">
        <v>0</v>
      </c>
      <c r="AE71" s="1">
        <f>IF(AD71 + AE70 &lt; 0, AD71 + AE70, 0)</f>
        <v>0</v>
      </c>
      <c r="AF71" s="1">
        <v>615031.290051473</v>
      </c>
      <c r="AG71" s="1">
        <f>IF(AF71 + AG70 &lt; 0, AF71 + AG70, 0)</f>
        <v>0</v>
      </c>
      <c r="AH71" s="1">
        <v>615031.290051473</v>
      </c>
      <c r="AI71" s="1">
        <f>IF(AH71 + AI70 &lt; 0, AH71 + AI70, 0)</f>
        <v>0</v>
      </c>
      <c r="AJ71" s="1">
        <v>-215708.7164330192</v>
      </c>
      <c r="AK71" s="1">
        <f>IF(AJ71 + AK70 &lt; 0, AJ71 + AK70, 0)</f>
        <v>0</v>
      </c>
    </row>
    <row r="72" spans="1:37" s="1" customFormat="1">
      <c r="A72" s="3">
        <v>45397</v>
      </c>
      <c r="B72" s="2" t="s">
        <v>22</v>
      </c>
      <c r="C72" s="2">
        <v>11</v>
      </c>
      <c r="D72" s="2">
        <v>11</v>
      </c>
      <c r="E72" s="2">
        <v>10</v>
      </c>
      <c r="F72" s="2">
        <v>3</v>
      </c>
      <c r="G72" s="2">
        <v>4</v>
      </c>
      <c r="H72" s="1">
        <v>0</v>
      </c>
      <c r="I72" s="1">
        <f>IF(H72 + I71 &lt; 0, H72 + I71, 0)</f>
        <v>0</v>
      </c>
      <c r="J72" s="1">
        <v>0</v>
      </c>
      <c r="K72" s="1">
        <f>IF(J72 + K71 &lt; 0, J72 + K71, 0)</f>
        <v>0</v>
      </c>
      <c r="L72" s="1">
        <v>0</v>
      </c>
      <c r="M72" s="1">
        <f>IF(L72 + M71 &lt; 0, L72 + M71, 0)</f>
        <v>0</v>
      </c>
      <c r="N72" s="1">
        <v>0</v>
      </c>
      <c r="O72" s="1">
        <f>IF(N72 + O71 &lt; 0, N72 + O71, 0)</f>
        <v>0</v>
      </c>
      <c r="P72" s="1">
        <v>0</v>
      </c>
      <c r="Q72" s="1">
        <f>IF(P72 + Q71 &lt; 0, P72 + Q71, 0)</f>
        <v>0</v>
      </c>
      <c r="R72" s="1">
        <v>0</v>
      </c>
      <c r="S72" s="1">
        <f>IF(R72 + S71 &lt; 0, R72 + S71, 0)</f>
        <v>0</v>
      </c>
      <c r="T72" s="1">
        <v>0</v>
      </c>
      <c r="U72" s="1">
        <f>IF(T72 + U71 &lt; 0, T72 + U71, 0)</f>
        <v>0</v>
      </c>
      <c r="V72" s="1">
        <v>0</v>
      </c>
      <c r="W72" s="1">
        <f>IF(V72 + W71 &lt; 0, V72 + W71, 0)</f>
        <v>0</v>
      </c>
      <c r="X72" s="1">
        <v>0</v>
      </c>
      <c r="Y72" s="1">
        <f>IF(X72 + Y71 &lt; 0, X72 + Y71, 0)</f>
        <v>0</v>
      </c>
      <c r="Z72" s="1">
        <v>0</v>
      </c>
      <c r="AA72" s="1">
        <f>IF(Z72 + AA71 &lt; 0, Z72 + AA71, 0)</f>
        <v>0</v>
      </c>
      <c r="AB72" s="1">
        <v>0</v>
      </c>
      <c r="AC72" s="1">
        <f>IF(AB72 + AC71 &lt; 0, AB72 + AC71, 0)</f>
        <v>0</v>
      </c>
      <c r="AD72" s="1">
        <v>0</v>
      </c>
      <c r="AE72" s="1">
        <f>IF(AD72 + AE71 &lt; 0, AD72 + AE71, 0)</f>
        <v>0</v>
      </c>
      <c r="AF72" s="1">
        <v>0</v>
      </c>
      <c r="AG72" s="1">
        <f>IF(AF72 + AG71 &lt; 0, AF72 + AG71, 0)</f>
        <v>0</v>
      </c>
      <c r="AH72" s="1">
        <v>0</v>
      </c>
      <c r="AI72" s="1">
        <f>IF(AH72 + AI71 &lt; 0, AH72 + AI71, 0)</f>
        <v>0</v>
      </c>
      <c r="AJ72" s="1">
        <v>0</v>
      </c>
      <c r="AK72" s="1">
        <f>IF(AJ72 + AK71 &lt; 0, AJ72 + AK71, 0)</f>
        <v>0</v>
      </c>
    </row>
    <row r="73" spans="1:37" s="1" customFormat="1">
      <c r="A73" s="3">
        <v>45398</v>
      </c>
      <c r="B73" s="2" t="s">
        <v>23</v>
      </c>
      <c r="C73" s="2">
        <v>10</v>
      </c>
      <c r="D73" s="2">
        <v>10</v>
      </c>
      <c r="E73" s="2">
        <v>9</v>
      </c>
      <c r="F73" s="2">
        <v>2</v>
      </c>
      <c r="G73" s="2">
        <v>3</v>
      </c>
      <c r="H73" s="1">
        <v>0</v>
      </c>
      <c r="I73" s="1">
        <f>IF(H73 + I72 &lt; 0, H73 + I72, 0)</f>
        <v>0</v>
      </c>
      <c r="J73" s="1">
        <v>0</v>
      </c>
      <c r="K73" s="1">
        <f>IF(J73 + K72 &lt; 0, J73 + K72, 0)</f>
        <v>0</v>
      </c>
      <c r="L73" s="1">
        <v>0</v>
      </c>
      <c r="M73" s="1">
        <f>IF(L73 + M72 &lt; 0, L73 + M72, 0)</f>
        <v>0</v>
      </c>
      <c r="N73" s="1">
        <v>0</v>
      </c>
      <c r="O73" s="1">
        <f>IF(N73 + O72 &lt; 0, N73 + O72, 0)</f>
        <v>0</v>
      </c>
      <c r="P73" s="1">
        <v>0</v>
      </c>
      <c r="Q73" s="1">
        <f>IF(P73 + Q72 &lt; 0, P73 + Q72, 0)</f>
        <v>0</v>
      </c>
      <c r="R73" s="1">
        <v>0</v>
      </c>
      <c r="S73" s="1">
        <f>IF(R73 + S72 &lt; 0, R73 + S72, 0)</f>
        <v>0</v>
      </c>
      <c r="T73" s="1">
        <v>0</v>
      </c>
      <c r="U73" s="1">
        <f>IF(T73 + U72 &lt; 0, T73 + U72, 0)</f>
        <v>0</v>
      </c>
      <c r="V73" s="1">
        <v>0</v>
      </c>
      <c r="W73" s="1">
        <f>IF(V73 + W72 &lt; 0, V73 + W72, 0)</f>
        <v>0</v>
      </c>
      <c r="X73" s="1">
        <v>0</v>
      </c>
      <c r="Y73" s="1">
        <f>IF(X73 + Y72 &lt; 0, X73 + Y72, 0)</f>
        <v>0</v>
      </c>
      <c r="Z73" s="1">
        <v>0</v>
      </c>
      <c r="AA73" s="1">
        <f>IF(Z73 + AA72 &lt; 0, Z73 + AA72, 0)</f>
        <v>0</v>
      </c>
      <c r="AB73" s="1">
        <v>0</v>
      </c>
      <c r="AC73" s="1">
        <f>IF(AB73 + AC72 &lt; 0, AB73 + AC72, 0)</f>
        <v>0</v>
      </c>
      <c r="AD73" s="1">
        <v>0</v>
      </c>
      <c r="AE73" s="1">
        <f>IF(AD73 + AE72 &lt; 0, AD73 + AE72, 0)</f>
        <v>0</v>
      </c>
      <c r="AF73" s="1">
        <v>0</v>
      </c>
      <c r="AG73" s="1">
        <f>IF(AF73 + AG72 &lt; 0, AF73 + AG72, 0)</f>
        <v>0</v>
      </c>
      <c r="AH73" s="1">
        <v>0</v>
      </c>
      <c r="AI73" s="1">
        <f>IF(AH73 + AI72 &lt; 0, AH73 + AI72, 0)</f>
        <v>0</v>
      </c>
      <c r="AJ73" s="1">
        <v>0</v>
      </c>
      <c r="AK73" s="1">
        <f>IF(AJ73 + AK72 &lt; 0, AJ73 + AK72, 0)</f>
        <v>0</v>
      </c>
    </row>
    <row r="74" spans="1:37" s="1" customFormat="1">
      <c r="A74" s="3">
        <v>45400</v>
      </c>
      <c r="B74" s="2" t="s">
        <v>25</v>
      </c>
      <c r="C74" s="2">
        <v>9</v>
      </c>
      <c r="D74" s="2">
        <v>9</v>
      </c>
      <c r="E74" s="2">
        <v>8</v>
      </c>
      <c r="F74" s="2">
        <v>1</v>
      </c>
      <c r="G74" s="2">
        <v>2</v>
      </c>
      <c r="H74" s="1">
        <v>0</v>
      </c>
      <c r="I74" s="1">
        <f>IF(H74 + I73 &lt; 0, H74 + I73, 0)</f>
        <v>0</v>
      </c>
      <c r="J74" s="1">
        <v>0</v>
      </c>
      <c r="K74" s="1">
        <f>IF(J74 + K73 &lt; 0, J74 + K73, 0)</f>
        <v>0</v>
      </c>
      <c r="L74" s="1">
        <v>0</v>
      </c>
      <c r="M74" s="1">
        <f>IF(L74 + M73 &lt; 0, L74 + M73, 0)</f>
        <v>0</v>
      </c>
      <c r="N74" s="1">
        <v>0</v>
      </c>
      <c r="O74" s="1">
        <f>IF(N74 + O73 &lt; 0, N74 + O73, 0)</f>
        <v>0</v>
      </c>
      <c r="P74" s="1">
        <v>0</v>
      </c>
      <c r="Q74" s="1">
        <f>IF(P74 + Q73 &lt; 0, P74 + Q73, 0)</f>
        <v>0</v>
      </c>
      <c r="R74" s="1">
        <v>0</v>
      </c>
      <c r="S74" s="1">
        <f>IF(R74 + S73 &lt; 0, R74 + S73, 0)</f>
        <v>0</v>
      </c>
      <c r="T74" s="1">
        <v>0</v>
      </c>
      <c r="U74" s="1">
        <f>IF(T74 + U73 &lt; 0, T74 + U73, 0)</f>
        <v>0</v>
      </c>
      <c r="V74" s="1">
        <v>0</v>
      </c>
      <c r="W74" s="1">
        <f>IF(V74 + W73 &lt; 0, V74 + W73, 0)</f>
        <v>0</v>
      </c>
      <c r="X74" s="1">
        <v>0</v>
      </c>
      <c r="Y74" s="1">
        <f>IF(X74 + Y73 &lt; 0, X74 + Y73, 0)</f>
        <v>0</v>
      </c>
      <c r="Z74" s="1">
        <v>-1635129.905507956</v>
      </c>
      <c r="AA74" s="1">
        <f>IF(Z74 + AA73 &lt; 0, Z74 + AA73, 0)</f>
        <v>0</v>
      </c>
      <c r="AB74" s="1">
        <v>-1635129.905507956</v>
      </c>
      <c r="AC74" s="1">
        <f>IF(AB74 + AC73 &lt; 0, AB74 + AC73, 0)</f>
        <v>0</v>
      </c>
      <c r="AD74" s="1">
        <v>-1360562.204558224</v>
      </c>
      <c r="AE74" s="1">
        <f>IF(AD74 + AE73 &lt; 0, AD74 + AE73, 0)</f>
        <v>0</v>
      </c>
      <c r="AF74" s="1">
        <v>0</v>
      </c>
      <c r="AG74" s="1">
        <f>IF(AF74 + AG73 &lt; 0, AF74 + AG73, 0)</f>
        <v>0</v>
      </c>
      <c r="AH74" s="1">
        <v>0</v>
      </c>
      <c r="AI74" s="1">
        <f>IF(AH74 + AI73 &lt; 0, AH74 + AI73, 0)</f>
        <v>0</v>
      </c>
      <c r="AJ74" s="1">
        <v>0</v>
      </c>
      <c r="AK74" s="1">
        <f>IF(AJ74 + AK73 &lt; 0, AJ74 + AK73, 0)</f>
        <v>0</v>
      </c>
    </row>
    <row r="75" spans="1:37" s="1" customFormat="1">
      <c r="A75" s="3">
        <v>45401</v>
      </c>
      <c r="B75" s="2" t="s">
        <v>26</v>
      </c>
      <c r="C75" s="2">
        <v>8</v>
      </c>
      <c r="D75" s="2">
        <v>8</v>
      </c>
      <c r="E75" s="2">
        <v>7</v>
      </c>
      <c r="F75" s="2">
        <v>5</v>
      </c>
      <c r="G75" s="2">
        <v>1</v>
      </c>
      <c r="H75" s="1">
        <v>0</v>
      </c>
      <c r="I75" s="1">
        <f>IF(H75 + I74 &lt; 0, H75 + I74, 0)</f>
        <v>0</v>
      </c>
      <c r="J75" s="1">
        <v>0</v>
      </c>
      <c r="K75" s="1">
        <f>IF(J75 + K74 &lt; 0, J75 + K74, 0)</f>
        <v>0</v>
      </c>
      <c r="L75" s="1">
        <v>0</v>
      </c>
      <c r="M75" s="1">
        <f>IF(L75 + M74 &lt; 0, L75 + M74, 0)</f>
        <v>0</v>
      </c>
      <c r="N75" s="1">
        <v>0</v>
      </c>
      <c r="O75" s="1">
        <f>IF(N75 + O74 &lt; 0, N75 + O74, 0)</f>
        <v>0</v>
      </c>
      <c r="P75" s="1">
        <v>0</v>
      </c>
      <c r="Q75" s="1">
        <f>IF(P75 + Q74 &lt; 0, P75 + Q74, 0)</f>
        <v>0</v>
      </c>
      <c r="R75" s="1">
        <v>0</v>
      </c>
      <c r="S75" s="1">
        <f>IF(R75 + S74 &lt; 0, R75 + S74, 0)</f>
        <v>0</v>
      </c>
      <c r="T75" s="1">
        <v>0</v>
      </c>
      <c r="U75" s="1">
        <f>IF(T75 + U74 &lt; 0, T75 + U74, 0)</f>
        <v>0</v>
      </c>
      <c r="V75" s="1">
        <v>0</v>
      </c>
      <c r="W75" s="1">
        <f>IF(V75 + W74 &lt; 0, V75 + W74, 0)</f>
        <v>0</v>
      </c>
      <c r="X75" s="1">
        <v>0</v>
      </c>
      <c r="Y75" s="1">
        <f>IF(X75 + Y74 &lt; 0, X75 + Y74, 0)</f>
        <v>0</v>
      </c>
      <c r="Z75" s="1">
        <v>0</v>
      </c>
      <c r="AA75" s="1">
        <f>IF(Z75 + AA74 &lt; 0, Z75 + AA74, 0)</f>
        <v>0</v>
      </c>
      <c r="AB75" s="1">
        <v>0</v>
      </c>
      <c r="AC75" s="1">
        <f>IF(AB75 + AC74 &lt; 0, AB75 + AC74, 0)</f>
        <v>0</v>
      </c>
      <c r="AD75" s="1">
        <v>0</v>
      </c>
      <c r="AE75" s="1">
        <f>IF(AD75 + AE74 &lt; 0, AD75 + AE74, 0)</f>
        <v>0</v>
      </c>
      <c r="AF75" s="1">
        <v>-750188.4944575097</v>
      </c>
      <c r="AG75" s="1">
        <f>IF(AF75 + AG74 &lt; 0, AF75 + AG74, 0)</f>
        <v>0</v>
      </c>
      <c r="AH75" s="1">
        <v>-750188.4944575097</v>
      </c>
      <c r="AI75" s="1">
        <f>IF(AH75 + AI74 &lt; 0, AH75 + AI74, 0)</f>
        <v>0</v>
      </c>
      <c r="AJ75" s="1">
        <v>-709179.0709582544</v>
      </c>
      <c r="AK75" s="1">
        <f>IF(AJ75 + AK74 &lt; 0, AJ75 + AK74, 0)</f>
        <v>0</v>
      </c>
    </row>
    <row r="76" spans="1:37" s="1" customFormat="1">
      <c r="A76" s="3">
        <v>45404</v>
      </c>
      <c r="B76" s="2" t="s">
        <v>22</v>
      </c>
      <c r="C76" s="2">
        <v>7</v>
      </c>
      <c r="D76" s="2">
        <v>7</v>
      </c>
      <c r="E76" s="2">
        <v>6</v>
      </c>
      <c r="F76" s="2">
        <v>4</v>
      </c>
      <c r="G76" s="2">
        <v>5</v>
      </c>
      <c r="H76" s="1">
        <v>0</v>
      </c>
      <c r="I76" s="1">
        <f>IF(H76 + I75 &lt; 0, H76 + I75, 0)</f>
        <v>0</v>
      </c>
      <c r="J76" s="1">
        <v>0</v>
      </c>
      <c r="K76" s="1">
        <f>IF(J76 + K75 &lt; 0, J76 + K75, 0)</f>
        <v>0</v>
      </c>
      <c r="L76" s="1">
        <v>0</v>
      </c>
      <c r="M76" s="1">
        <f>IF(L76 + M75 &lt; 0, L76 + M75, 0)</f>
        <v>0</v>
      </c>
      <c r="N76" s="1">
        <v>0</v>
      </c>
      <c r="O76" s="1">
        <f>IF(N76 + O75 &lt; 0, N76 + O75, 0)</f>
        <v>0</v>
      </c>
      <c r="P76" s="1">
        <v>0</v>
      </c>
      <c r="Q76" s="1">
        <f>IF(P76 + Q75 &lt; 0, P76 + Q75, 0)</f>
        <v>0</v>
      </c>
      <c r="R76" s="1">
        <v>0</v>
      </c>
      <c r="S76" s="1">
        <f>IF(R76 + S75 &lt; 0, R76 + S75, 0)</f>
        <v>0</v>
      </c>
      <c r="T76" s="1">
        <v>0</v>
      </c>
      <c r="U76" s="1">
        <f>IF(T76 + U75 &lt; 0, T76 + U75, 0)</f>
        <v>0</v>
      </c>
      <c r="V76" s="1">
        <v>0</v>
      </c>
      <c r="W76" s="1">
        <f>IF(V76 + W75 &lt; 0, V76 + W75, 0)</f>
        <v>0</v>
      </c>
      <c r="X76" s="1">
        <v>0</v>
      </c>
      <c r="Y76" s="1">
        <f>IF(X76 + Y75 &lt; 0, X76 + Y75, 0)</f>
        <v>0</v>
      </c>
      <c r="Z76" s="1">
        <v>0</v>
      </c>
      <c r="AA76" s="1">
        <f>IF(Z76 + AA75 &lt; 0, Z76 + AA75, 0)</f>
        <v>0</v>
      </c>
      <c r="AB76" s="1">
        <v>0</v>
      </c>
      <c r="AC76" s="1">
        <f>IF(AB76 + AC75 &lt; 0, AB76 + AC75, 0)</f>
        <v>0</v>
      </c>
      <c r="AD76" s="1">
        <v>0</v>
      </c>
      <c r="AE76" s="1">
        <f>IF(AD76 + AE75 &lt; 0, AD76 + AE75, 0)</f>
        <v>0</v>
      </c>
      <c r="AF76" s="1">
        <v>0</v>
      </c>
      <c r="AG76" s="1">
        <f>IF(AF76 + AG75 &lt; 0, AF76 + AG75, 0)</f>
        <v>0</v>
      </c>
      <c r="AH76" s="1">
        <v>0</v>
      </c>
      <c r="AI76" s="1">
        <f>IF(AH76 + AI75 &lt; 0, AH76 + AI75, 0)</f>
        <v>0</v>
      </c>
      <c r="AJ76" s="1">
        <v>0</v>
      </c>
      <c r="AK76" s="1">
        <f>IF(AJ76 + AK75 &lt; 0, AJ76 + AK75, 0)</f>
        <v>0</v>
      </c>
    </row>
    <row r="77" spans="1:37" s="1" customFormat="1">
      <c r="A77" s="3">
        <v>45405</v>
      </c>
      <c r="B77" s="2" t="s">
        <v>23</v>
      </c>
      <c r="C77" s="2">
        <v>6</v>
      </c>
      <c r="D77" s="2">
        <v>6</v>
      </c>
      <c r="E77" s="2">
        <v>5</v>
      </c>
      <c r="F77" s="2">
        <v>3</v>
      </c>
      <c r="G77" s="2">
        <v>4</v>
      </c>
      <c r="H77" s="1">
        <v>0</v>
      </c>
      <c r="I77" s="1">
        <f>IF(H77 + I76 &lt; 0, H77 + I76, 0)</f>
        <v>0</v>
      </c>
      <c r="J77" s="1">
        <v>0</v>
      </c>
      <c r="K77" s="1">
        <f>IF(J77 + K76 &lt; 0, J77 + K76, 0)</f>
        <v>0</v>
      </c>
      <c r="L77" s="1">
        <v>0</v>
      </c>
      <c r="M77" s="1">
        <f>IF(L77 + M76 &lt; 0, L77 + M76, 0)</f>
        <v>0</v>
      </c>
      <c r="N77" s="1">
        <v>0</v>
      </c>
      <c r="O77" s="1">
        <f>IF(N77 + O76 &lt; 0, N77 + O76, 0)</f>
        <v>0</v>
      </c>
      <c r="P77" s="1">
        <v>0</v>
      </c>
      <c r="Q77" s="1">
        <f>IF(P77 + Q76 &lt; 0, P77 + Q76, 0)</f>
        <v>0</v>
      </c>
      <c r="R77" s="1">
        <v>0</v>
      </c>
      <c r="S77" s="1">
        <f>IF(R77 + S76 &lt; 0, R77 + S76, 0)</f>
        <v>0</v>
      </c>
      <c r="T77" s="1">
        <v>0</v>
      </c>
      <c r="U77" s="1">
        <f>IF(T77 + U76 &lt; 0, T77 + U76, 0)</f>
        <v>0</v>
      </c>
      <c r="V77" s="1">
        <v>0</v>
      </c>
      <c r="W77" s="1">
        <f>IF(V77 + W76 &lt; 0, V77 + W76, 0)</f>
        <v>0</v>
      </c>
      <c r="X77" s="1">
        <v>0</v>
      </c>
      <c r="Y77" s="1">
        <f>IF(X77 + Y76 &lt; 0, X77 + Y76, 0)</f>
        <v>0</v>
      </c>
      <c r="Z77" s="1">
        <v>0</v>
      </c>
      <c r="AA77" s="1">
        <f>IF(Z77 + AA76 &lt; 0, Z77 + AA76, 0)</f>
        <v>0</v>
      </c>
      <c r="AB77" s="1">
        <v>0</v>
      </c>
      <c r="AC77" s="1">
        <f>IF(AB77 + AC76 &lt; 0, AB77 + AC76, 0)</f>
        <v>0</v>
      </c>
      <c r="AD77" s="1">
        <v>0</v>
      </c>
      <c r="AE77" s="1">
        <f>IF(AD77 + AE76 &lt; 0, AD77 + AE76, 0)</f>
        <v>0</v>
      </c>
      <c r="AF77" s="1">
        <v>0</v>
      </c>
      <c r="AG77" s="1">
        <f>IF(AF77 + AG76 &lt; 0, AF77 + AG76, 0)</f>
        <v>0</v>
      </c>
      <c r="AH77" s="1">
        <v>0</v>
      </c>
      <c r="AI77" s="1">
        <f>IF(AH77 + AI76 &lt; 0, AH77 + AI76, 0)</f>
        <v>0</v>
      </c>
      <c r="AJ77" s="1">
        <v>0</v>
      </c>
      <c r="AK77" s="1">
        <f>IF(AJ77 + AK76 &lt; 0, AJ77 + AK76, 0)</f>
        <v>0</v>
      </c>
    </row>
    <row r="78" spans="1:37" s="1" customFormat="1">
      <c r="A78" s="3">
        <v>45406</v>
      </c>
      <c r="B78" s="2" t="s">
        <v>24</v>
      </c>
      <c r="C78" s="2">
        <v>5</v>
      </c>
      <c r="D78" s="2">
        <v>5</v>
      </c>
      <c r="E78" s="2">
        <v>4</v>
      </c>
      <c r="F78" s="2">
        <v>2</v>
      </c>
      <c r="G78" s="2">
        <v>3</v>
      </c>
      <c r="H78" s="1">
        <v>0</v>
      </c>
      <c r="I78" s="1">
        <f>IF(H78 + I77 &lt; 0, H78 + I77, 0)</f>
        <v>0</v>
      </c>
      <c r="J78" s="1">
        <v>0</v>
      </c>
      <c r="K78" s="1">
        <f>IF(J78 + K77 &lt; 0, J78 + K77, 0)</f>
        <v>0</v>
      </c>
      <c r="L78" s="1">
        <v>0</v>
      </c>
      <c r="M78" s="1">
        <f>IF(L78 + M77 &lt; 0, L78 + M77, 0)</f>
        <v>0</v>
      </c>
      <c r="N78" s="1">
        <v>0</v>
      </c>
      <c r="O78" s="1">
        <f>IF(N78 + O77 &lt; 0, N78 + O77, 0)</f>
        <v>0</v>
      </c>
      <c r="P78" s="1">
        <v>0</v>
      </c>
      <c r="Q78" s="1">
        <f>IF(P78 + Q77 &lt; 0, P78 + Q77, 0)</f>
        <v>0</v>
      </c>
      <c r="R78" s="1">
        <v>0</v>
      </c>
      <c r="S78" s="1">
        <f>IF(R78 + S77 &lt; 0, R78 + S77, 0)</f>
        <v>0</v>
      </c>
      <c r="T78" s="1">
        <v>0</v>
      </c>
      <c r="U78" s="1">
        <f>IF(T78 + U77 &lt; 0, T78 + U77, 0)</f>
        <v>0</v>
      </c>
      <c r="V78" s="1">
        <v>0</v>
      </c>
      <c r="W78" s="1">
        <f>IF(V78 + W77 &lt; 0, V78 + W77, 0)</f>
        <v>0</v>
      </c>
      <c r="X78" s="1">
        <v>0</v>
      </c>
      <c r="Y78" s="1">
        <f>IF(X78 + Y77 &lt; 0, X78 + Y77, 0)</f>
        <v>0</v>
      </c>
      <c r="Z78" s="1">
        <v>0</v>
      </c>
      <c r="AA78" s="1">
        <f>IF(Z78 + AA77 &lt; 0, Z78 + AA77, 0)</f>
        <v>0</v>
      </c>
      <c r="AB78" s="1">
        <v>0</v>
      </c>
      <c r="AC78" s="1">
        <f>IF(AB78 + AC77 &lt; 0, AB78 + AC77, 0)</f>
        <v>0</v>
      </c>
      <c r="AD78" s="1">
        <v>0</v>
      </c>
      <c r="AE78" s="1">
        <f>IF(AD78 + AE77 &lt; 0, AD78 + AE77, 0)</f>
        <v>0</v>
      </c>
      <c r="AF78" s="1">
        <v>0</v>
      </c>
      <c r="AG78" s="1">
        <f>IF(AF78 + AG77 &lt; 0, AF78 + AG77, 0)</f>
        <v>0</v>
      </c>
      <c r="AH78" s="1">
        <v>0</v>
      </c>
      <c r="AI78" s="1">
        <f>IF(AH78 + AI77 &lt; 0, AH78 + AI77, 0)</f>
        <v>0</v>
      </c>
      <c r="AJ78" s="1">
        <v>0</v>
      </c>
      <c r="AK78" s="1">
        <f>IF(AJ78 + AK77 &lt; 0, AJ78 + AK77, 0)</f>
        <v>0</v>
      </c>
    </row>
    <row r="79" spans="1:37" s="1" customFormat="1">
      <c r="A79" s="3">
        <v>45407</v>
      </c>
      <c r="B79" s="2" t="s">
        <v>25</v>
      </c>
      <c r="C79" s="2">
        <v>4</v>
      </c>
      <c r="D79" s="2">
        <v>4</v>
      </c>
      <c r="E79" s="2">
        <v>3</v>
      </c>
      <c r="F79" s="2">
        <v>1</v>
      </c>
      <c r="G79" s="2">
        <v>2</v>
      </c>
      <c r="H79" s="1">
        <v>0</v>
      </c>
      <c r="I79" s="1">
        <f>IF(H79 + I78 &lt; 0, H79 + I78, 0)</f>
        <v>0</v>
      </c>
      <c r="J79" s="1">
        <v>0</v>
      </c>
      <c r="K79" s="1">
        <f>IF(J79 + K78 &lt; 0, J79 + K78, 0)</f>
        <v>0</v>
      </c>
      <c r="L79" s="1">
        <v>0</v>
      </c>
      <c r="M79" s="1">
        <f>IF(L79 + M78 &lt; 0, L79 + M78, 0)</f>
        <v>0</v>
      </c>
      <c r="N79" s="1">
        <v>0</v>
      </c>
      <c r="O79" s="1">
        <f>IF(N79 + O78 &lt; 0, N79 + O78, 0)</f>
        <v>0</v>
      </c>
      <c r="P79" s="1">
        <v>0</v>
      </c>
      <c r="Q79" s="1">
        <f>IF(P79 + Q78 &lt; 0, P79 + Q78, 0)</f>
        <v>0</v>
      </c>
      <c r="R79" s="1">
        <v>0</v>
      </c>
      <c r="S79" s="1">
        <f>IF(R79 + S78 &lt; 0, R79 + S78, 0)</f>
        <v>0</v>
      </c>
      <c r="T79" s="1">
        <v>0</v>
      </c>
      <c r="U79" s="1">
        <f>IF(T79 + U78 &lt; 0, T79 + U78, 0)</f>
        <v>0</v>
      </c>
      <c r="V79" s="1">
        <v>0</v>
      </c>
      <c r="W79" s="1">
        <f>IF(V79 + W78 &lt; 0, V79 + W78, 0)</f>
        <v>0</v>
      </c>
      <c r="X79" s="1">
        <v>0</v>
      </c>
      <c r="Y79" s="1">
        <f>IF(X79 + Y78 &lt; 0, X79 + Y78, 0)</f>
        <v>0</v>
      </c>
      <c r="Z79" s="1">
        <v>-98068.83103702823</v>
      </c>
      <c r="AA79" s="1">
        <f>IF(Z79 + AA78 &lt; 0, Z79 + AA78, 0)</f>
        <v>0</v>
      </c>
      <c r="AB79" s="1">
        <v>37166.52100464479</v>
      </c>
      <c r="AC79" s="1">
        <f>IF(AB79 + AC78 &lt; 0, AB79 + AC78, 0)</f>
        <v>0</v>
      </c>
      <c r="AD79" s="1">
        <v>-82210.84214348541</v>
      </c>
      <c r="AE79" s="1">
        <f>IF(AD79 + AE78 &lt; 0, AD79 + AE78, 0)</f>
        <v>0</v>
      </c>
      <c r="AF79" s="1">
        <v>0</v>
      </c>
      <c r="AG79" s="1">
        <f>IF(AF79 + AG78 &lt; 0, AF79 + AG78, 0)</f>
        <v>0</v>
      </c>
      <c r="AH79" s="1">
        <v>0</v>
      </c>
      <c r="AI79" s="1">
        <f>IF(AH79 + AI78 &lt; 0, AH79 + AI78, 0)</f>
        <v>0</v>
      </c>
      <c r="AJ79" s="1">
        <v>0</v>
      </c>
      <c r="AK79" s="1">
        <f>IF(AJ79 + AK78 &lt; 0, AJ79 + AK78, 0)</f>
        <v>0</v>
      </c>
    </row>
    <row r="80" spans="1:37" s="1" customFormat="1">
      <c r="A80" s="3">
        <v>45408</v>
      </c>
      <c r="B80" s="2" t="s">
        <v>26</v>
      </c>
      <c r="C80" s="2">
        <v>3</v>
      </c>
      <c r="D80" s="2">
        <v>3</v>
      </c>
      <c r="E80" s="2">
        <v>2</v>
      </c>
      <c r="F80" s="2">
        <v>4</v>
      </c>
      <c r="G80" s="2">
        <v>1</v>
      </c>
      <c r="H80" s="1">
        <v>0</v>
      </c>
      <c r="I80" s="1">
        <f>IF(H80 + I79 &lt; 0, H80 + I79, 0)</f>
        <v>0</v>
      </c>
      <c r="J80" s="1">
        <v>0</v>
      </c>
      <c r="K80" s="1">
        <f>IF(J80 + K79 &lt; 0, J80 + K79, 0)</f>
        <v>0</v>
      </c>
      <c r="L80" s="1">
        <v>0</v>
      </c>
      <c r="M80" s="1">
        <f>IF(L80 + M79 &lt; 0, L80 + M79, 0)</f>
        <v>0</v>
      </c>
      <c r="N80" s="1">
        <v>0</v>
      </c>
      <c r="O80" s="1">
        <f>IF(N80 + O79 &lt; 0, N80 + O79, 0)</f>
        <v>0</v>
      </c>
      <c r="P80" s="1">
        <v>0</v>
      </c>
      <c r="Q80" s="1">
        <f>IF(P80 + Q79 &lt; 0, P80 + Q79, 0)</f>
        <v>0</v>
      </c>
      <c r="R80" s="1">
        <v>0</v>
      </c>
      <c r="S80" s="1">
        <f>IF(R80 + S79 &lt; 0, R80 + S79, 0)</f>
        <v>0</v>
      </c>
      <c r="T80" s="1">
        <v>0</v>
      </c>
      <c r="U80" s="1">
        <f>IF(T80 + U79 &lt; 0, T80 + U79, 0)</f>
        <v>0</v>
      </c>
      <c r="V80" s="1">
        <v>0</v>
      </c>
      <c r="W80" s="1">
        <f>IF(V80 + W79 &lt; 0, V80 + W79, 0)</f>
        <v>0</v>
      </c>
      <c r="X80" s="1">
        <v>0</v>
      </c>
      <c r="Y80" s="1">
        <f>IF(X80 + Y79 &lt; 0, X80 + Y79, 0)</f>
        <v>0</v>
      </c>
      <c r="Z80" s="1">
        <v>0</v>
      </c>
      <c r="AA80" s="1">
        <f>IF(Z80 + AA79 &lt; 0, Z80 + AA79, 0)</f>
        <v>0</v>
      </c>
      <c r="AB80" s="1">
        <v>0</v>
      </c>
      <c r="AC80" s="1">
        <f>IF(AB80 + AC79 &lt; 0, AB80 + AC79, 0)</f>
        <v>0</v>
      </c>
      <c r="AD80" s="1">
        <v>0</v>
      </c>
      <c r="AE80" s="1">
        <f>IF(AD80 + AE79 &lt; 0, AD80 + AE79, 0)</f>
        <v>0</v>
      </c>
      <c r="AF80" s="1">
        <v>827485.2698436962</v>
      </c>
      <c r="AG80" s="1">
        <f>IF(AF80 + AG79 &lt; 0, AF80 + AG79, 0)</f>
        <v>0</v>
      </c>
      <c r="AH80" s="1">
        <v>399585.8435713631</v>
      </c>
      <c r="AI80" s="1">
        <f>IF(AH80 + AI79 &lt; 0, AH80 + AI79, 0)</f>
        <v>0</v>
      </c>
      <c r="AJ80" s="1">
        <v>593585.6746980441</v>
      </c>
      <c r="AK80" s="1">
        <f>IF(AJ80 + AK79 &lt; 0, AJ80 + AK79, 0)</f>
        <v>0</v>
      </c>
    </row>
    <row r="81" spans="1:37" s="1" customFormat="1">
      <c r="A81" s="3">
        <v>45411</v>
      </c>
      <c r="B81" s="2" t="s">
        <v>22</v>
      </c>
      <c r="C81" s="2">
        <v>2</v>
      </c>
      <c r="D81" s="2">
        <v>2</v>
      </c>
      <c r="E81" s="2">
        <v>1</v>
      </c>
      <c r="F81" s="2">
        <v>3</v>
      </c>
      <c r="G81" s="2">
        <v>4</v>
      </c>
      <c r="H81" s="1">
        <v>0</v>
      </c>
      <c r="I81" s="1">
        <f>IF(H81 + I80 &lt; 0, H81 + I80, 0)</f>
        <v>0</v>
      </c>
      <c r="J81" s="1">
        <v>0</v>
      </c>
      <c r="K81" s="1">
        <f>IF(J81 + K80 &lt; 0, J81 + K80, 0)</f>
        <v>0</v>
      </c>
      <c r="L81" s="1">
        <v>0</v>
      </c>
      <c r="M81" s="1">
        <f>IF(L81 + M80 &lt; 0, L81 + M80, 0)</f>
        <v>0</v>
      </c>
      <c r="N81" s="1">
        <v>0</v>
      </c>
      <c r="O81" s="1">
        <f>IF(N81 + O80 &lt; 0, N81 + O80, 0)</f>
        <v>0</v>
      </c>
      <c r="P81" s="1">
        <v>0</v>
      </c>
      <c r="Q81" s="1">
        <f>IF(P81 + Q80 &lt; 0, P81 + Q80, 0)</f>
        <v>0</v>
      </c>
      <c r="R81" s="1">
        <v>0</v>
      </c>
      <c r="S81" s="1">
        <f>IF(R81 + S80 &lt; 0, R81 + S80, 0)</f>
        <v>0</v>
      </c>
      <c r="T81" s="1">
        <v>0</v>
      </c>
      <c r="U81" s="1">
        <f>IF(T81 + U80 &lt; 0, T81 + U80, 0)</f>
        <v>0</v>
      </c>
      <c r="V81" s="1">
        <v>0</v>
      </c>
      <c r="W81" s="1">
        <f>IF(V81 + W80 &lt; 0, V81 + W80, 0)</f>
        <v>0</v>
      </c>
      <c r="X81" s="1">
        <v>0</v>
      </c>
      <c r="Y81" s="1">
        <f>IF(X81 + Y80 &lt; 0, X81 + Y80, 0)</f>
        <v>0</v>
      </c>
      <c r="Z81" s="1">
        <v>0</v>
      </c>
      <c r="AA81" s="1">
        <f>IF(Z81 + AA80 &lt; 0, Z81 + AA80, 0)</f>
        <v>0</v>
      </c>
      <c r="AB81" s="1">
        <v>0</v>
      </c>
      <c r="AC81" s="1">
        <f>IF(AB81 + AC80 &lt; 0, AB81 + AC80, 0)</f>
        <v>0</v>
      </c>
      <c r="AD81" s="1">
        <v>0</v>
      </c>
      <c r="AE81" s="1">
        <f>IF(AD81 + AE80 &lt; 0, AD81 + AE80, 0)</f>
        <v>0</v>
      </c>
      <c r="AF81" s="1">
        <v>0</v>
      </c>
      <c r="AG81" s="1">
        <f>IF(AF81 + AG80 &lt; 0, AF81 + AG80, 0)</f>
        <v>0</v>
      </c>
      <c r="AH81" s="1">
        <v>0</v>
      </c>
      <c r="AI81" s="1">
        <f>IF(AH81 + AI80 &lt; 0, AH81 + AI80, 0)</f>
        <v>0</v>
      </c>
      <c r="AJ81" s="1">
        <v>0</v>
      </c>
      <c r="AK81" s="1">
        <f>IF(AJ81 + AK80 &lt; 0, AJ81 + AK80, 0)</f>
        <v>0</v>
      </c>
    </row>
    <row r="82" spans="1:37" s="1" customFormat="1">
      <c r="A82" s="3">
        <v>45412</v>
      </c>
      <c r="B82" s="2" t="s">
        <v>23</v>
      </c>
      <c r="C82" s="2">
        <v>1</v>
      </c>
      <c r="D82" s="2">
        <v>1</v>
      </c>
      <c r="E82" s="2">
        <v>18</v>
      </c>
      <c r="F82" s="2">
        <v>2</v>
      </c>
      <c r="G82" s="2">
        <v>3</v>
      </c>
      <c r="H82" s="1">
        <v>0</v>
      </c>
      <c r="I82" s="1">
        <f>IF(H82 + I81 &lt; 0, H82 + I81, 0)</f>
        <v>0</v>
      </c>
      <c r="J82" s="1">
        <v>0</v>
      </c>
      <c r="K82" s="1">
        <f>IF(J82 + K81 &lt; 0, J82 + K81, 0)</f>
        <v>0</v>
      </c>
      <c r="L82" s="1">
        <v>0</v>
      </c>
      <c r="M82" s="1">
        <f>IF(L82 + M81 &lt; 0, L82 + M81, 0)</f>
        <v>0</v>
      </c>
      <c r="N82" s="1">
        <v>0</v>
      </c>
      <c r="O82" s="1">
        <f>IF(N82 + O81 &lt; 0, N82 + O81, 0)</f>
        <v>0</v>
      </c>
      <c r="P82" s="1">
        <v>0</v>
      </c>
      <c r="Q82" s="1">
        <f>IF(P82 + Q81 &lt; 0, P82 + Q81, 0)</f>
        <v>0</v>
      </c>
      <c r="R82" s="1">
        <v>0</v>
      </c>
      <c r="S82" s="1">
        <f>IF(R82 + S81 &lt; 0, R82 + S81, 0)</f>
        <v>0</v>
      </c>
      <c r="T82" s="1">
        <v>0</v>
      </c>
      <c r="U82" s="1">
        <f>IF(T82 + U81 &lt; 0, T82 + U81, 0)</f>
        <v>0</v>
      </c>
      <c r="V82" s="1">
        <v>0</v>
      </c>
      <c r="W82" s="1">
        <f>IF(V82 + W81 &lt; 0, V82 + W81, 0)</f>
        <v>0</v>
      </c>
      <c r="X82" s="1">
        <v>0</v>
      </c>
      <c r="Y82" s="1">
        <f>IF(X82 + Y81 &lt; 0, X82 + Y81, 0)</f>
        <v>0</v>
      </c>
      <c r="Z82" s="1">
        <v>0</v>
      </c>
      <c r="AA82" s="1">
        <f>IF(Z82 + AA81 &lt; 0, Z82 + AA81, 0)</f>
        <v>0</v>
      </c>
      <c r="AB82" s="1">
        <v>0</v>
      </c>
      <c r="AC82" s="1">
        <f>IF(AB82 + AC81 &lt; 0, AB82 + AC81, 0)</f>
        <v>0</v>
      </c>
      <c r="AD82" s="1">
        <v>0</v>
      </c>
      <c r="AE82" s="1">
        <f>IF(AD82 + AE81 &lt; 0, AD82 + AE81, 0)</f>
        <v>0</v>
      </c>
      <c r="AF82" s="1">
        <v>0</v>
      </c>
      <c r="AG82" s="1">
        <f>IF(AF82 + AG81 &lt; 0, AF82 + AG81, 0)</f>
        <v>0</v>
      </c>
      <c r="AH82" s="1">
        <v>0</v>
      </c>
      <c r="AI82" s="1">
        <f>IF(AH82 + AI81 &lt; 0, AH82 + AI81, 0)</f>
        <v>0</v>
      </c>
      <c r="AJ82" s="1">
        <v>0</v>
      </c>
      <c r="AK82" s="1">
        <f>IF(AJ82 + AK81 &lt; 0, AJ82 + AK81, 0)</f>
        <v>0</v>
      </c>
    </row>
    <row r="83" spans="1:37" s="1" customFormat="1">
      <c r="A83" s="3">
        <v>45414</v>
      </c>
      <c r="B83" s="2" t="s">
        <v>25</v>
      </c>
      <c r="C83" s="2">
        <v>19</v>
      </c>
      <c r="D83" s="2">
        <v>18</v>
      </c>
      <c r="E83" s="2">
        <v>17</v>
      </c>
      <c r="F83" s="2">
        <v>1</v>
      </c>
      <c r="G83" s="2">
        <v>2</v>
      </c>
      <c r="H83" s="1">
        <v>0</v>
      </c>
      <c r="I83" s="1">
        <f>IF(H83 + I82 &lt; 0, H83 + I82, 0)</f>
        <v>0</v>
      </c>
      <c r="J83" s="1">
        <v>0</v>
      </c>
      <c r="K83" s="1">
        <f>IF(J83 + K82 &lt; 0, J83 + K82, 0)</f>
        <v>0</v>
      </c>
      <c r="L83" s="1">
        <v>0</v>
      </c>
      <c r="M83" s="1">
        <f>IF(L83 + M82 &lt; 0, L83 + M82, 0)</f>
        <v>0</v>
      </c>
      <c r="N83" s="1">
        <v>0</v>
      </c>
      <c r="O83" s="1">
        <f>IF(N83 + O82 &lt; 0, N83 + O82, 0)</f>
        <v>0</v>
      </c>
      <c r="P83" s="1">
        <v>0</v>
      </c>
      <c r="Q83" s="1">
        <f>IF(P83 + Q82 &lt; 0, P83 + Q82, 0)</f>
        <v>0</v>
      </c>
      <c r="R83" s="1">
        <v>0</v>
      </c>
      <c r="S83" s="1">
        <f>IF(R83 + S82 &lt; 0, R83 + S82, 0)</f>
        <v>0</v>
      </c>
      <c r="T83" s="1">
        <v>0</v>
      </c>
      <c r="U83" s="1">
        <f>IF(T83 + U82 &lt; 0, T83 + U82, 0)</f>
        <v>0</v>
      </c>
      <c r="V83" s="1">
        <v>0</v>
      </c>
      <c r="W83" s="1">
        <f>IF(V83 + W82 &lt; 0, V83 + W82, 0)</f>
        <v>0</v>
      </c>
      <c r="X83" s="1">
        <v>0</v>
      </c>
      <c r="Y83" s="1">
        <f>IF(X83 + Y82 &lt; 0, X83 + Y82, 0)</f>
        <v>0</v>
      </c>
      <c r="Z83" s="1">
        <v>615849.9235534916</v>
      </c>
      <c r="AA83" s="1">
        <f>IF(Z83 + AA82 &lt; 0, Z83 + AA82, 0)</f>
        <v>0</v>
      </c>
      <c r="AB83" s="1">
        <v>615849.9235534916</v>
      </c>
      <c r="AC83" s="1">
        <f>IF(AB83 + AC82 &lt; 0, AB83 + AC82, 0)</f>
        <v>0</v>
      </c>
      <c r="AD83" s="1">
        <v>370040.444450192</v>
      </c>
      <c r="AE83" s="1">
        <f>IF(AD83 + AE82 &lt; 0, AD83 + AE82, 0)</f>
        <v>0</v>
      </c>
      <c r="AF83" s="1">
        <v>0</v>
      </c>
      <c r="AG83" s="1">
        <f>IF(AF83 + AG82 &lt; 0, AF83 + AG82, 0)</f>
        <v>0</v>
      </c>
      <c r="AH83" s="1">
        <v>0</v>
      </c>
      <c r="AI83" s="1">
        <f>IF(AH83 + AI82 &lt; 0, AH83 + AI82, 0)</f>
        <v>0</v>
      </c>
      <c r="AJ83" s="1">
        <v>0</v>
      </c>
      <c r="AK83" s="1">
        <f>IF(AJ83 + AK82 &lt; 0, AJ83 + AK82, 0)</f>
        <v>0</v>
      </c>
    </row>
    <row r="84" spans="1:37" s="1" customFormat="1">
      <c r="A84" s="3">
        <v>45415</v>
      </c>
      <c r="B84" s="2" t="s">
        <v>26</v>
      </c>
      <c r="C84" s="2">
        <v>18</v>
      </c>
      <c r="D84" s="2">
        <v>17</v>
      </c>
      <c r="E84" s="2">
        <v>16</v>
      </c>
      <c r="F84" s="2">
        <v>5</v>
      </c>
      <c r="G84" s="2">
        <v>1</v>
      </c>
      <c r="H84" s="1">
        <v>0</v>
      </c>
      <c r="I84" s="1">
        <f>IF(H84 + I83 &lt; 0, H84 + I83, 0)</f>
        <v>0</v>
      </c>
      <c r="J84" s="1">
        <v>0</v>
      </c>
      <c r="K84" s="1">
        <f>IF(J84 + K83 &lt; 0, J84 + K83, 0)</f>
        <v>0</v>
      </c>
      <c r="L84" s="1">
        <v>0</v>
      </c>
      <c r="M84" s="1">
        <f>IF(L84 + M83 &lt; 0, L84 + M83, 0)</f>
        <v>0</v>
      </c>
      <c r="N84" s="1">
        <v>0</v>
      </c>
      <c r="O84" s="1">
        <f>IF(N84 + O83 &lt; 0, N84 + O83, 0)</f>
        <v>0</v>
      </c>
      <c r="P84" s="1">
        <v>0</v>
      </c>
      <c r="Q84" s="1">
        <f>IF(P84 + Q83 &lt; 0, P84 + Q83, 0)</f>
        <v>0</v>
      </c>
      <c r="R84" s="1">
        <v>0</v>
      </c>
      <c r="S84" s="1">
        <f>IF(R84 + S83 &lt; 0, R84 + S83, 0)</f>
        <v>0</v>
      </c>
      <c r="T84" s="1">
        <v>0</v>
      </c>
      <c r="U84" s="1">
        <f>IF(T84 + U83 &lt; 0, T84 + U83, 0)</f>
        <v>0</v>
      </c>
      <c r="V84" s="1">
        <v>0</v>
      </c>
      <c r="W84" s="1">
        <f>IF(V84 + W83 &lt; 0, V84 + W83, 0)</f>
        <v>0</v>
      </c>
      <c r="X84" s="1">
        <v>0</v>
      </c>
      <c r="Y84" s="1">
        <f>IF(X84 + Y83 &lt; 0, X84 + Y83, 0)</f>
        <v>0</v>
      </c>
      <c r="Z84" s="1">
        <v>0</v>
      </c>
      <c r="AA84" s="1">
        <f>IF(Z84 + AA83 &lt; 0, Z84 + AA83, 0)</f>
        <v>0</v>
      </c>
      <c r="AB84" s="1">
        <v>0</v>
      </c>
      <c r="AC84" s="1">
        <f>IF(AB84 + AC83 &lt; 0, AB84 + AC83, 0)</f>
        <v>0</v>
      </c>
      <c r="AD84" s="1">
        <v>0</v>
      </c>
      <c r="AE84" s="1">
        <f>IF(AD84 + AE83 &lt; 0, AD84 + AE83, 0)</f>
        <v>0</v>
      </c>
      <c r="AF84" s="1">
        <v>102205.7166670758</v>
      </c>
      <c r="AG84" s="1">
        <f>IF(AF84 + AG83 &lt; 0, AF84 + AG83, 0)</f>
        <v>0</v>
      </c>
      <c r="AH84" s="1">
        <v>102205.7166670758</v>
      </c>
      <c r="AI84" s="1">
        <f>IF(AH84 + AI83 &lt; 0, AH84 + AI83, 0)</f>
        <v>0</v>
      </c>
      <c r="AJ84" s="1">
        <v>7457.602978959253</v>
      </c>
      <c r="AK84" s="1">
        <f>IF(AJ84 + AK83 &lt; 0, AJ84 + AK83, 0)</f>
        <v>0</v>
      </c>
    </row>
    <row r="85" spans="1:37" s="1" customFormat="1">
      <c r="A85" s="3">
        <v>45418</v>
      </c>
      <c r="B85" s="2" t="s">
        <v>22</v>
      </c>
      <c r="C85" s="2">
        <v>17</v>
      </c>
      <c r="D85" s="2">
        <v>16</v>
      </c>
      <c r="E85" s="2">
        <v>15</v>
      </c>
      <c r="F85" s="2">
        <v>4</v>
      </c>
      <c r="G85" s="2">
        <v>5</v>
      </c>
      <c r="H85" s="1">
        <v>0</v>
      </c>
      <c r="I85" s="1">
        <f>IF(H85 + I84 &lt; 0, H85 + I84, 0)</f>
        <v>0</v>
      </c>
      <c r="J85" s="1">
        <v>0</v>
      </c>
      <c r="K85" s="1">
        <f>IF(J85 + K84 &lt; 0, J85 + K84, 0)</f>
        <v>0</v>
      </c>
      <c r="L85" s="1">
        <v>0</v>
      </c>
      <c r="M85" s="1">
        <f>IF(L85 + M84 &lt; 0, L85 + M84, 0)</f>
        <v>0</v>
      </c>
      <c r="N85" s="1">
        <v>0</v>
      </c>
      <c r="O85" s="1">
        <f>IF(N85 + O84 &lt; 0, N85 + O84, 0)</f>
        <v>0</v>
      </c>
      <c r="P85" s="1">
        <v>0</v>
      </c>
      <c r="Q85" s="1">
        <f>IF(P85 + Q84 &lt; 0, P85 + Q84, 0)</f>
        <v>0</v>
      </c>
      <c r="R85" s="1">
        <v>0</v>
      </c>
      <c r="S85" s="1">
        <f>IF(R85 + S84 &lt; 0, R85 + S84, 0)</f>
        <v>0</v>
      </c>
      <c r="T85" s="1">
        <v>0</v>
      </c>
      <c r="U85" s="1">
        <f>IF(T85 + U84 &lt; 0, T85 + U84, 0)</f>
        <v>0</v>
      </c>
      <c r="V85" s="1">
        <v>0</v>
      </c>
      <c r="W85" s="1">
        <f>IF(V85 + W84 &lt; 0, V85 + W84, 0)</f>
        <v>0</v>
      </c>
      <c r="X85" s="1">
        <v>0</v>
      </c>
      <c r="Y85" s="1">
        <f>IF(X85 + Y84 &lt; 0, X85 + Y84, 0)</f>
        <v>0</v>
      </c>
      <c r="Z85" s="1">
        <v>0</v>
      </c>
      <c r="AA85" s="1">
        <f>IF(Z85 + AA84 &lt; 0, Z85 + AA84, 0)</f>
        <v>0</v>
      </c>
      <c r="AB85" s="1">
        <v>0</v>
      </c>
      <c r="AC85" s="1">
        <f>IF(AB85 + AC84 &lt; 0, AB85 + AC84, 0)</f>
        <v>0</v>
      </c>
      <c r="AD85" s="1">
        <v>0</v>
      </c>
      <c r="AE85" s="1">
        <f>IF(AD85 + AE84 &lt; 0, AD85 + AE84, 0)</f>
        <v>0</v>
      </c>
      <c r="AF85" s="1">
        <v>0</v>
      </c>
      <c r="AG85" s="1">
        <f>IF(AF85 + AG84 &lt; 0, AF85 + AG84, 0)</f>
        <v>0</v>
      </c>
      <c r="AH85" s="1">
        <v>0</v>
      </c>
      <c r="AI85" s="1">
        <f>IF(AH85 + AI84 &lt; 0, AH85 + AI84, 0)</f>
        <v>0</v>
      </c>
      <c r="AJ85" s="1">
        <v>0</v>
      </c>
      <c r="AK85" s="1">
        <f>IF(AJ85 + AK84 &lt; 0, AJ85 + AK84, 0)</f>
        <v>0</v>
      </c>
    </row>
    <row r="86" spans="1:37" s="1" customFormat="1">
      <c r="A86" s="3">
        <v>45419</v>
      </c>
      <c r="B86" s="2" t="s">
        <v>23</v>
      </c>
      <c r="C86" s="2">
        <v>16</v>
      </c>
      <c r="D86" s="2">
        <v>15</v>
      </c>
      <c r="E86" s="2">
        <v>14</v>
      </c>
      <c r="F86" s="2">
        <v>3</v>
      </c>
      <c r="G86" s="2">
        <v>4</v>
      </c>
      <c r="H86" s="1">
        <v>0</v>
      </c>
      <c r="I86" s="1">
        <f>IF(H86 + I85 &lt; 0, H86 + I85, 0)</f>
        <v>0</v>
      </c>
      <c r="J86" s="1">
        <v>0</v>
      </c>
      <c r="K86" s="1">
        <f>IF(J86 + K85 &lt; 0, J86 + K85, 0)</f>
        <v>0</v>
      </c>
      <c r="L86" s="1">
        <v>0</v>
      </c>
      <c r="M86" s="1">
        <f>IF(L86 + M85 &lt; 0, L86 + M85, 0)</f>
        <v>0</v>
      </c>
      <c r="N86" s="1">
        <v>0</v>
      </c>
      <c r="O86" s="1">
        <f>IF(N86 + O85 &lt; 0, N86 + O85, 0)</f>
        <v>0</v>
      </c>
      <c r="P86" s="1">
        <v>0</v>
      </c>
      <c r="Q86" s="1">
        <f>IF(P86 + Q85 &lt; 0, P86 + Q85, 0)</f>
        <v>0</v>
      </c>
      <c r="R86" s="1">
        <v>0</v>
      </c>
      <c r="S86" s="1">
        <f>IF(R86 + S85 &lt; 0, R86 + S85, 0)</f>
        <v>0</v>
      </c>
      <c r="T86" s="1">
        <v>0</v>
      </c>
      <c r="U86" s="1">
        <f>IF(T86 + U85 &lt; 0, T86 + U85, 0)</f>
        <v>0</v>
      </c>
      <c r="V86" s="1">
        <v>0</v>
      </c>
      <c r="W86" s="1">
        <f>IF(V86 + W85 &lt; 0, V86 + W85, 0)</f>
        <v>0</v>
      </c>
      <c r="X86" s="1">
        <v>0</v>
      </c>
      <c r="Y86" s="1">
        <f>IF(X86 + Y85 &lt; 0, X86 + Y85, 0)</f>
        <v>0</v>
      </c>
      <c r="Z86" s="1">
        <v>0</v>
      </c>
      <c r="AA86" s="1">
        <f>IF(Z86 + AA85 &lt; 0, Z86 + AA85, 0)</f>
        <v>0</v>
      </c>
      <c r="AB86" s="1">
        <v>0</v>
      </c>
      <c r="AC86" s="1">
        <f>IF(AB86 + AC85 &lt; 0, AB86 + AC85, 0)</f>
        <v>0</v>
      </c>
      <c r="AD86" s="1">
        <v>0</v>
      </c>
      <c r="AE86" s="1">
        <f>IF(AD86 + AE85 &lt; 0, AD86 + AE85, 0)</f>
        <v>0</v>
      </c>
      <c r="AF86" s="1">
        <v>0</v>
      </c>
      <c r="AG86" s="1">
        <f>IF(AF86 + AG85 &lt; 0, AF86 + AG85, 0)</f>
        <v>0</v>
      </c>
      <c r="AH86" s="1">
        <v>0</v>
      </c>
      <c r="AI86" s="1">
        <f>IF(AH86 + AI85 &lt; 0, AH86 + AI85, 0)</f>
        <v>0</v>
      </c>
      <c r="AJ86" s="1">
        <v>0</v>
      </c>
      <c r="AK86" s="1">
        <f>IF(AJ86 + AK85 &lt; 0, AJ86 + AK85, 0)</f>
        <v>0</v>
      </c>
    </row>
    <row r="87" spans="1:37" s="1" customFormat="1">
      <c r="A87" s="3">
        <v>45420</v>
      </c>
      <c r="B87" s="2" t="s">
        <v>24</v>
      </c>
      <c r="C87" s="2">
        <v>15</v>
      </c>
      <c r="D87" s="2">
        <v>14</v>
      </c>
      <c r="E87" s="2">
        <v>13</v>
      </c>
      <c r="F87" s="2">
        <v>2</v>
      </c>
      <c r="G87" s="2">
        <v>3</v>
      </c>
      <c r="H87" s="1">
        <v>0</v>
      </c>
      <c r="I87" s="1">
        <f>IF(H87 + I86 &lt; 0, H87 + I86, 0)</f>
        <v>0</v>
      </c>
      <c r="J87" s="1">
        <v>0</v>
      </c>
      <c r="K87" s="1">
        <f>IF(J87 + K86 &lt; 0, J87 + K86, 0)</f>
        <v>0</v>
      </c>
      <c r="L87" s="1">
        <v>0</v>
      </c>
      <c r="M87" s="1">
        <f>IF(L87 + M86 &lt; 0, L87 + M86, 0)</f>
        <v>0</v>
      </c>
      <c r="N87" s="1">
        <v>0</v>
      </c>
      <c r="O87" s="1">
        <f>IF(N87 + O86 &lt; 0, N87 + O86, 0)</f>
        <v>0</v>
      </c>
      <c r="P87" s="1">
        <v>0</v>
      </c>
      <c r="Q87" s="1">
        <f>IF(P87 + Q86 &lt; 0, P87 + Q86, 0)</f>
        <v>0</v>
      </c>
      <c r="R87" s="1">
        <v>0</v>
      </c>
      <c r="S87" s="1">
        <f>IF(R87 + S86 &lt; 0, R87 + S86, 0)</f>
        <v>0</v>
      </c>
      <c r="T87" s="1">
        <v>0</v>
      </c>
      <c r="U87" s="1">
        <f>IF(T87 + U86 &lt; 0, T87 + U86, 0)</f>
        <v>0</v>
      </c>
      <c r="V87" s="1">
        <v>0</v>
      </c>
      <c r="W87" s="1">
        <f>IF(V87 + W86 &lt; 0, V87 + W86, 0)</f>
        <v>0</v>
      </c>
      <c r="X87" s="1">
        <v>0</v>
      </c>
      <c r="Y87" s="1">
        <f>IF(X87 + Y86 &lt; 0, X87 + Y86, 0)</f>
        <v>0</v>
      </c>
      <c r="Z87" s="1">
        <v>0</v>
      </c>
      <c r="AA87" s="1">
        <f>IF(Z87 + AA86 &lt; 0, Z87 + AA86, 0)</f>
        <v>0</v>
      </c>
      <c r="AB87" s="1">
        <v>0</v>
      </c>
      <c r="AC87" s="1">
        <f>IF(AB87 + AC86 &lt; 0, AB87 + AC86, 0)</f>
        <v>0</v>
      </c>
      <c r="AD87" s="1">
        <v>0</v>
      </c>
      <c r="AE87" s="1">
        <f>IF(AD87 + AE86 &lt; 0, AD87 + AE86, 0)</f>
        <v>0</v>
      </c>
      <c r="AF87" s="1">
        <v>0</v>
      </c>
      <c r="AG87" s="1">
        <f>IF(AF87 + AG86 &lt; 0, AF87 + AG86, 0)</f>
        <v>0</v>
      </c>
      <c r="AH87" s="1">
        <v>0</v>
      </c>
      <c r="AI87" s="1">
        <f>IF(AH87 + AI86 &lt; 0, AH87 + AI86, 0)</f>
        <v>0</v>
      </c>
      <c r="AJ87" s="1">
        <v>0</v>
      </c>
      <c r="AK87" s="1">
        <f>IF(AJ87 + AK86 &lt; 0, AJ87 + AK86, 0)</f>
        <v>0</v>
      </c>
    </row>
    <row r="88" spans="1:37" s="1" customFormat="1">
      <c r="A88" s="3">
        <v>45421</v>
      </c>
      <c r="B88" s="2" t="s">
        <v>25</v>
      </c>
      <c r="C88" s="2">
        <v>14</v>
      </c>
      <c r="D88" s="2">
        <v>13</v>
      </c>
      <c r="E88" s="2">
        <v>12</v>
      </c>
      <c r="F88" s="2">
        <v>1</v>
      </c>
      <c r="G88" s="2">
        <v>2</v>
      </c>
      <c r="H88" s="1">
        <v>0</v>
      </c>
      <c r="I88" s="1">
        <f>IF(H88 + I87 &lt; 0, H88 + I87, 0)</f>
        <v>0</v>
      </c>
      <c r="J88" s="1">
        <v>0</v>
      </c>
      <c r="K88" s="1">
        <f>IF(J88 + K87 &lt; 0, J88 + K87, 0)</f>
        <v>0</v>
      </c>
      <c r="L88" s="1">
        <v>0</v>
      </c>
      <c r="M88" s="1">
        <f>IF(L88 + M87 &lt; 0, L88 + M87, 0)</f>
        <v>0</v>
      </c>
      <c r="N88" s="1">
        <v>0</v>
      </c>
      <c r="O88" s="1">
        <f>IF(N88 + O87 &lt; 0, N88 + O87, 0)</f>
        <v>0</v>
      </c>
      <c r="P88" s="1">
        <v>0</v>
      </c>
      <c r="Q88" s="1">
        <f>IF(P88 + Q87 &lt; 0, P88 + Q87, 0)</f>
        <v>0</v>
      </c>
      <c r="R88" s="1">
        <v>0</v>
      </c>
      <c r="S88" s="1">
        <f>IF(R88 + S87 &lt; 0, R88 + S87, 0)</f>
        <v>0</v>
      </c>
      <c r="T88" s="1">
        <v>0</v>
      </c>
      <c r="U88" s="1">
        <f>IF(T88 + U87 &lt; 0, T88 + U87, 0)</f>
        <v>0</v>
      </c>
      <c r="V88" s="1">
        <v>0</v>
      </c>
      <c r="W88" s="1">
        <f>IF(V88 + W87 &lt; 0, V88 + W87, 0)</f>
        <v>0</v>
      </c>
      <c r="X88" s="1">
        <v>0</v>
      </c>
      <c r="Y88" s="1">
        <f>IF(X88 + Y87 &lt; 0, X88 + Y87, 0)</f>
        <v>0</v>
      </c>
      <c r="Z88" s="1">
        <v>-115947.5298564874</v>
      </c>
      <c r="AA88" s="1">
        <f>IF(Z88 + AA87 &lt; 0, Z88 + AA87, 0)</f>
        <v>0</v>
      </c>
      <c r="AB88" s="1">
        <v>-178080.3713260343</v>
      </c>
      <c r="AC88" s="1">
        <f>IF(AB88 + AC87 &lt; 0, AB88 + AC87, 0)</f>
        <v>0</v>
      </c>
      <c r="AD88" s="1">
        <v>123138.4615630892</v>
      </c>
      <c r="AE88" s="1">
        <f>IF(AD88 + AE87 &lt; 0, AD88 + AE87, 0)</f>
        <v>0</v>
      </c>
      <c r="AF88" s="1">
        <v>0</v>
      </c>
      <c r="AG88" s="1">
        <f>IF(AF88 + AG87 &lt; 0, AF88 + AG87, 0)</f>
        <v>0</v>
      </c>
      <c r="AH88" s="1">
        <v>0</v>
      </c>
      <c r="AI88" s="1">
        <f>IF(AH88 + AI87 &lt; 0, AH88 + AI87, 0)</f>
        <v>0</v>
      </c>
      <c r="AJ88" s="1">
        <v>0</v>
      </c>
      <c r="AK88" s="1">
        <f>IF(AJ88 + AK87 &lt; 0, AJ88 + AK87, 0)</f>
        <v>0</v>
      </c>
    </row>
    <row r="89" spans="1:37" s="1" customFormat="1">
      <c r="A89" s="3">
        <v>45422</v>
      </c>
      <c r="B89" s="2" t="s">
        <v>26</v>
      </c>
      <c r="C89" s="2">
        <v>13</v>
      </c>
      <c r="D89" s="2">
        <v>12</v>
      </c>
      <c r="E89" s="2">
        <v>11</v>
      </c>
      <c r="F89" s="2">
        <v>5</v>
      </c>
      <c r="G89" s="2">
        <v>1</v>
      </c>
      <c r="H89" s="1">
        <v>0</v>
      </c>
      <c r="I89" s="1">
        <f>IF(H89 + I88 &lt; 0, H89 + I88, 0)</f>
        <v>0</v>
      </c>
      <c r="J89" s="1">
        <v>0</v>
      </c>
      <c r="K89" s="1">
        <f>IF(J89 + K88 &lt; 0, J89 + K88, 0)</f>
        <v>0</v>
      </c>
      <c r="L89" s="1">
        <v>0</v>
      </c>
      <c r="M89" s="1">
        <f>IF(L89 + M88 &lt; 0, L89 + M88, 0)</f>
        <v>0</v>
      </c>
      <c r="N89" s="1">
        <v>0</v>
      </c>
      <c r="O89" s="1">
        <f>IF(N89 + O88 &lt; 0, N89 + O88, 0)</f>
        <v>0</v>
      </c>
      <c r="P89" s="1">
        <v>0</v>
      </c>
      <c r="Q89" s="1">
        <f>IF(P89 + Q88 &lt; 0, P89 + Q88, 0)</f>
        <v>0</v>
      </c>
      <c r="R89" s="1">
        <v>0</v>
      </c>
      <c r="S89" s="1">
        <f>IF(R89 + S88 &lt; 0, R89 + S88, 0)</f>
        <v>0</v>
      </c>
      <c r="T89" s="1">
        <v>0</v>
      </c>
      <c r="U89" s="1">
        <f>IF(T89 + U88 &lt; 0, T89 + U88, 0)</f>
        <v>0</v>
      </c>
      <c r="V89" s="1">
        <v>0</v>
      </c>
      <c r="W89" s="1">
        <f>IF(V89 + W88 &lt; 0, V89 + W88, 0)</f>
        <v>0</v>
      </c>
      <c r="X89" s="1">
        <v>0</v>
      </c>
      <c r="Y89" s="1">
        <f>IF(X89 + Y88 &lt; 0, X89 + Y88, 0)</f>
        <v>0</v>
      </c>
      <c r="Z89" s="1">
        <v>0</v>
      </c>
      <c r="AA89" s="1">
        <f>IF(Z89 + AA88 &lt; 0, Z89 + AA88, 0)</f>
        <v>0</v>
      </c>
      <c r="AB89" s="1">
        <v>0</v>
      </c>
      <c r="AC89" s="1">
        <f>IF(AB89 + AC88 &lt; 0, AB89 + AC88, 0)</f>
        <v>0</v>
      </c>
      <c r="AD89" s="1">
        <v>0</v>
      </c>
      <c r="AE89" s="1">
        <f>IF(AD89 + AE88 &lt; 0, AD89 + AE88, 0)</f>
        <v>0</v>
      </c>
      <c r="AF89" s="1">
        <v>457192.433449136</v>
      </c>
      <c r="AG89" s="1">
        <f>IF(AF89 + AG88 &lt; 0, AF89 + AG88, 0)</f>
        <v>0</v>
      </c>
      <c r="AH89" s="1">
        <v>539704.8930025254</v>
      </c>
      <c r="AI89" s="1">
        <f>IF(AH89 + AI88 &lt; 0, AH89 + AI88, 0)</f>
        <v>0</v>
      </c>
      <c r="AJ89" s="1">
        <v>312785.9729633145</v>
      </c>
      <c r="AK89" s="1">
        <f>IF(AJ89 + AK88 &lt; 0, AJ89 + AK88, 0)</f>
        <v>0</v>
      </c>
    </row>
    <row r="90" spans="1:37" s="1" customFormat="1">
      <c r="A90" s="3">
        <v>45425</v>
      </c>
      <c r="B90" s="2" t="s">
        <v>22</v>
      </c>
      <c r="C90" s="2">
        <v>12</v>
      </c>
      <c r="D90" s="2">
        <v>11</v>
      </c>
      <c r="E90" s="2">
        <v>10</v>
      </c>
      <c r="F90" s="2">
        <v>4</v>
      </c>
      <c r="G90" s="2">
        <v>5</v>
      </c>
      <c r="H90" s="1">
        <v>0</v>
      </c>
      <c r="I90" s="1">
        <f>IF(H90 + I89 &lt; 0, H90 + I89, 0)</f>
        <v>0</v>
      </c>
      <c r="J90" s="1">
        <v>0</v>
      </c>
      <c r="K90" s="1">
        <f>IF(J90 + K89 &lt; 0, J90 + K89, 0)</f>
        <v>0</v>
      </c>
      <c r="L90" s="1">
        <v>0</v>
      </c>
      <c r="M90" s="1">
        <f>IF(L90 + M89 &lt; 0, L90 + M89, 0)</f>
        <v>0</v>
      </c>
      <c r="N90" s="1">
        <v>0</v>
      </c>
      <c r="O90" s="1">
        <f>IF(N90 + O89 &lt; 0, N90 + O89, 0)</f>
        <v>0</v>
      </c>
      <c r="P90" s="1">
        <v>0</v>
      </c>
      <c r="Q90" s="1">
        <f>IF(P90 + Q89 &lt; 0, P90 + Q89, 0)</f>
        <v>0</v>
      </c>
      <c r="R90" s="1">
        <v>0</v>
      </c>
      <c r="S90" s="1">
        <f>IF(R90 + S89 &lt; 0, R90 + S89, 0)</f>
        <v>0</v>
      </c>
      <c r="T90" s="1">
        <v>0</v>
      </c>
      <c r="U90" s="1">
        <f>IF(T90 + U89 &lt; 0, T90 + U89, 0)</f>
        <v>0</v>
      </c>
      <c r="V90" s="1">
        <v>0</v>
      </c>
      <c r="W90" s="1">
        <f>IF(V90 + W89 &lt; 0, V90 + W89, 0)</f>
        <v>0</v>
      </c>
      <c r="X90" s="1">
        <v>0</v>
      </c>
      <c r="Y90" s="1">
        <f>IF(X90 + Y89 &lt; 0, X90 + Y89, 0)</f>
        <v>0</v>
      </c>
      <c r="Z90" s="1">
        <v>0</v>
      </c>
      <c r="AA90" s="1">
        <f>IF(Z90 + AA89 &lt; 0, Z90 + AA89, 0)</f>
        <v>0</v>
      </c>
      <c r="AB90" s="1">
        <v>0</v>
      </c>
      <c r="AC90" s="1">
        <f>IF(AB90 + AC89 &lt; 0, AB90 + AC89, 0)</f>
        <v>0</v>
      </c>
      <c r="AD90" s="1">
        <v>0</v>
      </c>
      <c r="AE90" s="1">
        <f>IF(AD90 + AE89 &lt; 0, AD90 + AE89, 0)</f>
        <v>0</v>
      </c>
      <c r="AF90" s="1">
        <v>0</v>
      </c>
      <c r="AG90" s="1">
        <f>IF(AF90 + AG89 &lt; 0, AF90 + AG89, 0)</f>
        <v>0</v>
      </c>
      <c r="AH90" s="1">
        <v>0</v>
      </c>
      <c r="AI90" s="1">
        <f>IF(AH90 + AI89 &lt; 0, AH90 + AI89, 0)</f>
        <v>0</v>
      </c>
      <c r="AJ90" s="1">
        <v>0</v>
      </c>
      <c r="AK90" s="1">
        <f>IF(AJ90 + AK89 &lt; 0, AJ90 + AK89, 0)</f>
        <v>0</v>
      </c>
    </row>
    <row r="91" spans="1:37" s="1" customFormat="1">
      <c r="A91" s="3">
        <v>45426</v>
      </c>
      <c r="B91" s="2" t="s">
        <v>23</v>
      </c>
      <c r="C91" s="2">
        <v>11</v>
      </c>
      <c r="D91" s="2">
        <v>10</v>
      </c>
      <c r="E91" s="2">
        <v>9</v>
      </c>
      <c r="F91" s="2">
        <v>3</v>
      </c>
      <c r="G91" s="2">
        <v>4</v>
      </c>
      <c r="H91" s="1">
        <v>0</v>
      </c>
      <c r="I91" s="1">
        <f>IF(H91 + I90 &lt; 0, H91 + I90, 0)</f>
        <v>0</v>
      </c>
      <c r="J91" s="1">
        <v>0</v>
      </c>
      <c r="K91" s="1">
        <f>IF(J91 + K90 &lt; 0, J91 + K90, 0)</f>
        <v>0</v>
      </c>
      <c r="L91" s="1">
        <v>0</v>
      </c>
      <c r="M91" s="1">
        <f>IF(L91 + M90 &lt; 0, L91 + M90, 0)</f>
        <v>0</v>
      </c>
      <c r="N91" s="1">
        <v>0</v>
      </c>
      <c r="O91" s="1">
        <f>IF(N91 + O90 &lt; 0, N91 + O90, 0)</f>
        <v>0</v>
      </c>
      <c r="P91" s="1">
        <v>0</v>
      </c>
      <c r="Q91" s="1">
        <f>IF(P91 + Q90 &lt; 0, P91 + Q90, 0)</f>
        <v>0</v>
      </c>
      <c r="R91" s="1">
        <v>0</v>
      </c>
      <c r="S91" s="1">
        <f>IF(R91 + S90 &lt; 0, R91 + S90, 0)</f>
        <v>0</v>
      </c>
      <c r="T91" s="1">
        <v>0</v>
      </c>
      <c r="U91" s="1">
        <f>IF(T91 + U90 &lt; 0, T91 + U90, 0)</f>
        <v>0</v>
      </c>
      <c r="V91" s="1">
        <v>0</v>
      </c>
      <c r="W91" s="1">
        <f>IF(V91 + W90 &lt; 0, V91 + W90, 0)</f>
        <v>0</v>
      </c>
      <c r="X91" s="1">
        <v>0</v>
      </c>
      <c r="Y91" s="1">
        <f>IF(X91 + Y90 &lt; 0, X91 + Y90, 0)</f>
        <v>0</v>
      </c>
      <c r="Z91" s="1">
        <v>0</v>
      </c>
      <c r="AA91" s="1">
        <f>IF(Z91 + AA90 &lt; 0, Z91 + AA90, 0)</f>
        <v>0</v>
      </c>
      <c r="AB91" s="1">
        <v>0</v>
      </c>
      <c r="AC91" s="1">
        <f>IF(AB91 + AC90 &lt; 0, AB91 + AC90, 0)</f>
        <v>0</v>
      </c>
      <c r="AD91" s="1">
        <v>0</v>
      </c>
      <c r="AE91" s="1">
        <f>IF(AD91 + AE90 &lt; 0, AD91 + AE90, 0)</f>
        <v>0</v>
      </c>
      <c r="AF91" s="1">
        <v>0</v>
      </c>
      <c r="AG91" s="1">
        <f>IF(AF91 + AG90 &lt; 0, AF91 + AG90, 0)</f>
        <v>0</v>
      </c>
      <c r="AH91" s="1">
        <v>0</v>
      </c>
      <c r="AI91" s="1">
        <f>IF(AH91 + AI90 &lt; 0, AH91 + AI90, 0)</f>
        <v>0</v>
      </c>
      <c r="AJ91" s="1">
        <v>0</v>
      </c>
      <c r="AK91" s="1">
        <f>IF(AJ91 + AK90 &lt; 0, AJ91 + AK90, 0)</f>
        <v>0</v>
      </c>
    </row>
    <row r="92" spans="1:37" s="1" customFormat="1">
      <c r="A92" s="3">
        <v>45427</v>
      </c>
      <c r="B92" s="2" t="s">
        <v>24</v>
      </c>
      <c r="C92" s="2">
        <v>10</v>
      </c>
      <c r="D92" s="2">
        <v>9</v>
      </c>
      <c r="E92" s="2">
        <v>8</v>
      </c>
      <c r="F92" s="2">
        <v>2</v>
      </c>
      <c r="G92" s="2">
        <v>3</v>
      </c>
      <c r="H92" s="1">
        <v>0</v>
      </c>
      <c r="I92" s="1">
        <f>IF(H92 + I91 &lt; 0, H92 + I91, 0)</f>
        <v>0</v>
      </c>
      <c r="J92" s="1">
        <v>0</v>
      </c>
      <c r="K92" s="1">
        <f>IF(J92 + K91 &lt; 0, J92 + K91, 0)</f>
        <v>0</v>
      </c>
      <c r="L92" s="1">
        <v>0</v>
      </c>
      <c r="M92" s="1">
        <f>IF(L92 + M91 &lt; 0, L92 + M91, 0)</f>
        <v>0</v>
      </c>
      <c r="N92" s="1">
        <v>0</v>
      </c>
      <c r="O92" s="1">
        <f>IF(N92 + O91 &lt; 0, N92 + O91, 0)</f>
        <v>0</v>
      </c>
      <c r="P92" s="1">
        <v>0</v>
      </c>
      <c r="Q92" s="1">
        <f>IF(P92 + Q91 &lt; 0, P92 + Q91, 0)</f>
        <v>0</v>
      </c>
      <c r="R92" s="1">
        <v>0</v>
      </c>
      <c r="S92" s="1">
        <f>IF(R92 + S91 &lt; 0, R92 + S91, 0)</f>
        <v>0</v>
      </c>
      <c r="T92" s="1">
        <v>0</v>
      </c>
      <c r="U92" s="1">
        <f>IF(T92 + U91 &lt; 0, T92 + U91, 0)</f>
        <v>0</v>
      </c>
      <c r="V92" s="1">
        <v>0</v>
      </c>
      <c r="W92" s="1">
        <f>IF(V92 + W91 &lt; 0, V92 + W91, 0)</f>
        <v>0</v>
      </c>
      <c r="X92" s="1">
        <v>0</v>
      </c>
      <c r="Y92" s="1">
        <f>IF(X92 + Y91 &lt; 0, X92 + Y91, 0)</f>
        <v>0</v>
      </c>
      <c r="Z92" s="1">
        <v>0</v>
      </c>
      <c r="AA92" s="1">
        <f>IF(Z92 + AA91 &lt; 0, Z92 + AA91, 0)</f>
        <v>0</v>
      </c>
      <c r="AB92" s="1">
        <v>0</v>
      </c>
      <c r="AC92" s="1">
        <f>IF(AB92 + AC91 &lt; 0, AB92 + AC91, 0)</f>
        <v>0</v>
      </c>
      <c r="AD92" s="1">
        <v>0</v>
      </c>
      <c r="AE92" s="1">
        <f>IF(AD92 + AE91 &lt; 0, AD92 + AE91, 0)</f>
        <v>0</v>
      </c>
      <c r="AF92" s="1">
        <v>0</v>
      </c>
      <c r="AG92" s="1">
        <f>IF(AF92 + AG91 &lt; 0, AF92 + AG91, 0)</f>
        <v>0</v>
      </c>
      <c r="AH92" s="1">
        <v>0</v>
      </c>
      <c r="AI92" s="1">
        <f>IF(AH92 + AI91 &lt; 0, AH92 + AI91, 0)</f>
        <v>0</v>
      </c>
      <c r="AJ92" s="1">
        <v>0</v>
      </c>
      <c r="AK92" s="1">
        <f>IF(AJ92 + AK91 &lt; 0, AJ92 + AK91, 0)</f>
        <v>0</v>
      </c>
    </row>
    <row r="93" spans="1:37" s="1" customFormat="1">
      <c r="A93" s="3">
        <v>45428</v>
      </c>
      <c r="B93" s="2" t="s">
        <v>25</v>
      </c>
      <c r="C93" s="2">
        <v>9</v>
      </c>
      <c r="D93" s="2">
        <v>8</v>
      </c>
      <c r="E93" s="2">
        <v>7</v>
      </c>
      <c r="F93" s="2">
        <v>1</v>
      </c>
      <c r="G93" s="2">
        <v>2</v>
      </c>
      <c r="H93" s="1">
        <v>0</v>
      </c>
      <c r="I93" s="1">
        <f>IF(H93 + I92 &lt; 0, H93 + I92, 0)</f>
        <v>0</v>
      </c>
      <c r="J93" s="1">
        <v>0</v>
      </c>
      <c r="K93" s="1">
        <f>IF(J93 + K92 &lt; 0, J93 + K92, 0)</f>
        <v>0</v>
      </c>
      <c r="L93" s="1">
        <v>0</v>
      </c>
      <c r="M93" s="1">
        <f>IF(L93 + M92 &lt; 0, L93 + M92, 0)</f>
        <v>0</v>
      </c>
      <c r="N93" s="1">
        <v>0</v>
      </c>
      <c r="O93" s="1">
        <f>IF(N93 + O92 &lt; 0, N93 + O92, 0)</f>
        <v>0</v>
      </c>
      <c r="P93" s="1">
        <v>0</v>
      </c>
      <c r="Q93" s="1">
        <f>IF(P93 + Q92 &lt; 0, P93 + Q92, 0)</f>
        <v>0</v>
      </c>
      <c r="R93" s="1">
        <v>0</v>
      </c>
      <c r="S93" s="1">
        <f>IF(R93 + S92 &lt; 0, R93 + S92, 0)</f>
        <v>0</v>
      </c>
      <c r="T93" s="1">
        <v>0</v>
      </c>
      <c r="U93" s="1">
        <f>IF(T93 + U92 &lt; 0, T93 + U92, 0)</f>
        <v>0</v>
      </c>
      <c r="V93" s="1">
        <v>0</v>
      </c>
      <c r="W93" s="1">
        <f>IF(V93 + W92 &lt; 0, V93 + W92, 0)</f>
        <v>0</v>
      </c>
      <c r="X93" s="1">
        <v>0</v>
      </c>
      <c r="Y93" s="1">
        <f>IF(X93 + Y92 &lt; 0, X93 + Y92, 0)</f>
        <v>0</v>
      </c>
      <c r="Z93" s="1">
        <v>-106412.9558261494</v>
      </c>
      <c r="AA93" s="1">
        <f>IF(Z93 + AA92 &lt; 0, Z93 + AA92, 0)</f>
        <v>0</v>
      </c>
      <c r="AB93" s="1">
        <v>-125272.4681672409</v>
      </c>
      <c r="AC93" s="1">
        <f>IF(AB93 + AC92 &lt; 0, AB93 + AC92, 0)</f>
        <v>0</v>
      </c>
      <c r="AD93" s="1">
        <v>2590.673575647684</v>
      </c>
      <c r="AE93" s="1">
        <f>IF(AD93 + AE92 &lt; 0, AD93 + AE92, 0)</f>
        <v>0</v>
      </c>
      <c r="AF93" s="1">
        <v>0</v>
      </c>
      <c r="AG93" s="1">
        <f>IF(AF93 + AG92 &lt; 0, AF93 + AG92, 0)</f>
        <v>0</v>
      </c>
      <c r="AH93" s="1">
        <v>0</v>
      </c>
      <c r="AI93" s="1">
        <f>IF(AH93 + AI92 &lt; 0, AH93 + AI92, 0)</f>
        <v>0</v>
      </c>
      <c r="AJ93" s="1">
        <v>0</v>
      </c>
      <c r="AK93" s="1">
        <f>IF(AJ93 + AK92 &lt; 0, AJ93 + AK92, 0)</f>
        <v>0</v>
      </c>
    </row>
    <row r="94" spans="1:37" s="1" customFormat="1">
      <c r="A94" s="3">
        <v>45429</v>
      </c>
      <c r="B94" s="2" t="s">
        <v>26</v>
      </c>
      <c r="C94" s="2">
        <v>8</v>
      </c>
      <c r="D94" s="2">
        <v>7</v>
      </c>
      <c r="E94" s="2">
        <v>6</v>
      </c>
      <c r="F94" s="2">
        <v>4</v>
      </c>
      <c r="G94" s="2">
        <v>1</v>
      </c>
      <c r="H94" s="1">
        <v>0</v>
      </c>
      <c r="I94" s="1">
        <f>IF(H94 + I93 &lt; 0, H94 + I93, 0)</f>
        <v>0</v>
      </c>
      <c r="J94" s="1">
        <v>0</v>
      </c>
      <c r="K94" s="1">
        <f>IF(J94 + K93 &lt; 0, J94 + K93, 0)</f>
        <v>0</v>
      </c>
      <c r="L94" s="1">
        <v>0</v>
      </c>
      <c r="M94" s="1">
        <f>IF(L94 + M93 &lt; 0, L94 + M93, 0)</f>
        <v>0</v>
      </c>
      <c r="N94" s="1">
        <v>0</v>
      </c>
      <c r="O94" s="1">
        <f>IF(N94 + O93 &lt; 0, N94 + O93, 0)</f>
        <v>0</v>
      </c>
      <c r="P94" s="1">
        <v>0</v>
      </c>
      <c r="Q94" s="1">
        <f>IF(P94 + Q93 &lt; 0, P94 + Q93, 0)</f>
        <v>0</v>
      </c>
      <c r="R94" s="1">
        <v>0</v>
      </c>
      <c r="S94" s="1">
        <f>IF(R94 + S93 &lt; 0, R94 + S93, 0)</f>
        <v>0</v>
      </c>
      <c r="T94" s="1">
        <v>0</v>
      </c>
      <c r="U94" s="1">
        <f>IF(T94 + U93 &lt; 0, T94 + U93, 0)</f>
        <v>0</v>
      </c>
      <c r="V94" s="1">
        <v>0</v>
      </c>
      <c r="W94" s="1">
        <f>IF(V94 + W93 &lt; 0, V94 + W93, 0)</f>
        <v>0</v>
      </c>
      <c r="X94" s="1">
        <v>0</v>
      </c>
      <c r="Y94" s="1">
        <f>IF(X94 + Y93 &lt; 0, X94 + Y93, 0)</f>
        <v>0</v>
      </c>
      <c r="Z94" s="1">
        <v>0</v>
      </c>
      <c r="AA94" s="1">
        <f>IF(Z94 + AA93 &lt; 0, Z94 + AA93, 0)</f>
        <v>0</v>
      </c>
      <c r="AB94" s="1">
        <v>0</v>
      </c>
      <c r="AC94" s="1">
        <f>IF(AB94 + AC93 &lt; 0, AB94 + AC93, 0)</f>
        <v>0</v>
      </c>
      <c r="AD94" s="1">
        <v>0</v>
      </c>
      <c r="AE94" s="1">
        <f>IF(AD94 + AE93 &lt; 0, AD94 + AE93, 0)</f>
        <v>0</v>
      </c>
      <c r="AF94" s="1">
        <v>654529.7671714582</v>
      </c>
      <c r="AG94" s="1">
        <f>IF(AF94 + AG93 &lt; 0, AF94 + AG93, 0)</f>
        <v>0</v>
      </c>
      <c r="AH94" s="1">
        <v>781487.4749710769</v>
      </c>
      <c r="AI94" s="1">
        <f>IF(AH94 + AI93 &lt; 0, AH94 + AI93, 0)</f>
        <v>0</v>
      </c>
      <c r="AJ94" s="1">
        <v>521461.1959847548</v>
      </c>
      <c r="AK94" s="1">
        <f>IF(AJ94 + AK93 &lt; 0, AJ94 + AK93, 0)</f>
        <v>0</v>
      </c>
    </row>
    <row r="95" spans="1:37" s="1" customFormat="1">
      <c r="A95" s="3">
        <v>45433</v>
      </c>
      <c r="B95" s="2" t="s">
        <v>23</v>
      </c>
      <c r="C95" s="2">
        <v>7</v>
      </c>
      <c r="D95" s="2">
        <v>6</v>
      </c>
      <c r="E95" s="2">
        <v>5</v>
      </c>
      <c r="F95" s="2">
        <v>3</v>
      </c>
      <c r="G95" s="2">
        <v>4</v>
      </c>
      <c r="H95" s="1">
        <v>0</v>
      </c>
      <c r="I95" s="1">
        <f>IF(H95 + I94 &lt; 0, H95 + I94, 0)</f>
        <v>0</v>
      </c>
      <c r="J95" s="1">
        <v>0</v>
      </c>
      <c r="K95" s="1">
        <f>IF(J95 + K94 &lt; 0, J95 + K94, 0)</f>
        <v>0</v>
      </c>
      <c r="L95" s="1">
        <v>0</v>
      </c>
      <c r="M95" s="1">
        <f>IF(L95 + M94 &lt; 0, L95 + M94, 0)</f>
        <v>0</v>
      </c>
      <c r="N95" s="1">
        <v>0</v>
      </c>
      <c r="O95" s="1">
        <f>IF(N95 + O94 &lt; 0, N95 + O94, 0)</f>
        <v>0</v>
      </c>
      <c r="P95" s="1">
        <v>0</v>
      </c>
      <c r="Q95" s="1">
        <f>IF(P95 + Q94 &lt; 0, P95 + Q94, 0)</f>
        <v>0</v>
      </c>
      <c r="R95" s="1">
        <v>0</v>
      </c>
      <c r="S95" s="1">
        <f>IF(R95 + S94 &lt; 0, R95 + S94, 0)</f>
        <v>0</v>
      </c>
      <c r="T95" s="1">
        <v>0</v>
      </c>
      <c r="U95" s="1">
        <f>IF(T95 + U94 &lt; 0, T95 + U94, 0)</f>
        <v>0</v>
      </c>
      <c r="V95" s="1">
        <v>0</v>
      </c>
      <c r="W95" s="1">
        <f>IF(V95 + W94 &lt; 0, V95 + W94, 0)</f>
        <v>0</v>
      </c>
      <c r="X95" s="1">
        <v>0</v>
      </c>
      <c r="Y95" s="1">
        <f>IF(X95 + Y94 &lt; 0, X95 + Y94, 0)</f>
        <v>0</v>
      </c>
      <c r="Z95" s="1">
        <v>0</v>
      </c>
      <c r="AA95" s="1">
        <f>IF(Z95 + AA94 &lt; 0, Z95 + AA94, 0)</f>
        <v>0</v>
      </c>
      <c r="AB95" s="1">
        <v>0</v>
      </c>
      <c r="AC95" s="1">
        <f>IF(AB95 + AC94 &lt; 0, AB95 + AC94, 0)</f>
        <v>0</v>
      </c>
      <c r="AD95" s="1">
        <v>0</v>
      </c>
      <c r="AE95" s="1">
        <f>IF(AD95 + AE94 &lt; 0, AD95 + AE94, 0)</f>
        <v>0</v>
      </c>
      <c r="AF95" s="1">
        <v>0</v>
      </c>
      <c r="AG95" s="1">
        <f>IF(AF95 + AG94 &lt; 0, AF95 + AG94, 0)</f>
        <v>0</v>
      </c>
      <c r="AH95" s="1">
        <v>0</v>
      </c>
      <c r="AI95" s="1">
        <f>IF(AH95 + AI94 &lt; 0, AH95 + AI94, 0)</f>
        <v>0</v>
      </c>
      <c r="AJ95" s="1">
        <v>0</v>
      </c>
      <c r="AK95" s="1">
        <f>IF(AJ95 + AK94 &lt; 0, AJ95 + AK94, 0)</f>
        <v>0</v>
      </c>
    </row>
    <row r="96" spans="1:37" s="1" customFormat="1">
      <c r="A96" s="3">
        <v>45434</v>
      </c>
      <c r="B96" s="2" t="s">
        <v>24</v>
      </c>
      <c r="C96" s="2">
        <v>6</v>
      </c>
      <c r="D96" s="2">
        <v>5</v>
      </c>
      <c r="E96" s="2">
        <v>4</v>
      </c>
      <c r="F96" s="2">
        <v>2</v>
      </c>
      <c r="G96" s="2">
        <v>3</v>
      </c>
      <c r="H96" s="1">
        <v>0</v>
      </c>
      <c r="I96" s="1">
        <f>IF(H96 + I95 &lt; 0, H96 + I95, 0)</f>
        <v>0</v>
      </c>
      <c r="J96" s="1">
        <v>0</v>
      </c>
      <c r="K96" s="1">
        <f>IF(J96 + K95 &lt; 0, J96 + K95, 0)</f>
        <v>0</v>
      </c>
      <c r="L96" s="1">
        <v>0</v>
      </c>
      <c r="M96" s="1">
        <f>IF(L96 + M95 &lt; 0, L96 + M95, 0)</f>
        <v>0</v>
      </c>
      <c r="N96" s="1">
        <v>0</v>
      </c>
      <c r="O96" s="1">
        <f>IF(N96 + O95 &lt; 0, N96 + O95, 0)</f>
        <v>0</v>
      </c>
      <c r="P96" s="1">
        <v>0</v>
      </c>
      <c r="Q96" s="1">
        <f>IF(P96 + Q95 &lt; 0, P96 + Q95, 0)</f>
        <v>0</v>
      </c>
      <c r="R96" s="1">
        <v>0</v>
      </c>
      <c r="S96" s="1">
        <f>IF(R96 + S95 &lt; 0, R96 + S95, 0)</f>
        <v>0</v>
      </c>
      <c r="T96" s="1">
        <v>0</v>
      </c>
      <c r="U96" s="1">
        <f>IF(T96 + U95 &lt; 0, T96 + U95, 0)</f>
        <v>0</v>
      </c>
      <c r="V96" s="1">
        <v>0</v>
      </c>
      <c r="W96" s="1">
        <f>IF(V96 + W95 &lt; 0, V96 + W95, 0)</f>
        <v>0</v>
      </c>
      <c r="X96" s="1">
        <v>0</v>
      </c>
      <c r="Y96" s="1">
        <f>IF(X96 + Y95 &lt; 0, X96 + Y95, 0)</f>
        <v>0</v>
      </c>
      <c r="Z96" s="1">
        <v>0</v>
      </c>
      <c r="AA96" s="1">
        <f>IF(Z96 + AA95 &lt; 0, Z96 + AA95, 0)</f>
        <v>0</v>
      </c>
      <c r="AB96" s="1">
        <v>0</v>
      </c>
      <c r="AC96" s="1">
        <f>IF(AB96 + AC95 &lt; 0, AB96 + AC95, 0)</f>
        <v>0</v>
      </c>
      <c r="AD96" s="1">
        <v>0</v>
      </c>
      <c r="AE96" s="1">
        <f>IF(AD96 + AE95 &lt; 0, AD96 + AE95, 0)</f>
        <v>0</v>
      </c>
      <c r="AF96" s="1">
        <v>0</v>
      </c>
      <c r="AG96" s="1">
        <f>IF(AF96 + AG95 &lt; 0, AF96 + AG95, 0)</f>
        <v>0</v>
      </c>
      <c r="AH96" s="1">
        <v>0</v>
      </c>
      <c r="AI96" s="1">
        <f>IF(AH96 + AI95 &lt; 0, AH96 + AI95, 0)</f>
        <v>0</v>
      </c>
      <c r="AJ96" s="1">
        <v>0</v>
      </c>
      <c r="AK96" s="1">
        <f>IF(AJ96 + AK95 &lt; 0, AJ96 + AK95, 0)</f>
        <v>0</v>
      </c>
    </row>
    <row r="97" spans="1:37" s="1" customFormat="1">
      <c r="A97" s="3">
        <v>45435</v>
      </c>
      <c r="B97" s="2" t="s">
        <v>25</v>
      </c>
      <c r="C97" s="2">
        <v>5</v>
      </c>
      <c r="D97" s="2">
        <v>4</v>
      </c>
      <c r="E97" s="2">
        <v>3</v>
      </c>
      <c r="F97" s="2">
        <v>1</v>
      </c>
      <c r="G97" s="2">
        <v>2</v>
      </c>
      <c r="H97" s="1">
        <v>0</v>
      </c>
      <c r="I97" s="1">
        <f>IF(H97 + I96 &lt; 0, H97 + I96, 0)</f>
        <v>0</v>
      </c>
      <c r="J97" s="1">
        <v>0</v>
      </c>
      <c r="K97" s="1">
        <f>IF(J97 + K96 &lt; 0, J97 + K96, 0)</f>
        <v>0</v>
      </c>
      <c r="L97" s="1">
        <v>0</v>
      </c>
      <c r="M97" s="1">
        <f>IF(L97 + M96 &lt; 0, L97 + M96, 0)</f>
        <v>0</v>
      </c>
      <c r="N97" s="1">
        <v>0</v>
      </c>
      <c r="O97" s="1">
        <f>IF(N97 + O96 &lt; 0, N97 + O96, 0)</f>
        <v>0</v>
      </c>
      <c r="P97" s="1">
        <v>0</v>
      </c>
      <c r="Q97" s="1">
        <f>IF(P97 + Q96 &lt; 0, P97 + Q96, 0)</f>
        <v>0</v>
      </c>
      <c r="R97" s="1">
        <v>0</v>
      </c>
      <c r="S97" s="1">
        <f>IF(R97 + S96 &lt; 0, R97 + S96, 0)</f>
        <v>0</v>
      </c>
      <c r="T97" s="1">
        <v>0</v>
      </c>
      <c r="U97" s="1">
        <f>IF(T97 + U96 &lt; 0, T97 + U96, 0)</f>
        <v>0</v>
      </c>
      <c r="V97" s="1">
        <v>0</v>
      </c>
      <c r="W97" s="1">
        <f>IF(V97 + W96 &lt; 0, V97 + W96, 0)</f>
        <v>0</v>
      </c>
      <c r="X97" s="1">
        <v>0</v>
      </c>
      <c r="Y97" s="1">
        <f>IF(X97 + Y96 &lt; 0, X97 + Y96, 0)</f>
        <v>0</v>
      </c>
      <c r="Z97" s="1">
        <v>250471.9171164722</v>
      </c>
      <c r="AA97" s="1">
        <f>IF(Z97 + AA96 &lt; 0, Z97 + AA96, 0)</f>
        <v>0</v>
      </c>
      <c r="AB97" s="1">
        <v>250471.9171164722</v>
      </c>
      <c r="AC97" s="1">
        <f>IF(AB97 + AC96 &lt; 0, AB97 + AC96, 0)</f>
        <v>0</v>
      </c>
      <c r="AD97" s="1">
        <v>-75465.69835745322</v>
      </c>
      <c r="AE97" s="1">
        <f>IF(AD97 + AE96 &lt; 0, AD97 + AE96, 0)</f>
        <v>0</v>
      </c>
      <c r="AF97" s="1">
        <v>0</v>
      </c>
      <c r="AG97" s="1">
        <f>IF(AF97 + AG96 &lt; 0, AF97 + AG96, 0)</f>
        <v>0</v>
      </c>
      <c r="AH97" s="1">
        <v>0</v>
      </c>
      <c r="AI97" s="1">
        <f>IF(AH97 + AI96 &lt; 0, AH97 + AI96, 0)</f>
        <v>0</v>
      </c>
      <c r="AJ97" s="1">
        <v>0</v>
      </c>
      <c r="AK97" s="1">
        <f>IF(AJ97 + AK96 &lt; 0, AJ97 + AK96, 0)</f>
        <v>0</v>
      </c>
    </row>
    <row r="98" spans="1:37" s="1" customFormat="1">
      <c r="A98" s="3">
        <v>45436</v>
      </c>
      <c r="B98" s="2" t="s">
        <v>26</v>
      </c>
      <c r="C98" s="2">
        <v>4</v>
      </c>
      <c r="D98" s="2">
        <v>3</v>
      </c>
      <c r="E98" s="2">
        <v>2</v>
      </c>
      <c r="F98" s="2">
        <v>5</v>
      </c>
      <c r="G98" s="2">
        <v>1</v>
      </c>
      <c r="H98" s="1">
        <v>0</v>
      </c>
      <c r="I98" s="1">
        <f>IF(H98 + I97 &lt; 0, H98 + I97, 0)</f>
        <v>0</v>
      </c>
      <c r="J98" s="1">
        <v>0</v>
      </c>
      <c r="K98" s="1">
        <f>IF(J98 + K97 &lt; 0, J98 + K97, 0)</f>
        <v>0</v>
      </c>
      <c r="L98" s="1">
        <v>0</v>
      </c>
      <c r="M98" s="1">
        <f>IF(L98 + M97 &lt; 0, L98 + M97, 0)</f>
        <v>0</v>
      </c>
      <c r="N98" s="1">
        <v>0</v>
      </c>
      <c r="O98" s="1">
        <f>IF(N98 + O97 &lt; 0, N98 + O97, 0)</f>
        <v>0</v>
      </c>
      <c r="P98" s="1">
        <v>0</v>
      </c>
      <c r="Q98" s="1">
        <f>IF(P98 + Q97 &lt; 0, P98 + Q97, 0)</f>
        <v>0</v>
      </c>
      <c r="R98" s="1">
        <v>0</v>
      </c>
      <c r="S98" s="1">
        <f>IF(R98 + S97 &lt; 0, R98 + S97, 0)</f>
        <v>0</v>
      </c>
      <c r="T98" s="1">
        <v>0</v>
      </c>
      <c r="U98" s="1">
        <f>IF(T98 + U97 &lt; 0, T98 + U97, 0)</f>
        <v>0</v>
      </c>
      <c r="V98" s="1">
        <v>0</v>
      </c>
      <c r="W98" s="1">
        <f>IF(V98 + W97 &lt; 0, V98 + W97, 0)</f>
        <v>0</v>
      </c>
      <c r="X98" s="1">
        <v>0</v>
      </c>
      <c r="Y98" s="1">
        <f>IF(X98 + Y97 &lt; 0, X98 + Y97, 0)</f>
        <v>0</v>
      </c>
      <c r="Z98" s="1">
        <v>0</v>
      </c>
      <c r="AA98" s="1">
        <f>IF(Z98 + AA97 &lt; 0, Z98 + AA97, 0)</f>
        <v>0</v>
      </c>
      <c r="AB98" s="1">
        <v>0</v>
      </c>
      <c r="AC98" s="1">
        <f>IF(AB98 + AC97 &lt; 0, AB98 + AC97, 0)</f>
        <v>0</v>
      </c>
      <c r="AD98" s="1">
        <v>0</v>
      </c>
      <c r="AE98" s="1">
        <f>IF(AD98 + AE97 &lt; 0, AD98 + AE97, 0)</f>
        <v>0</v>
      </c>
      <c r="AF98" s="1">
        <v>375499.3113698657</v>
      </c>
      <c r="AG98" s="1">
        <f>IF(AF98 + AG97 &lt; 0, AF98 + AG97, 0)</f>
        <v>0</v>
      </c>
      <c r="AH98" s="1">
        <v>375499.3113698657</v>
      </c>
      <c r="AI98" s="1">
        <f>IF(AH98 + AI97 &lt; 0, AH98 + AI97, 0)</f>
        <v>0</v>
      </c>
      <c r="AJ98" s="1">
        <v>125151.2621846318</v>
      </c>
      <c r="AK98" s="1">
        <f>IF(AJ98 + AK97 &lt; 0, AJ98 + AK97, 0)</f>
        <v>0</v>
      </c>
    </row>
    <row r="99" spans="1:37" s="1" customFormat="1">
      <c r="A99" s="3">
        <v>45439</v>
      </c>
      <c r="B99" s="2" t="s">
        <v>22</v>
      </c>
      <c r="C99" s="2">
        <v>3</v>
      </c>
      <c r="D99" s="2">
        <v>2</v>
      </c>
      <c r="E99" s="2">
        <v>1</v>
      </c>
      <c r="F99" s="2">
        <v>4</v>
      </c>
      <c r="G99" s="2">
        <v>5</v>
      </c>
      <c r="H99" s="1">
        <v>0</v>
      </c>
      <c r="I99" s="1">
        <f>IF(H99 + I98 &lt; 0, H99 + I98, 0)</f>
        <v>0</v>
      </c>
      <c r="J99" s="1">
        <v>0</v>
      </c>
      <c r="K99" s="1">
        <f>IF(J99 + K98 &lt; 0, J99 + K98, 0)</f>
        <v>0</v>
      </c>
      <c r="L99" s="1">
        <v>0</v>
      </c>
      <c r="M99" s="1">
        <f>IF(L99 + M98 &lt; 0, L99 + M98, 0)</f>
        <v>0</v>
      </c>
      <c r="N99" s="1">
        <v>0</v>
      </c>
      <c r="O99" s="1">
        <f>IF(N99 + O98 &lt; 0, N99 + O98, 0)</f>
        <v>0</v>
      </c>
      <c r="P99" s="1">
        <v>0</v>
      </c>
      <c r="Q99" s="1">
        <f>IF(P99 + Q98 &lt; 0, P99 + Q98, 0)</f>
        <v>0</v>
      </c>
      <c r="R99" s="1">
        <v>0</v>
      </c>
      <c r="S99" s="1">
        <f>IF(R99 + S98 &lt; 0, R99 + S98, 0)</f>
        <v>0</v>
      </c>
      <c r="T99" s="1">
        <v>0</v>
      </c>
      <c r="U99" s="1">
        <f>IF(T99 + U98 &lt; 0, T99 + U98, 0)</f>
        <v>0</v>
      </c>
      <c r="V99" s="1">
        <v>0</v>
      </c>
      <c r="W99" s="1">
        <f>IF(V99 + W98 &lt; 0, V99 + W98, 0)</f>
        <v>0</v>
      </c>
      <c r="X99" s="1">
        <v>0</v>
      </c>
      <c r="Y99" s="1">
        <f>IF(X99 + Y98 &lt; 0, X99 + Y98, 0)</f>
        <v>0</v>
      </c>
      <c r="Z99" s="1">
        <v>0</v>
      </c>
      <c r="AA99" s="1">
        <f>IF(Z99 + AA98 &lt; 0, Z99 + AA98, 0)</f>
        <v>0</v>
      </c>
      <c r="AB99" s="1">
        <v>0</v>
      </c>
      <c r="AC99" s="1">
        <f>IF(AB99 + AC98 &lt; 0, AB99 + AC98, 0)</f>
        <v>0</v>
      </c>
      <c r="AD99" s="1">
        <v>0</v>
      </c>
      <c r="AE99" s="1">
        <f>IF(AD99 + AE98 &lt; 0, AD99 + AE98, 0)</f>
        <v>0</v>
      </c>
      <c r="AF99" s="1">
        <v>0</v>
      </c>
      <c r="AG99" s="1">
        <f>IF(AF99 + AG98 &lt; 0, AF99 + AG98, 0)</f>
        <v>0</v>
      </c>
      <c r="AH99" s="1">
        <v>0</v>
      </c>
      <c r="AI99" s="1">
        <f>IF(AH99 + AI98 &lt; 0, AH99 + AI98, 0)</f>
        <v>0</v>
      </c>
      <c r="AJ99" s="1">
        <v>0</v>
      </c>
      <c r="AK99" s="1">
        <f>IF(AJ99 + AK98 &lt; 0, AJ99 + AK98, 0)</f>
        <v>0</v>
      </c>
    </row>
    <row r="100" spans="1:37" s="1" customFormat="1">
      <c r="A100" s="3">
        <v>45440</v>
      </c>
      <c r="B100" s="2" t="s">
        <v>23</v>
      </c>
      <c r="C100" s="2">
        <v>2</v>
      </c>
      <c r="D100" s="2">
        <v>1</v>
      </c>
      <c r="E100" s="2">
        <v>19</v>
      </c>
      <c r="F100" s="2">
        <v>3</v>
      </c>
      <c r="G100" s="2">
        <v>4</v>
      </c>
      <c r="H100" s="1">
        <v>0</v>
      </c>
      <c r="I100" s="1">
        <f>IF(H100 + I99 &lt; 0, H100 + I99, 0)</f>
        <v>0</v>
      </c>
      <c r="J100" s="1">
        <v>0</v>
      </c>
      <c r="K100" s="1">
        <f>IF(J100 + K99 &lt; 0, J100 + K99, 0)</f>
        <v>0</v>
      </c>
      <c r="L100" s="1">
        <v>0</v>
      </c>
      <c r="M100" s="1">
        <f>IF(L100 + M99 &lt; 0, L100 + M99, 0)</f>
        <v>0</v>
      </c>
      <c r="N100" s="1">
        <v>0</v>
      </c>
      <c r="O100" s="1">
        <f>IF(N100 + O99 &lt; 0, N100 + O99, 0)</f>
        <v>0</v>
      </c>
      <c r="P100" s="1">
        <v>0</v>
      </c>
      <c r="Q100" s="1">
        <f>IF(P100 + Q99 &lt; 0, P100 + Q99, 0)</f>
        <v>0</v>
      </c>
      <c r="R100" s="1">
        <v>0</v>
      </c>
      <c r="S100" s="1">
        <f>IF(R100 + S99 &lt; 0, R100 + S99, 0)</f>
        <v>0</v>
      </c>
      <c r="T100" s="1">
        <v>0</v>
      </c>
      <c r="U100" s="1">
        <f>IF(T100 + U99 &lt; 0, T100 + U99, 0)</f>
        <v>0</v>
      </c>
      <c r="V100" s="1">
        <v>0</v>
      </c>
      <c r="W100" s="1">
        <f>IF(V100 + W99 &lt; 0, V100 + W99, 0)</f>
        <v>0</v>
      </c>
      <c r="X100" s="1">
        <v>0</v>
      </c>
      <c r="Y100" s="1">
        <f>IF(X100 + Y99 &lt; 0, X100 + Y99, 0)</f>
        <v>0</v>
      </c>
      <c r="Z100" s="1">
        <v>0</v>
      </c>
      <c r="AA100" s="1">
        <f>IF(Z100 + AA99 &lt; 0, Z100 + AA99, 0)</f>
        <v>0</v>
      </c>
      <c r="AB100" s="1">
        <v>0</v>
      </c>
      <c r="AC100" s="1">
        <f>IF(AB100 + AC99 &lt; 0, AB100 + AC99, 0)</f>
        <v>0</v>
      </c>
      <c r="AD100" s="1">
        <v>0</v>
      </c>
      <c r="AE100" s="1">
        <f>IF(AD100 + AE99 &lt; 0, AD100 + AE99, 0)</f>
        <v>0</v>
      </c>
      <c r="AF100" s="1">
        <v>0</v>
      </c>
      <c r="AG100" s="1">
        <f>IF(AF100 + AG99 &lt; 0, AF100 + AG99, 0)</f>
        <v>0</v>
      </c>
      <c r="AH100" s="1">
        <v>0</v>
      </c>
      <c r="AI100" s="1">
        <f>IF(AH100 + AI99 &lt; 0, AH100 + AI99, 0)</f>
        <v>0</v>
      </c>
      <c r="AJ100" s="1">
        <v>0</v>
      </c>
      <c r="AK100" s="1">
        <f>IF(AJ100 + AK99 &lt; 0, AJ100 + AK99, 0)</f>
        <v>0</v>
      </c>
    </row>
    <row r="101" spans="1:37" s="1" customFormat="1">
      <c r="A101" s="3">
        <v>45441</v>
      </c>
      <c r="B101" s="2" t="s">
        <v>24</v>
      </c>
      <c r="C101" s="2">
        <v>1</v>
      </c>
      <c r="D101" s="2">
        <v>19</v>
      </c>
      <c r="E101" s="2">
        <v>18</v>
      </c>
      <c r="F101" s="2">
        <v>2</v>
      </c>
      <c r="G101" s="2">
        <v>3</v>
      </c>
      <c r="H101" s="1">
        <v>0</v>
      </c>
      <c r="I101" s="1">
        <f>IF(H101 + I100 &lt; 0, H101 + I100, 0)</f>
        <v>0</v>
      </c>
      <c r="J101" s="1">
        <v>0</v>
      </c>
      <c r="K101" s="1">
        <f>IF(J101 + K100 &lt; 0, J101 + K100, 0)</f>
        <v>0</v>
      </c>
      <c r="L101" s="1">
        <v>0</v>
      </c>
      <c r="M101" s="1">
        <f>IF(L101 + M100 &lt; 0, L101 + M100, 0)</f>
        <v>0</v>
      </c>
      <c r="N101" s="1">
        <v>0</v>
      </c>
      <c r="O101" s="1">
        <f>IF(N101 + O100 &lt; 0, N101 + O100, 0)</f>
        <v>0</v>
      </c>
      <c r="P101" s="1">
        <v>0</v>
      </c>
      <c r="Q101" s="1">
        <f>IF(P101 + Q100 &lt; 0, P101 + Q100, 0)</f>
        <v>0</v>
      </c>
      <c r="R101" s="1">
        <v>0</v>
      </c>
      <c r="S101" s="1">
        <f>IF(R101 + S100 &lt; 0, R101 + S100, 0)</f>
        <v>0</v>
      </c>
      <c r="T101" s="1">
        <v>0</v>
      </c>
      <c r="U101" s="1">
        <f>IF(T101 + U100 &lt; 0, T101 + U100, 0)</f>
        <v>0</v>
      </c>
      <c r="V101" s="1">
        <v>0</v>
      </c>
      <c r="W101" s="1">
        <f>IF(V101 + W100 &lt; 0, V101 + W100, 0)</f>
        <v>0</v>
      </c>
      <c r="X101" s="1">
        <v>0</v>
      </c>
      <c r="Y101" s="1">
        <f>IF(X101 + Y100 &lt; 0, X101 + Y100, 0)</f>
        <v>0</v>
      </c>
      <c r="Z101" s="1">
        <v>0</v>
      </c>
      <c r="AA101" s="1">
        <f>IF(Z101 + AA100 &lt; 0, Z101 + AA100, 0)</f>
        <v>0</v>
      </c>
      <c r="AB101" s="1">
        <v>0</v>
      </c>
      <c r="AC101" s="1">
        <f>IF(AB101 + AC100 &lt; 0, AB101 + AC100, 0)</f>
        <v>0</v>
      </c>
      <c r="AD101" s="1">
        <v>0</v>
      </c>
      <c r="AE101" s="1">
        <f>IF(AD101 + AE100 &lt; 0, AD101 + AE100, 0)</f>
        <v>0</v>
      </c>
      <c r="AF101" s="1">
        <v>0</v>
      </c>
      <c r="AG101" s="1">
        <f>IF(AF101 + AG100 &lt; 0, AF101 + AG100, 0)</f>
        <v>0</v>
      </c>
      <c r="AH101" s="1">
        <v>0</v>
      </c>
      <c r="AI101" s="1">
        <f>IF(AH101 + AI100 &lt; 0, AH101 + AI100, 0)</f>
        <v>0</v>
      </c>
      <c r="AJ101" s="1">
        <v>0</v>
      </c>
      <c r="AK101" s="1">
        <f>IF(AJ101 + AK100 &lt; 0, AJ101 + AK100, 0)</f>
        <v>0</v>
      </c>
    </row>
    <row r="102" spans="1:37" s="1" customFormat="1">
      <c r="A102" s="3">
        <v>45442</v>
      </c>
      <c r="B102" s="2" t="s">
        <v>25</v>
      </c>
      <c r="C102" s="2">
        <v>19</v>
      </c>
      <c r="D102" s="2">
        <v>18</v>
      </c>
      <c r="E102" s="2">
        <v>17</v>
      </c>
      <c r="F102" s="2">
        <v>1</v>
      </c>
      <c r="G102" s="2">
        <v>2</v>
      </c>
      <c r="H102" s="1">
        <v>0</v>
      </c>
      <c r="I102" s="1">
        <f>IF(H102 + I101 &lt; 0, H102 + I101, 0)</f>
        <v>0</v>
      </c>
      <c r="J102" s="1">
        <v>0</v>
      </c>
      <c r="K102" s="1">
        <f>IF(J102 + K101 &lt; 0, J102 + K101, 0)</f>
        <v>0</v>
      </c>
      <c r="L102" s="1">
        <v>0</v>
      </c>
      <c r="M102" s="1">
        <f>IF(L102 + M101 &lt; 0, L102 + M101, 0)</f>
        <v>0</v>
      </c>
      <c r="N102" s="1">
        <v>0</v>
      </c>
      <c r="O102" s="1">
        <f>IF(N102 + O101 &lt; 0, N102 + O101, 0)</f>
        <v>0</v>
      </c>
      <c r="P102" s="1">
        <v>0</v>
      </c>
      <c r="Q102" s="1">
        <f>IF(P102 + Q101 &lt; 0, P102 + Q101, 0)</f>
        <v>0</v>
      </c>
      <c r="R102" s="1">
        <v>0</v>
      </c>
      <c r="S102" s="1">
        <f>IF(R102 + S101 &lt; 0, R102 + S101, 0)</f>
        <v>0</v>
      </c>
      <c r="T102" s="1">
        <v>0</v>
      </c>
      <c r="U102" s="1">
        <f>IF(T102 + U101 &lt; 0, T102 + U101, 0)</f>
        <v>0</v>
      </c>
      <c r="V102" s="1">
        <v>0</v>
      </c>
      <c r="W102" s="1">
        <f>IF(V102 + W101 &lt; 0, V102 + W101, 0)</f>
        <v>0</v>
      </c>
      <c r="X102" s="1">
        <v>0</v>
      </c>
      <c r="Y102" s="1">
        <f>IF(X102 + Y101 &lt; 0, X102 + Y101, 0)</f>
        <v>0</v>
      </c>
      <c r="Z102" s="1">
        <v>380830.0077352945</v>
      </c>
      <c r="AA102" s="1">
        <f>IF(Z102 + AA101 &lt; 0, Z102 + AA101, 0)</f>
        <v>0</v>
      </c>
      <c r="AB102" s="1">
        <v>-72831.62113950231</v>
      </c>
      <c r="AC102" s="1">
        <f>IF(AB102 + AC101 &lt; 0, AB102 + AC101, 0)</f>
        <v>0</v>
      </c>
      <c r="AD102" s="1">
        <v>-50946.18659154318</v>
      </c>
      <c r="AE102" s="1">
        <f>IF(AD102 + AE101 &lt; 0, AD102 + AE101, 0)</f>
        <v>0</v>
      </c>
      <c r="AF102" s="1">
        <v>0</v>
      </c>
      <c r="AG102" s="1">
        <f>IF(AF102 + AG101 &lt; 0, AF102 + AG101, 0)</f>
        <v>0</v>
      </c>
      <c r="AH102" s="1">
        <v>0</v>
      </c>
      <c r="AI102" s="1">
        <f>IF(AH102 + AI101 &lt; 0, AH102 + AI101, 0)</f>
        <v>0</v>
      </c>
      <c r="AJ102" s="1">
        <v>0</v>
      </c>
      <c r="AK102" s="1">
        <f>IF(AJ102 + AK101 &lt; 0, AJ102 + AK101, 0)</f>
        <v>0</v>
      </c>
    </row>
    <row r="103" spans="1:37" s="1" customFormat="1">
      <c r="A103" s="3">
        <v>45443</v>
      </c>
      <c r="B103" s="2" t="s">
        <v>26</v>
      </c>
      <c r="C103" s="2">
        <v>18</v>
      </c>
      <c r="D103" s="2">
        <v>17</v>
      </c>
      <c r="E103" s="2">
        <v>16</v>
      </c>
      <c r="F103" s="2">
        <v>5</v>
      </c>
      <c r="G103" s="2">
        <v>1</v>
      </c>
      <c r="H103" s="1">
        <v>0</v>
      </c>
      <c r="I103" s="1">
        <f>IF(H103 + I102 &lt; 0, H103 + I102, 0)</f>
        <v>0</v>
      </c>
      <c r="J103" s="1">
        <v>0</v>
      </c>
      <c r="K103" s="1">
        <f>IF(J103 + K102 &lt; 0, J103 + K102, 0)</f>
        <v>0</v>
      </c>
      <c r="L103" s="1">
        <v>0</v>
      </c>
      <c r="M103" s="1">
        <f>IF(L103 + M102 &lt; 0, L103 + M102, 0)</f>
        <v>0</v>
      </c>
      <c r="N103" s="1">
        <v>0</v>
      </c>
      <c r="O103" s="1">
        <f>IF(N103 + O102 &lt; 0, N103 + O102, 0)</f>
        <v>0</v>
      </c>
      <c r="P103" s="1">
        <v>0</v>
      </c>
      <c r="Q103" s="1">
        <f>IF(P103 + Q102 &lt; 0, P103 + Q102, 0)</f>
        <v>0</v>
      </c>
      <c r="R103" s="1">
        <v>0</v>
      </c>
      <c r="S103" s="1">
        <f>IF(R103 + S102 &lt; 0, R103 + S102, 0)</f>
        <v>0</v>
      </c>
      <c r="T103" s="1">
        <v>0</v>
      </c>
      <c r="U103" s="1">
        <f>IF(T103 + U102 &lt; 0, T103 + U102, 0)</f>
        <v>0</v>
      </c>
      <c r="V103" s="1">
        <v>0</v>
      </c>
      <c r="W103" s="1">
        <f>IF(V103 + W102 &lt; 0, V103 + W102, 0)</f>
        <v>0</v>
      </c>
      <c r="X103" s="1">
        <v>0</v>
      </c>
      <c r="Y103" s="1">
        <f>IF(X103 + Y102 &lt; 0, X103 + Y102, 0)</f>
        <v>0</v>
      </c>
      <c r="Z103" s="1">
        <v>0</v>
      </c>
      <c r="AA103" s="1">
        <f>IF(Z103 + AA102 &lt; 0, Z103 + AA102, 0)</f>
        <v>0</v>
      </c>
      <c r="AB103" s="1">
        <v>0</v>
      </c>
      <c r="AC103" s="1">
        <f>IF(AB103 + AC102 &lt; 0, AB103 + AC102, 0)</f>
        <v>0</v>
      </c>
      <c r="AD103" s="1">
        <v>0</v>
      </c>
      <c r="AE103" s="1">
        <f>IF(AD103 + AE102 &lt; 0, AD103 + AE102, 0)</f>
        <v>0</v>
      </c>
      <c r="AF103" s="1">
        <v>-214024.4723996924</v>
      </c>
      <c r="AG103" s="1">
        <f>IF(AF103 + AG102 &lt; 0, AF103 + AG102, 0)</f>
        <v>0</v>
      </c>
      <c r="AH103" s="1">
        <v>-290706.435901858</v>
      </c>
      <c r="AI103" s="1">
        <f>IF(AH103 + AI102 &lt; 0, AH103 + AI102, 0)</f>
        <v>0</v>
      </c>
      <c r="AJ103" s="1">
        <v>599024.9255598249</v>
      </c>
      <c r="AK103" s="1">
        <f>IF(AJ103 + AK102 &lt; 0, AJ103 + AK102, 0)</f>
        <v>0</v>
      </c>
    </row>
    <row r="104" spans="1:37" s="1" customFormat="1">
      <c r="A104" s="3">
        <v>45446</v>
      </c>
      <c r="B104" s="2" t="s">
        <v>22</v>
      </c>
      <c r="C104" s="2">
        <v>17</v>
      </c>
      <c r="D104" s="2">
        <v>16</v>
      </c>
      <c r="E104" s="2">
        <v>15</v>
      </c>
      <c r="F104" s="2">
        <v>4</v>
      </c>
      <c r="G104" s="2">
        <v>5</v>
      </c>
      <c r="H104" s="1">
        <v>0</v>
      </c>
      <c r="I104" s="1">
        <f>IF(H104 + I103 &lt; 0, H104 + I103, 0)</f>
        <v>0</v>
      </c>
      <c r="J104" s="1">
        <v>0</v>
      </c>
      <c r="K104" s="1">
        <f>IF(J104 + K103 &lt; 0, J104 + K103, 0)</f>
        <v>0</v>
      </c>
      <c r="L104" s="1">
        <v>0</v>
      </c>
      <c r="M104" s="1">
        <f>IF(L104 + M103 &lt; 0, L104 + M103, 0)</f>
        <v>0</v>
      </c>
      <c r="N104" s="1">
        <v>0</v>
      </c>
      <c r="O104" s="1">
        <f>IF(N104 + O103 &lt; 0, N104 + O103, 0)</f>
        <v>0</v>
      </c>
      <c r="P104" s="1">
        <v>0</v>
      </c>
      <c r="Q104" s="1">
        <f>IF(P104 + Q103 &lt; 0, P104 + Q103, 0)</f>
        <v>0</v>
      </c>
      <c r="R104" s="1">
        <v>0</v>
      </c>
      <c r="S104" s="1">
        <f>IF(R104 + S103 &lt; 0, R104 + S103, 0)</f>
        <v>0</v>
      </c>
      <c r="T104" s="1">
        <v>0</v>
      </c>
      <c r="U104" s="1">
        <f>IF(T104 + U103 &lt; 0, T104 + U103, 0)</f>
        <v>0</v>
      </c>
      <c r="V104" s="1">
        <v>0</v>
      </c>
      <c r="W104" s="1">
        <f>IF(V104 + W103 &lt; 0, V104 + W103, 0)</f>
        <v>0</v>
      </c>
      <c r="X104" s="1">
        <v>0</v>
      </c>
      <c r="Y104" s="1">
        <f>IF(X104 + Y103 &lt; 0, X104 + Y103, 0)</f>
        <v>0</v>
      </c>
      <c r="Z104" s="1">
        <v>0</v>
      </c>
      <c r="AA104" s="1">
        <f>IF(Z104 + AA103 &lt; 0, Z104 + AA103, 0)</f>
        <v>0</v>
      </c>
      <c r="AB104" s="1">
        <v>0</v>
      </c>
      <c r="AC104" s="1">
        <f>IF(AB104 + AC103 &lt; 0, AB104 + AC103, 0)</f>
        <v>0</v>
      </c>
      <c r="AD104" s="1">
        <v>0</v>
      </c>
      <c r="AE104" s="1">
        <f>IF(AD104 + AE103 &lt; 0, AD104 + AE103, 0)</f>
        <v>0</v>
      </c>
      <c r="AF104" s="1">
        <v>0</v>
      </c>
      <c r="AG104" s="1">
        <f>IF(AF104 + AG103 &lt; 0, AF104 + AG103, 0)</f>
        <v>0</v>
      </c>
      <c r="AH104" s="1">
        <v>0</v>
      </c>
      <c r="AI104" s="1">
        <f>IF(AH104 + AI103 &lt; 0, AH104 + AI103, 0)</f>
        <v>0</v>
      </c>
      <c r="AJ104" s="1">
        <v>0</v>
      </c>
      <c r="AK104" s="1">
        <f>IF(AJ104 + AK103 &lt; 0, AJ104 + AK103, 0)</f>
        <v>0</v>
      </c>
    </row>
    <row r="105" spans="1:37" s="1" customFormat="1">
      <c r="A105" s="3">
        <v>45447</v>
      </c>
      <c r="B105" s="2" t="s">
        <v>23</v>
      </c>
      <c r="C105" s="2">
        <v>16</v>
      </c>
      <c r="D105" s="2">
        <v>15</v>
      </c>
      <c r="E105" s="2">
        <v>14</v>
      </c>
      <c r="F105" s="2">
        <v>3</v>
      </c>
      <c r="G105" s="2">
        <v>4</v>
      </c>
      <c r="H105" s="1">
        <v>0</v>
      </c>
      <c r="I105" s="1">
        <f>IF(H105 + I104 &lt; 0, H105 + I104, 0)</f>
        <v>0</v>
      </c>
      <c r="J105" s="1">
        <v>0</v>
      </c>
      <c r="K105" s="1">
        <f>IF(J105 + K104 &lt; 0, J105 + K104, 0)</f>
        <v>0</v>
      </c>
      <c r="L105" s="1">
        <v>0</v>
      </c>
      <c r="M105" s="1">
        <f>IF(L105 + M104 &lt; 0, L105 + M104, 0)</f>
        <v>0</v>
      </c>
      <c r="N105" s="1">
        <v>0</v>
      </c>
      <c r="O105" s="1">
        <f>IF(N105 + O104 &lt; 0, N105 + O104, 0)</f>
        <v>0</v>
      </c>
      <c r="P105" s="1">
        <v>0</v>
      </c>
      <c r="Q105" s="1">
        <f>IF(P105 + Q104 &lt; 0, P105 + Q104, 0)</f>
        <v>0</v>
      </c>
      <c r="R105" s="1">
        <v>0</v>
      </c>
      <c r="S105" s="1">
        <f>IF(R105 + S104 &lt; 0, R105 + S104, 0)</f>
        <v>0</v>
      </c>
      <c r="T105" s="1">
        <v>0</v>
      </c>
      <c r="U105" s="1">
        <f>IF(T105 + U104 &lt; 0, T105 + U104, 0)</f>
        <v>0</v>
      </c>
      <c r="V105" s="1">
        <v>0</v>
      </c>
      <c r="W105" s="1">
        <f>IF(V105 + W104 &lt; 0, V105 + W104, 0)</f>
        <v>0</v>
      </c>
      <c r="X105" s="1">
        <v>0</v>
      </c>
      <c r="Y105" s="1">
        <f>IF(X105 + Y104 &lt; 0, X105 + Y104, 0)</f>
        <v>0</v>
      </c>
      <c r="Z105" s="1">
        <v>0</v>
      </c>
      <c r="AA105" s="1">
        <f>IF(Z105 + AA104 &lt; 0, Z105 + AA104, 0)</f>
        <v>0</v>
      </c>
      <c r="AB105" s="1">
        <v>0</v>
      </c>
      <c r="AC105" s="1">
        <f>IF(AB105 + AC104 &lt; 0, AB105 + AC104, 0)</f>
        <v>0</v>
      </c>
      <c r="AD105" s="1">
        <v>0</v>
      </c>
      <c r="AE105" s="1">
        <f>IF(AD105 + AE104 &lt; 0, AD105 + AE104, 0)</f>
        <v>0</v>
      </c>
      <c r="AF105" s="1">
        <v>0</v>
      </c>
      <c r="AG105" s="1">
        <f>IF(AF105 + AG104 &lt; 0, AF105 + AG104, 0)</f>
        <v>0</v>
      </c>
      <c r="AH105" s="1">
        <v>0</v>
      </c>
      <c r="AI105" s="1">
        <f>IF(AH105 + AI104 &lt; 0, AH105 + AI104, 0)</f>
        <v>0</v>
      </c>
      <c r="AJ105" s="1">
        <v>0</v>
      </c>
      <c r="AK105" s="1">
        <f>IF(AJ105 + AK104 &lt; 0, AJ105 + AK104, 0)</f>
        <v>0</v>
      </c>
    </row>
    <row r="106" spans="1:37" s="1" customFormat="1">
      <c r="A106" s="3">
        <v>45448</v>
      </c>
      <c r="B106" s="2" t="s">
        <v>24</v>
      </c>
      <c r="C106" s="2">
        <v>15</v>
      </c>
      <c r="D106" s="2">
        <v>14</v>
      </c>
      <c r="E106" s="2">
        <v>13</v>
      </c>
      <c r="F106" s="2">
        <v>2</v>
      </c>
      <c r="G106" s="2">
        <v>3</v>
      </c>
      <c r="H106" s="1">
        <v>0</v>
      </c>
      <c r="I106" s="1">
        <f>IF(H106 + I105 &lt; 0, H106 + I105, 0)</f>
        <v>0</v>
      </c>
      <c r="J106" s="1">
        <v>0</v>
      </c>
      <c r="K106" s="1">
        <f>IF(J106 + K105 &lt; 0, J106 + K105, 0)</f>
        <v>0</v>
      </c>
      <c r="L106" s="1">
        <v>0</v>
      </c>
      <c r="M106" s="1">
        <f>IF(L106 + M105 &lt; 0, L106 + M105, 0)</f>
        <v>0</v>
      </c>
      <c r="N106" s="1">
        <v>0</v>
      </c>
      <c r="O106" s="1">
        <f>IF(N106 + O105 &lt; 0, N106 + O105, 0)</f>
        <v>0</v>
      </c>
      <c r="P106" s="1">
        <v>0</v>
      </c>
      <c r="Q106" s="1">
        <f>IF(P106 + Q105 &lt; 0, P106 + Q105, 0)</f>
        <v>0</v>
      </c>
      <c r="R106" s="1">
        <v>0</v>
      </c>
      <c r="S106" s="1">
        <f>IF(R106 + S105 &lt; 0, R106 + S105, 0)</f>
        <v>0</v>
      </c>
      <c r="T106" s="1">
        <v>0</v>
      </c>
      <c r="U106" s="1">
        <f>IF(T106 + U105 &lt; 0, T106 + U105, 0)</f>
        <v>0</v>
      </c>
      <c r="V106" s="1">
        <v>0</v>
      </c>
      <c r="W106" s="1">
        <f>IF(V106 + W105 &lt; 0, V106 + W105, 0)</f>
        <v>0</v>
      </c>
      <c r="X106" s="1">
        <v>0</v>
      </c>
      <c r="Y106" s="1">
        <f>IF(X106 + Y105 &lt; 0, X106 + Y105, 0)</f>
        <v>0</v>
      </c>
      <c r="Z106" s="1">
        <v>0</v>
      </c>
      <c r="AA106" s="1">
        <f>IF(Z106 + AA105 &lt; 0, Z106 + AA105, 0)</f>
        <v>0</v>
      </c>
      <c r="AB106" s="1">
        <v>0</v>
      </c>
      <c r="AC106" s="1">
        <f>IF(AB106 + AC105 &lt; 0, AB106 + AC105, 0)</f>
        <v>0</v>
      </c>
      <c r="AD106" s="1">
        <v>0</v>
      </c>
      <c r="AE106" s="1">
        <f>IF(AD106 + AE105 &lt; 0, AD106 + AE105, 0)</f>
        <v>0</v>
      </c>
      <c r="AF106" s="1">
        <v>0</v>
      </c>
      <c r="AG106" s="1">
        <f>IF(AF106 + AG105 &lt; 0, AF106 + AG105, 0)</f>
        <v>0</v>
      </c>
      <c r="AH106" s="1">
        <v>0</v>
      </c>
      <c r="AI106" s="1">
        <f>IF(AH106 + AI105 &lt; 0, AH106 + AI105, 0)</f>
        <v>0</v>
      </c>
      <c r="AJ106" s="1">
        <v>0</v>
      </c>
      <c r="AK106" s="1">
        <f>IF(AJ106 + AK105 &lt; 0, AJ106 + AK105, 0)</f>
        <v>0</v>
      </c>
    </row>
    <row r="107" spans="1:37" s="1" customFormat="1">
      <c r="A107" s="3">
        <v>45449</v>
      </c>
      <c r="B107" s="2" t="s">
        <v>25</v>
      </c>
      <c r="C107" s="2">
        <v>14</v>
      </c>
      <c r="D107" s="2">
        <v>13</v>
      </c>
      <c r="E107" s="2">
        <v>12</v>
      </c>
      <c r="F107" s="2">
        <v>1</v>
      </c>
      <c r="G107" s="2">
        <v>2</v>
      </c>
      <c r="H107" s="1">
        <v>0</v>
      </c>
      <c r="I107" s="1">
        <f>IF(H107 + I106 &lt; 0, H107 + I106, 0)</f>
        <v>0</v>
      </c>
      <c r="J107" s="1">
        <v>0</v>
      </c>
      <c r="K107" s="1">
        <f>IF(J107 + K106 &lt; 0, J107 + K106, 0)</f>
        <v>0</v>
      </c>
      <c r="L107" s="1">
        <v>0</v>
      </c>
      <c r="M107" s="1">
        <f>IF(L107 + M106 &lt; 0, L107 + M106, 0)</f>
        <v>0</v>
      </c>
      <c r="N107" s="1">
        <v>0</v>
      </c>
      <c r="O107" s="1">
        <f>IF(N107 + O106 &lt; 0, N107 + O106, 0)</f>
        <v>0</v>
      </c>
      <c r="P107" s="1">
        <v>0</v>
      </c>
      <c r="Q107" s="1">
        <f>IF(P107 + Q106 &lt; 0, P107 + Q106, 0)</f>
        <v>0</v>
      </c>
      <c r="R107" s="1">
        <v>0</v>
      </c>
      <c r="S107" s="1">
        <f>IF(R107 + S106 &lt; 0, R107 + S106, 0)</f>
        <v>0</v>
      </c>
      <c r="T107" s="1">
        <v>0</v>
      </c>
      <c r="U107" s="1">
        <f>IF(T107 + U106 &lt; 0, T107 + U106, 0)</f>
        <v>0</v>
      </c>
      <c r="V107" s="1">
        <v>0</v>
      </c>
      <c r="W107" s="1">
        <f>IF(V107 + W106 &lt; 0, V107 + W106, 0)</f>
        <v>0</v>
      </c>
      <c r="X107" s="1">
        <v>0</v>
      </c>
      <c r="Y107" s="1">
        <f>IF(X107 + Y106 &lt; 0, X107 + Y106, 0)</f>
        <v>0</v>
      </c>
      <c r="Z107" s="1">
        <v>-1001294.5629348</v>
      </c>
      <c r="AA107" s="1">
        <f>IF(Z107 + AA106 &lt; 0, Z107 + AA106, 0)</f>
        <v>0</v>
      </c>
      <c r="AB107" s="1">
        <v>-1953562.968219985</v>
      </c>
      <c r="AC107" s="1">
        <f>IF(AB107 + AC106 &lt; 0, AB107 + AC106, 0)</f>
        <v>0</v>
      </c>
      <c r="AD107" s="1">
        <v>0</v>
      </c>
      <c r="AE107" s="1">
        <f>IF(AD107 + AE106 &lt; 0, AD107 + AE106, 0)</f>
        <v>0</v>
      </c>
      <c r="AF107" s="1">
        <v>0</v>
      </c>
      <c r="AG107" s="1">
        <f>IF(AF107 + AG106 &lt; 0, AF107 + AG106, 0)</f>
        <v>0</v>
      </c>
      <c r="AH107" s="1">
        <v>0</v>
      </c>
      <c r="AI107" s="1">
        <f>IF(AH107 + AI106 &lt; 0, AH107 + AI106, 0)</f>
        <v>0</v>
      </c>
      <c r="AJ107" s="1">
        <v>0</v>
      </c>
      <c r="AK107" s="1">
        <f>IF(AJ107 + AK106 &lt; 0, AJ107 + AK106, 0)</f>
        <v>0</v>
      </c>
    </row>
    <row r="108" spans="1:37" s="1" customFormat="1">
      <c r="A108" s="3">
        <v>45450</v>
      </c>
      <c r="B108" s="2" t="s">
        <v>26</v>
      </c>
      <c r="C108" s="2">
        <v>13</v>
      </c>
      <c r="D108" s="2">
        <v>12</v>
      </c>
      <c r="E108" s="2">
        <v>11</v>
      </c>
      <c r="F108" s="2">
        <v>5</v>
      </c>
      <c r="G108" s="2">
        <v>1</v>
      </c>
      <c r="H108" s="1">
        <v>0</v>
      </c>
      <c r="I108" s="1">
        <f>IF(H108 + I107 &lt; 0, H108 + I107, 0)</f>
        <v>0</v>
      </c>
      <c r="J108" s="1">
        <v>0</v>
      </c>
      <c r="K108" s="1">
        <f>IF(J108 + K107 &lt; 0, J108 + K107, 0)</f>
        <v>0</v>
      </c>
      <c r="L108" s="1">
        <v>0</v>
      </c>
      <c r="M108" s="1">
        <f>IF(L108 + M107 &lt; 0, L108 + M107, 0)</f>
        <v>0</v>
      </c>
      <c r="N108" s="1">
        <v>0</v>
      </c>
      <c r="O108" s="1">
        <f>IF(N108 + O107 &lt; 0, N108 + O107, 0)</f>
        <v>0</v>
      </c>
      <c r="P108" s="1">
        <v>0</v>
      </c>
      <c r="Q108" s="1">
        <f>IF(P108 + Q107 &lt; 0, P108 + Q107, 0)</f>
        <v>0</v>
      </c>
      <c r="R108" s="1">
        <v>0</v>
      </c>
      <c r="S108" s="1">
        <f>IF(R108 + S107 &lt; 0, R108 + S107, 0)</f>
        <v>0</v>
      </c>
      <c r="T108" s="1">
        <v>0</v>
      </c>
      <c r="U108" s="1">
        <f>IF(T108 + U107 &lt; 0, T108 + U107, 0)</f>
        <v>0</v>
      </c>
      <c r="V108" s="1">
        <v>0</v>
      </c>
      <c r="W108" s="1">
        <f>IF(V108 + W107 &lt; 0, V108 + W107, 0)</f>
        <v>0</v>
      </c>
      <c r="X108" s="1">
        <v>0</v>
      </c>
      <c r="Y108" s="1">
        <f>IF(X108 + Y107 &lt; 0, X108 + Y107, 0)</f>
        <v>0</v>
      </c>
      <c r="Z108" s="1">
        <v>0</v>
      </c>
      <c r="AA108" s="1">
        <f>IF(Z108 + AA107 &lt; 0, Z108 + AA107, 0)</f>
        <v>0</v>
      </c>
      <c r="AB108" s="1">
        <v>0</v>
      </c>
      <c r="AC108" s="1">
        <f>IF(AB108 + AC107 &lt; 0, AB108 + AC107, 0)</f>
        <v>0</v>
      </c>
      <c r="AD108" s="1">
        <v>0</v>
      </c>
      <c r="AE108" s="1">
        <f>IF(AD108 + AE107 &lt; 0, AD108 + AE107, 0)</f>
        <v>0</v>
      </c>
      <c r="AF108" s="1">
        <v>-2430506.333077656</v>
      </c>
      <c r="AG108" s="1">
        <f>IF(AF108 + AG107 &lt; 0, AF108 + AG107, 0)</f>
        <v>0</v>
      </c>
      <c r="AH108" s="1">
        <v>770854.9736912933</v>
      </c>
      <c r="AI108" s="1">
        <f>IF(AH108 + AI107 &lt; 0, AH108 + AI107, 0)</f>
        <v>0</v>
      </c>
      <c r="AJ108" s="1">
        <v>-88967.54035323129</v>
      </c>
      <c r="AK108" s="1">
        <f>IF(AJ108 + AK107 &lt; 0, AJ108 + AK107, 0)</f>
        <v>0</v>
      </c>
    </row>
    <row r="109" spans="1:37" s="1" customFormat="1">
      <c r="A109" s="3">
        <v>45453</v>
      </c>
      <c r="B109" s="2" t="s">
        <v>22</v>
      </c>
      <c r="C109" s="2">
        <v>12</v>
      </c>
      <c r="D109" s="2">
        <v>11</v>
      </c>
      <c r="E109" s="2">
        <v>10</v>
      </c>
      <c r="F109" s="2">
        <v>4</v>
      </c>
      <c r="G109" s="2">
        <v>5</v>
      </c>
      <c r="H109" s="1">
        <v>0</v>
      </c>
      <c r="I109" s="1">
        <f>IF(H109 + I108 &lt; 0, H109 + I108, 0)</f>
        <v>0</v>
      </c>
      <c r="J109" s="1">
        <v>0</v>
      </c>
      <c r="K109" s="1">
        <f>IF(J109 + K108 &lt; 0, J109 + K108, 0)</f>
        <v>0</v>
      </c>
      <c r="L109" s="1">
        <v>0</v>
      </c>
      <c r="M109" s="1">
        <f>IF(L109 + M108 &lt; 0, L109 + M108, 0)</f>
        <v>0</v>
      </c>
      <c r="N109" s="1">
        <v>0</v>
      </c>
      <c r="O109" s="1">
        <f>IF(N109 + O108 &lt; 0, N109 + O108, 0)</f>
        <v>0</v>
      </c>
      <c r="P109" s="1">
        <v>0</v>
      </c>
      <c r="Q109" s="1">
        <f>IF(P109 + Q108 &lt; 0, P109 + Q108, 0)</f>
        <v>0</v>
      </c>
      <c r="R109" s="1">
        <v>0</v>
      </c>
      <c r="S109" s="1">
        <f>IF(R109 + S108 &lt; 0, R109 + S108, 0)</f>
        <v>0</v>
      </c>
      <c r="T109" s="1">
        <v>0</v>
      </c>
      <c r="U109" s="1">
        <f>IF(T109 + U108 &lt; 0, T109 + U108, 0)</f>
        <v>0</v>
      </c>
      <c r="V109" s="1">
        <v>0</v>
      </c>
      <c r="W109" s="1">
        <f>IF(V109 + W108 &lt; 0, V109 + W108, 0)</f>
        <v>0</v>
      </c>
      <c r="X109" s="1">
        <v>0</v>
      </c>
      <c r="Y109" s="1">
        <f>IF(X109 + Y108 &lt; 0, X109 + Y108, 0)</f>
        <v>0</v>
      </c>
      <c r="Z109" s="1">
        <v>0</v>
      </c>
      <c r="AA109" s="1">
        <f>IF(Z109 + AA108 &lt; 0, Z109 + AA108, 0)</f>
        <v>0</v>
      </c>
      <c r="AB109" s="1">
        <v>0</v>
      </c>
      <c r="AC109" s="1">
        <f>IF(AB109 + AC108 &lt; 0, AB109 + AC108, 0)</f>
        <v>0</v>
      </c>
      <c r="AD109" s="1">
        <v>0</v>
      </c>
      <c r="AE109" s="1">
        <f>IF(AD109 + AE108 &lt; 0, AD109 + AE108, 0)</f>
        <v>0</v>
      </c>
      <c r="AF109" s="1">
        <v>0</v>
      </c>
      <c r="AG109" s="1">
        <f>IF(AF109 + AG108 &lt; 0, AF109 + AG108, 0)</f>
        <v>0</v>
      </c>
      <c r="AH109" s="1">
        <v>0</v>
      </c>
      <c r="AI109" s="1">
        <f>IF(AH109 + AI108 &lt; 0, AH109 + AI108, 0)</f>
        <v>0</v>
      </c>
      <c r="AJ109" s="1">
        <v>0</v>
      </c>
      <c r="AK109" s="1">
        <f>IF(AJ109 + AK108 &lt; 0, AJ109 + AK108, 0)</f>
        <v>0</v>
      </c>
    </row>
    <row r="110" spans="1:37" s="1" customFormat="1">
      <c r="A110" s="3">
        <v>45454</v>
      </c>
      <c r="B110" s="2" t="s">
        <v>23</v>
      </c>
      <c r="C110" s="2">
        <v>11</v>
      </c>
      <c r="D110" s="2">
        <v>10</v>
      </c>
      <c r="E110" s="2">
        <v>9</v>
      </c>
      <c r="F110" s="2">
        <v>3</v>
      </c>
      <c r="G110" s="2">
        <v>4</v>
      </c>
      <c r="H110" s="1">
        <v>0</v>
      </c>
      <c r="I110" s="1">
        <f>IF(H110 + I109 &lt; 0, H110 + I109, 0)</f>
        <v>0</v>
      </c>
      <c r="J110" s="1">
        <v>0</v>
      </c>
      <c r="K110" s="1">
        <f>IF(J110 + K109 &lt; 0, J110 + K109, 0)</f>
        <v>0</v>
      </c>
      <c r="L110" s="1">
        <v>0</v>
      </c>
      <c r="M110" s="1">
        <f>IF(L110 + M109 &lt; 0, L110 + M109, 0)</f>
        <v>0</v>
      </c>
      <c r="N110" s="1">
        <v>0</v>
      </c>
      <c r="O110" s="1">
        <f>IF(N110 + O109 &lt; 0, N110 + O109, 0)</f>
        <v>0</v>
      </c>
      <c r="P110" s="1">
        <v>0</v>
      </c>
      <c r="Q110" s="1">
        <f>IF(P110 + Q109 &lt; 0, P110 + Q109, 0)</f>
        <v>0</v>
      </c>
      <c r="R110" s="1">
        <v>0</v>
      </c>
      <c r="S110" s="1">
        <f>IF(R110 + S109 &lt; 0, R110 + S109, 0)</f>
        <v>0</v>
      </c>
      <c r="T110" s="1">
        <v>0</v>
      </c>
      <c r="U110" s="1">
        <f>IF(T110 + U109 &lt; 0, T110 + U109, 0)</f>
        <v>0</v>
      </c>
      <c r="V110" s="1">
        <v>0</v>
      </c>
      <c r="W110" s="1">
        <f>IF(V110 + W109 &lt; 0, V110 + W109, 0)</f>
        <v>0</v>
      </c>
      <c r="X110" s="1">
        <v>0</v>
      </c>
      <c r="Y110" s="1">
        <f>IF(X110 + Y109 &lt; 0, X110 + Y109, 0)</f>
        <v>0</v>
      </c>
      <c r="Z110" s="1">
        <v>0</v>
      </c>
      <c r="AA110" s="1">
        <f>IF(Z110 + AA109 &lt; 0, Z110 + AA109, 0)</f>
        <v>0</v>
      </c>
      <c r="AB110" s="1">
        <v>0</v>
      </c>
      <c r="AC110" s="1">
        <f>IF(AB110 + AC109 &lt; 0, AB110 + AC109, 0)</f>
        <v>0</v>
      </c>
      <c r="AD110" s="1">
        <v>0</v>
      </c>
      <c r="AE110" s="1">
        <f>IF(AD110 + AE109 &lt; 0, AD110 + AE109, 0)</f>
        <v>0</v>
      </c>
      <c r="AF110" s="1">
        <v>0</v>
      </c>
      <c r="AG110" s="1">
        <f>IF(AF110 + AG109 &lt; 0, AF110 + AG109, 0)</f>
        <v>0</v>
      </c>
      <c r="AH110" s="1">
        <v>0</v>
      </c>
      <c r="AI110" s="1">
        <f>IF(AH110 + AI109 &lt; 0, AH110 + AI109, 0)</f>
        <v>0</v>
      </c>
      <c r="AJ110" s="1">
        <v>0</v>
      </c>
      <c r="AK110" s="1">
        <f>IF(AJ110 + AK109 &lt; 0, AJ110 + AK109, 0)</f>
        <v>0</v>
      </c>
    </row>
    <row r="111" spans="1:37" s="1" customFormat="1">
      <c r="A111" s="3">
        <v>45455</v>
      </c>
      <c r="B111" s="2" t="s">
        <v>24</v>
      </c>
      <c r="C111" s="2">
        <v>10</v>
      </c>
      <c r="D111" s="2">
        <v>9</v>
      </c>
      <c r="E111" s="2">
        <v>8</v>
      </c>
      <c r="F111" s="2">
        <v>2</v>
      </c>
      <c r="G111" s="2">
        <v>3</v>
      </c>
      <c r="H111" s="1">
        <v>0</v>
      </c>
      <c r="I111" s="1">
        <f>IF(H111 + I110 &lt; 0, H111 + I110, 0)</f>
        <v>0</v>
      </c>
      <c r="J111" s="1">
        <v>0</v>
      </c>
      <c r="K111" s="1">
        <f>IF(J111 + K110 &lt; 0, J111 + K110, 0)</f>
        <v>0</v>
      </c>
      <c r="L111" s="1">
        <v>0</v>
      </c>
      <c r="M111" s="1">
        <f>IF(L111 + M110 &lt; 0, L111 + M110, 0)</f>
        <v>0</v>
      </c>
      <c r="N111" s="1">
        <v>0</v>
      </c>
      <c r="O111" s="1">
        <f>IF(N111 + O110 &lt; 0, N111 + O110, 0)</f>
        <v>0</v>
      </c>
      <c r="P111" s="1">
        <v>0</v>
      </c>
      <c r="Q111" s="1">
        <f>IF(P111 + Q110 &lt; 0, P111 + Q110, 0)</f>
        <v>0</v>
      </c>
      <c r="R111" s="1">
        <v>0</v>
      </c>
      <c r="S111" s="1">
        <f>IF(R111 + S110 &lt; 0, R111 + S110, 0)</f>
        <v>0</v>
      </c>
      <c r="T111" s="1">
        <v>0</v>
      </c>
      <c r="U111" s="1">
        <f>IF(T111 + U110 &lt; 0, T111 + U110, 0)</f>
        <v>0</v>
      </c>
      <c r="V111" s="1">
        <v>0</v>
      </c>
      <c r="W111" s="1">
        <f>IF(V111 + W110 &lt; 0, V111 + W110, 0)</f>
        <v>0</v>
      </c>
      <c r="X111" s="1">
        <v>0</v>
      </c>
      <c r="Y111" s="1">
        <f>IF(X111 + Y110 &lt; 0, X111 + Y110, 0)</f>
        <v>0</v>
      </c>
      <c r="Z111" s="1">
        <v>0</v>
      </c>
      <c r="AA111" s="1">
        <f>IF(Z111 + AA110 &lt; 0, Z111 + AA110, 0)</f>
        <v>0</v>
      </c>
      <c r="AB111" s="1">
        <v>0</v>
      </c>
      <c r="AC111" s="1">
        <f>IF(AB111 + AC110 &lt; 0, AB111 + AC110, 0)</f>
        <v>0</v>
      </c>
      <c r="AD111" s="1">
        <v>0</v>
      </c>
      <c r="AE111" s="1">
        <f>IF(AD111 + AE110 &lt; 0, AD111 + AE110, 0)</f>
        <v>0</v>
      </c>
      <c r="AF111" s="1">
        <v>0</v>
      </c>
      <c r="AG111" s="1">
        <f>IF(AF111 + AG110 &lt; 0, AF111 + AG110, 0)</f>
        <v>0</v>
      </c>
      <c r="AH111" s="1">
        <v>0</v>
      </c>
      <c r="AI111" s="1">
        <f>IF(AH111 + AI110 &lt; 0, AH111 + AI110, 0)</f>
        <v>0</v>
      </c>
      <c r="AJ111" s="1">
        <v>0</v>
      </c>
      <c r="AK111" s="1">
        <f>IF(AJ111 + AK110 &lt; 0, AJ111 + AK110, 0)</f>
        <v>0</v>
      </c>
    </row>
    <row r="112" spans="1:37" s="1" customFormat="1">
      <c r="A112" s="3">
        <v>45456</v>
      </c>
      <c r="B112" s="2" t="s">
        <v>25</v>
      </c>
      <c r="C112" s="2">
        <v>9</v>
      </c>
      <c r="D112" s="2">
        <v>8</v>
      </c>
      <c r="E112" s="2">
        <v>7</v>
      </c>
      <c r="F112" s="2">
        <v>1</v>
      </c>
      <c r="G112" s="2">
        <v>2</v>
      </c>
      <c r="H112" s="1">
        <v>0</v>
      </c>
      <c r="I112" s="1">
        <f>IF(H112 + I111 &lt; 0, H112 + I111, 0)</f>
        <v>0</v>
      </c>
      <c r="J112" s="1">
        <v>0</v>
      </c>
      <c r="K112" s="1">
        <f>IF(J112 + K111 &lt; 0, J112 + K111, 0)</f>
        <v>0</v>
      </c>
      <c r="L112" s="1">
        <v>0</v>
      </c>
      <c r="M112" s="1">
        <f>IF(L112 + M111 &lt; 0, L112 + M111, 0)</f>
        <v>0</v>
      </c>
      <c r="N112" s="1">
        <v>0</v>
      </c>
      <c r="O112" s="1">
        <f>IF(N112 + O111 &lt; 0, N112 + O111, 0)</f>
        <v>0</v>
      </c>
      <c r="P112" s="1">
        <v>0</v>
      </c>
      <c r="Q112" s="1">
        <f>IF(P112 + Q111 &lt; 0, P112 + Q111, 0)</f>
        <v>0</v>
      </c>
      <c r="R112" s="1">
        <v>0</v>
      </c>
      <c r="S112" s="1">
        <f>IF(R112 + S111 &lt; 0, R112 + S111, 0)</f>
        <v>0</v>
      </c>
      <c r="T112" s="1">
        <v>0</v>
      </c>
      <c r="U112" s="1">
        <f>IF(T112 + U111 &lt; 0, T112 + U111, 0)</f>
        <v>0</v>
      </c>
      <c r="V112" s="1">
        <v>0</v>
      </c>
      <c r="W112" s="1">
        <f>IF(V112 + W111 &lt; 0, V112 + W111, 0)</f>
        <v>0</v>
      </c>
      <c r="X112" s="1">
        <v>0</v>
      </c>
      <c r="Y112" s="1">
        <f>IF(X112 + Y111 &lt; 0, X112 + Y111, 0)</f>
        <v>0</v>
      </c>
      <c r="Z112" s="1">
        <v>1131043.400157384</v>
      </c>
      <c r="AA112" s="1">
        <f>IF(Z112 + AA111 &lt; 0, Z112 + AA111, 0)</f>
        <v>0</v>
      </c>
      <c r="AB112" s="1">
        <v>1131839.902873881</v>
      </c>
      <c r="AC112" s="1">
        <f>IF(AB112 + AC111 &lt; 0, AB112 + AC111, 0)</f>
        <v>0</v>
      </c>
      <c r="AD112" s="1">
        <v>759588.2980983845</v>
      </c>
      <c r="AE112" s="1">
        <f>IF(AD112 + AE111 &lt; 0, AD112 + AE111, 0)</f>
        <v>0</v>
      </c>
      <c r="AF112" s="1">
        <v>0</v>
      </c>
      <c r="AG112" s="1">
        <f>IF(AF112 + AG111 &lt; 0, AF112 + AG111, 0)</f>
        <v>0</v>
      </c>
      <c r="AH112" s="1">
        <v>0</v>
      </c>
      <c r="AI112" s="1">
        <f>IF(AH112 + AI111 &lt; 0, AH112 + AI111, 0)</f>
        <v>0</v>
      </c>
      <c r="AJ112" s="1">
        <v>0</v>
      </c>
      <c r="AK112" s="1">
        <f>IF(AJ112 + AK111 &lt; 0, AJ112 + AK111, 0)</f>
        <v>0</v>
      </c>
    </row>
    <row r="113" spans="1:37" s="1" customFormat="1">
      <c r="A113" s="3">
        <v>45457</v>
      </c>
      <c r="B113" s="2" t="s">
        <v>26</v>
      </c>
      <c r="C113" s="2">
        <v>8</v>
      </c>
      <c r="D113" s="2">
        <v>7</v>
      </c>
      <c r="E113" s="2">
        <v>6</v>
      </c>
      <c r="F113" s="2">
        <v>4</v>
      </c>
      <c r="G113" s="2">
        <v>1</v>
      </c>
      <c r="H113" s="1">
        <v>0</v>
      </c>
      <c r="I113" s="1">
        <f>IF(H113 + I112 &lt; 0, H113 + I112, 0)</f>
        <v>0</v>
      </c>
      <c r="J113" s="1">
        <v>0</v>
      </c>
      <c r="K113" s="1">
        <f>IF(J113 + K112 &lt; 0, J113 + K112, 0)</f>
        <v>0</v>
      </c>
      <c r="L113" s="1">
        <v>0</v>
      </c>
      <c r="M113" s="1">
        <f>IF(L113 + M112 &lt; 0, L113 + M112, 0)</f>
        <v>0</v>
      </c>
      <c r="N113" s="1">
        <v>0</v>
      </c>
      <c r="O113" s="1">
        <f>IF(N113 + O112 &lt; 0, N113 + O112, 0)</f>
        <v>0</v>
      </c>
      <c r="P113" s="1">
        <v>0</v>
      </c>
      <c r="Q113" s="1">
        <f>IF(P113 + Q112 &lt; 0, P113 + Q112, 0)</f>
        <v>0</v>
      </c>
      <c r="R113" s="1">
        <v>0</v>
      </c>
      <c r="S113" s="1">
        <f>IF(R113 + S112 &lt; 0, R113 + S112, 0)</f>
        <v>0</v>
      </c>
      <c r="T113" s="1">
        <v>0</v>
      </c>
      <c r="U113" s="1">
        <f>IF(T113 + U112 &lt; 0, T113 + U112, 0)</f>
        <v>0</v>
      </c>
      <c r="V113" s="1">
        <v>0</v>
      </c>
      <c r="W113" s="1">
        <f>IF(V113 + W112 &lt; 0, V113 + W112, 0)</f>
        <v>0</v>
      </c>
      <c r="X113" s="1">
        <v>0</v>
      </c>
      <c r="Y113" s="1">
        <f>IF(X113 + Y112 &lt; 0, X113 + Y112, 0)</f>
        <v>0</v>
      </c>
      <c r="Z113" s="1">
        <v>0</v>
      </c>
      <c r="AA113" s="1">
        <f>IF(Z113 + AA112 &lt; 0, Z113 + AA112, 0)</f>
        <v>0</v>
      </c>
      <c r="AB113" s="1">
        <v>0</v>
      </c>
      <c r="AC113" s="1">
        <f>IF(AB113 + AC112 &lt; 0, AB113 + AC112, 0)</f>
        <v>0</v>
      </c>
      <c r="AD113" s="1">
        <v>0</v>
      </c>
      <c r="AE113" s="1">
        <f>IF(AD113 + AE112 &lt; 0, AD113 + AE112, 0)</f>
        <v>0</v>
      </c>
      <c r="AF113" s="1">
        <v>1380477.434666337</v>
      </c>
      <c r="AG113" s="1">
        <f>IF(AF113 + AG112 &lt; 0, AF113 + AG112, 0)</f>
        <v>0</v>
      </c>
      <c r="AH113" s="1">
        <v>963538.542938547</v>
      </c>
      <c r="AI113" s="1">
        <f>IF(AH113 + AI112 &lt; 0, AH113 + AI112, 0)</f>
        <v>0</v>
      </c>
      <c r="AJ113" s="1">
        <v>693397.0527448277</v>
      </c>
      <c r="AK113" s="1">
        <f>IF(AJ113 + AK112 &lt; 0, AJ113 + AK112, 0)</f>
        <v>0</v>
      </c>
    </row>
    <row r="114" spans="1:37" s="1" customFormat="1">
      <c r="A114" s="3">
        <v>45461</v>
      </c>
      <c r="B114" s="2" t="s">
        <v>23</v>
      </c>
      <c r="C114" s="2">
        <v>7</v>
      </c>
      <c r="D114" s="2">
        <v>6</v>
      </c>
      <c r="E114" s="2">
        <v>5</v>
      </c>
      <c r="F114" s="2">
        <v>3</v>
      </c>
      <c r="G114" s="2">
        <v>4</v>
      </c>
      <c r="H114" s="1">
        <v>0</v>
      </c>
      <c r="I114" s="1">
        <f>IF(H114 + I113 &lt; 0, H114 + I113, 0)</f>
        <v>0</v>
      </c>
      <c r="J114" s="1">
        <v>0</v>
      </c>
      <c r="K114" s="1">
        <f>IF(J114 + K113 &lt; 0, J114 + K113, 0)</f>
        <v>0</v>
      </c>
      <c r="L114" s="1">
        <v>0</v>
      </c>
      <c r="M114" s="1">
        <f>IF(L114 + M113 &lt; 0, L114 + M113, 0)</f>
        <v>0</v>
      </c>
      <c r="N114" s="1">
        <v>0</v>
      </c>
      <c r="O114" s="1">
        <f>IF(N114 + O113 &lt; 0, N114 + O113, 0)</f>
        <v>0</v>
      </c>
      <c r="P114" s="1">
        <v>0</v>
      </c>
      <c r="Q114" s="1">
        <f>IF(P114 + Q113 &lt; 0, P114 + Q113, 0)</f>
        <v>0</v>
      </c>
      <c r="R114" s="1">
        <v>0</v>
      </c>
      <c r="S114" s="1">
        <f>IF(R114 + S113 &lt; 0, R114 + S113, 0)</f>
        <v>0</v>
      </c>
      <c r="T114" s="1">
        <v>0</v>
      </c>
      <c r="U114" s="1">
        <f>IF(T114 + U113 &lt; 0, T114 + U113, 0)</f>
        <v>0</v>
      </c>
      <c r="V114" s="1">
        <v>0</v>
      </c>
      <c r="W114" s="1">
        <f>IF(V114 + W113 &lt; 0, V114 + W113, 0)</f>
        <v>0</v>
      </c>
      <c r="X114" s="1">
        <v>0</v>
      </c>
      <c r="Y114" s="1">
        <f>IF(X114 + Y113 &lt; 0, X114 + Y113, 0)</f>
        <v>0</v>
      </c>
      <c r="Z114" s="1">
        <v>0</v>
      </c>
      <c r="AA114" s="1">
        <f>IF(Z114 + AA113 &lt; 0, Z114 + AA113, 0)</f>
        <v>0</v>
      </c>
      <c r="AB114" s="1">
        <v>0</v>
      </c>
      <c r="AC114" s="1">
        <f>IF(AB114 + AC113 &lt; 0, AB114 + AC113, 0)</f>
        <v>0</v>
      </c>
      <c r="AD114" s="1">
        <v>0</v>
      </c>
      <c r="AE114" s="1">
        <f>IF(AD114 + AE113 &lt; 0, AD114 + AE113, 0)</f>
        <v>0</v>
      </c>
      <c r="AF114" s="1">
        <v>0</v>
      </c>
      <c r="AG114" s="1">
        <f>IF(AF114 + AG113 &lt; 0, AF114 + AG113, 0)</f>
        <v>0</v>
      </c>
      <c r="AH114" s="1">
        <v>0</v>
      </c>
      <c r="AI114" s="1">
        <f>IF(AH114 + AI113 &lt; 0, AH114 + AI113, 0)</f>
        <v>0</v>
      </c>
      <c r="AJ114" s="1">
        <v>0</v>
      </c>
      <c r="AK114" s="1">
        <f>IF(AJ114 + AK113 &lt; 0, AJ114 + AK113, 0)</f>
        <v>0</v>
      </c>
    </row>
    <row r="115" spans="1:37" s="1" customFormat="1">
      <c r="A115" s="3">
        <v>45462</v>
      </c>
      <c r="B115" s="2" t="s">
        <v>24</v>
      </c>
      <c r="C115" s="2">
        <v>6</v>
      </c>
      <c r="D115" s="2">
        <v>5</v>
      </c>
      <c r="E115" s="2">
        <v>4</v>
      </c>
      <c r="F115" s="2">
        <v>2</v>
      </c>
      <c r="G115" s="2">
        <v>3</v>
      </c>
      <c r="H115" s="1">
        <v>0</v>
      </c>
      <c r="I115" s="1">
        <f>IF(H115 + I114 &lt; 0, H115 + I114, 0)</f>
        <v>0</v>
      </c>
      <c r="J115" s="1">
        <v>0</v>
      </c>
      <c r="K115" s="1">
        <f>IF(J115 + K114 &lt; 0, J115 + K114, 0)</f>
        <v>0</v>
      </c>
      <c r="L115" s="1">
        <v>0</v>
      </c>
      <c r="M115" s="1">
        <f>IF(L115 + M114 &lt; 0, L115 + M114, 0)</f>
        <v>0</v>
      </c>
      <c r="N115" s="1">
        <v>0</v>
      </c>
      <c r="O115" s="1">
        <f>IF(N115 + O114 &lt; 0, N115 + O114, 0)</f>
        <v>0</v>
      </c>
      <c r="P115" s="1">
        <v>0</v>
      </c>
      <c r="Q115" s="1">
        <f>IF(P115 + Q114 &lt; 0, P115 + Q114, 0)</f>
        <v>0</v>
      </c>
      <c r="R115" s="1">
        <v>0</v>
      </c>
      <c r="S115" s="1">
        <f>IF(R115 + S114 &lt; 0, R115 + S114, 0)</f>
        <v>0</v>
      </c>
      <c r="T115" s="1">
        <v>0</v>
      </c>
      <c r="U115" s="1">
        <f>IF(T115 + U114 &lt; 0, T115 + U114, 0)</f>
        <v>0</v>
      </c>
      <c r="V115" s="1">
        <v>0</v>
      </c>
      <c r="W115" s="1">
        <f>IF(V115 + W114 &lt; 0, V115 + W114, 0)</f>
        <v>0</v>
      </c>
      <c r="X115" s="1">
        <v>0</v>
      </c>
      <c r="Y115" s="1">
        <f>IF(X115 + Y114 &lt; 0, X115 + Y114, 0)</f>
        <v>0</v>
      </c>
      <c r="Z115" s="1">
        <v>0</v>
      </c>
      <c r="AA115" s="1">
        <f>IF(Z115 + AA114 &lt; 0, Z115 + AA114, 0)</f>
        <v>0</v>
      </c>
      <c r="AB115" s="1">
        <v>0</v>
      </c>
      <c r="AC115" s="1">
        <f>IF(AB115 + AC114 &lt; 0, AB115 + AC114, 0)</f>
        <v>0</v>
      </c>
      <c r="AD115" s="1">
        <v>0</v>
      </c>
      <c r="AE115" s="1">
        <f>IF(AD115 + AE114 &lt; 0, AD115 + AE114, 0)</f>
        <v>0</v>
      </c>
      <c r="AF115" s="1">
        <v>0</v>
      </c>
      <c r="AG115" s="1">
        <f>IF(AF115 + AG114 &lt; 0, AF115 + AG114, 0)</f>
        <v>0</v>
      </c>
      <c r="AH115" s="1">
        <v>0</v>
      </c>
      <c r="AI115" s="1">
        <f>IF(AH115 + AI114 &lt; 0, AH115 + AI114, 0)</f>
        <v>0</v>
      </c>
      <c r="AJ115" s="1">
        <v>0</v>
      </c>
      <c r="AK115" s="1">
        <f>IF(AJ115 + AK114 &lt; 0, AJ115 + AK114, 0)</f>
        <v>0</v>
      </c>
    </row>
    <row r="116" spans="1:37" s="1" customFormat="1">
      <c r="A116" s="3">
        <v>45463</v>
      </c>
      <c r="B116" s="2" t="s">
        <v>25</v>
      </c>
      <c r="C116" s="2">
        <v>5</v>
      </c>
      <c r="D116" s="2">
        <v>4</v>
      </c>
      <c r="E116" s="2">
        <v>3</v>
      </c>
      <c r="F116" s="2">
        <v>1</v>
      </c>
      <c r="G116" s="2">
        <v>2</v>
      </c>
      <c r="H116" s="1">
        <v>0</v>
      </c>
      <c r="I116" s="1">
        <f>IF(H116 + I115 &lt; 0, H116 + I115, 0)</f>
        <v>0</v>
      </c>
      <c r="J116" s="1">
        <v>0</v>
      </c>
      <c r="K116" s="1">
        <f>IF(J116 + K115 &lt; 0, J116 + K115, 0)</f>
        <v>0</v>
      </c>
      <c r="L116" s="1">
        <v>0</v>
      </c>
      <c r="M116" s="1">
        <f>IF(L116 + M115 &lt; 0, L116 + M115, 0)</f>
        <v>0</v>
      </c>
      <c r="N116" s="1">
        <v>0</v>
      </c>
      <c r="O116" s="1">
        <f>IF(N116 + O115 &lt; 0, N116 + O115, 0)</f>
        <v>0</v>
      </c>
      <c r="P116" s="1">
        <v>0</v>
      </c>
      <c r="Q116" s="1">
        <f>IF(P116 + Q115 &lt; 0, P116 + Q115, 0)</f>
        <v>0</v>
      </c>
      <c r="R116" s="1">
        <v>0</v>
      </c>
      <c r="S116" s="1">
        <f>IF(R116 + S115 &lt; 0, R116 + S115, 0)</f>
        <v>0</v>
      </c>
      <c r="T116" s="1">
        <v>0</v>
      </c>
      <c r="U116" s="1">
        <f>IF(T116 + U115 &lt; 0, T116 + U115, 0)</f>
        <v>0</v>
      </c>
      <c r="V116" s="1">
        <v>0</v>
      </c>
      <c r="W116" s="1">
        <f>IF(V116 + W115 &lt; 0, V116 + W115, 0)</f>
        <v>0</v>
      </c>
      <c r="X116" s="1">
        <v>0</v>
      </c>
      <c r="Y116" s="1">
        <f>IF(X116 + Y115 &lt; 0, X116 + Y115, 0)</f>
        <v>0</v>
      </c>
      <c r="Z116" s="1">
        <v>257346.2572643378</v>
      </c>
      <c r="AA116" s="1">
        <f>IF(Z116 + AA115 &lt; 0, Z116 + AA115, 0)</f>
        <v>0</v>
      </c>
      <c r="AB116" s="1">
        <v>257346.2572643378</v>
      </c>
      <c r="AC116" s="1">
        <f>IF(AB116 + AC115 &lt; 0, AB116 + AC115, 0)</f>
        <v>0</v>
      </c>
      <c r="AD116" s="1">
        <v>486976.4012773363</v>
      </c>
      <c r="AE116" s="1">
        <f>IF(AD116 + AE115 &lt; 0, AD116 + AE115, 0)</f>
        <v>0</v>
      </c>
      <c r="AF116" s="1">
        <v>0</v>
      </c>
      <c r="AG116" s="1">
        <f>IF(AF116 + AG115 &lt; 0, AF116 + AG115, 0)</f>
        <v>0</v>
      </c>
      <c r="AH116" s="1">
        <v>0</v>
      </c>
      <c r="AI116" s="1">
        <f>IF(AH116 + AI115 &lt; 0, AH116 + AI115, 0)</f>
        <v>0</v>
      </c>
      <c r="AJ116" s="1">
        <v>0</v>
      </c>
      <c r="AK116" s="1">
        <f>IF(AJ116 + AK115 &lt; 0, AJ116 + AK115, 0)</f>
        <v>0</v>
      </c>
    </row>
    <row r="117" spans="1:37" s="1" customFormat="1">
      <c r="A117" s="3">
        <v>45464</v>
      </c>
      <c r="B117" s="2" t="s">
        <v>26</v>
      </c>
      <c r="C117" s="2">
        <v>4</v>
      </c>
      <c r="D117" s="2">
        <v>3</v>
      </c>
      <c r="E117" s="2">
        <v>2</v>
      </c>
      <c r="F117" s="2">
        <v>5</v>
      </c>
      <c r="G117" s="2">
        <v>1</v>
      </c>
      <c r="H117" s="1">
        <v>0</v>
      </c>
      <c r="I117" s="1">
        <f>IF(H117 + I116 &lt; 0, H117 + I116, 0)</f>
        <v>0</v>
      </c>
      <c r="J117" s="1">
        <v>0</v>
      </c>
      <c r="K117" s="1">
        <f>IF(J117 + K116 &lt; 0, J117 + K116, 0)</f>
        <v>0</v>
      </c>
      <c r="L117" s="1">
        <v>0</v>
      </c>
      <c r="M117" s="1">
        <f>IF(L117 + M116 &lt; 0, L117 + M116, 0)</f>
        <v>0</v>
      </c>
      <c r="N117" s="1">
        <v>0</v>
      </c>
      <c r="O117" s="1">
        <f>IF(N117 + O116 &lt; 0, N117 + O116, 0)</f>
        <v>0</v>
      </c>
      <c r="P117" s="1">
        <v>0</v>
      </c>
      <c r="Q117" s="1">
        <f>IF(P117 + Q116 &lt; 0, P117 + Q116, 0)</f>
        <v>0</v>
      </c>
      <c r="R117" s="1">
        <v>0</v>
      </c>
      <c r="S117" s="1">
        <f>IF(R117 + S116 &lt; 0, R117 + S116, 0)</f>
        <v>0</v>
      </c>
      <c r="T117" s="1">
        <v>0</v>
      </c>
      <c r="U117" s="1">
        <f>IF(T117 + U116 &lt; 0, T117 + U116, 0)</f>
        <v>0</v>
      </c>
      <c r="V117" s="1">
        <v>0</v>
      </c>
      <c r="W117" s="1">
        <f>IF(V117 + W116 &lt; 0, V117 + W116, 0)</f>
        <v>0</v>
      </c>
      <c r="X117" s="1">
        <v>0</v>
      </c>
      <c r="Y117" s="1">
        <f>IF(X117 + Y116 &lt; 0, X117 + Y116, 0)</f>
        <v>0</v>
      </c>
      <c r="Z117" s="1">
        <v>0</v>
      </c>
      <c r="AA117" s="1">
        <f>IF(Z117 + AA116 &lt; 0, Z117 + AA116, 0)</f>
        <v>0</v>
      </c>
      <c r="AB117" s="1">
        <v>0</v>
      </c>
      <c r="AC117" s="1">
        <f>IF(AB117 + AC116 &lt; 0, AB117 + AC116, 0)</f>
        <v>0</v>
      </c>
      <c r="AD117" s="1">
        <v>0</v>
      </c>
      <c r="AE117" s="1">
        <f>IF(AD117 + AE116 &lt; 0, AD117 + AE116, 0)</f>
        <v>0</v>
      </c>
      <c r="AF117" s="1">
        <v>205552.8056929127</v>
      </c>
      <c r="AG117" s="1">
        <f>IF(AF117 + AG116 &lt; 0, AF117 + AG116, 0)</f>
        <v>0</v>
      </c>
      <c r="AH117" s="1">
        <v>205552.8056929127</v>
      </c>
      <c r="AI117" s="1">
        <f>IF(AH117 + AI116 &lt; 0, AH117 + AI116, 0)</f>
        <v>0</v>
      </c>
      <c r="AJ117" s="1">
        <v>155900.182762338</v>
      </c>
      <c r="AK117" s="1">
        <f>IF(AJ117 + AK116 &lt; 0, AJ117 + AK116, 0)</f>
        <v>0</v>
      </c>
    </row>
    <row r="118" spans="1:37" s="1" customFormat="1">
      <c r="A118" s="3">
        <v>45467</v>
      </c>
      <c r="B118" s="2" t="s">
        <v>22</v>
      </c>
      <c r="C118" s="2">
        <v>3</v>
      </c>
      <c r="D118" s="2">
        <v>2</v>
      </c>
      <c r="E118" s="2">
        <v>1</v>
      </c>
      <c r="F118" s="2">
        <v>4</v>
      </c>
      <c r="G118" s="2">
        <v>5</v>
      </c>
      <c r="H118" s="1">
        <v>0</v>
      </c>
      <c r="I118" s="1">
        <f>IF(H118 + I117 &lt; 0, H118 + I117, 0)</f>
        <v>0</v>
      </c>
      <c r="J118" s="1">
        <v>0</v>
      </c>
      <c r="K118" s="1">
        <f>IF(J118 + K117 &lt; 0, J118 + K117, 0)</f>
        <v>0</v>
      </c>
      <c r="L118" s="1">
        <v>0</v>
      </c>
      <c r="M118" s="1">
        <f>IF(L118 + M117 &lt; 0, L118 + M117, 0)</f>
        <v>0</v>
      </c>
      <c r="N118" s="1">
        <v>0</v>
      </c>
      <c r="O118" s="1">
        <f>IF(N118 + O117 &lt; 0, N118 + O117, 0)</f>
        <v>0</v>
      </c>
      <c r="P118" s="1">
        <v>0</v>
      </c>
      <c r="Q118" s="1">
        <f>IF(P118 + Q117 &lt; 0, P118 + Q117, 0)</f>
        <v>0</v>
      </c>
      <c r="R118" s="1">
        <v>0</v>
      </c>
      <c r="S118" s="1">
        <f>IF(R118 + S117 &lt; 0, R118 + S117, 0)</f>
        <v>0</v>
      </c>
      <c r="T118" s="1">
        <v>0</v>
      </c>
      <c r="U118" s="1">
        <f>IF(T118 + U117 &lt; 0, T118 + U117, 0)</f>
        <v>0</v>
      </c>
      <c r="V118" s="1">
        <v>0</v>
      </c>
      <c r="W118" s="1">
        <f>IF(V118 + W117 &lt; 0, V118 + W117, 0)</f>
        <v>0</v>
      </c>
      <c r="X118" s="1">
        <v>0</v>
      </c>
      <c r="Y118" s="1">
        <f>IF(X118 + Y117 &lt; 0, X118 + Y117, 0)</f>
        <v>0</v>
      </c>
      <c r="Z118" s="1">
        <v>0</v>
      </c>
      <c r="AA118" s="1">
        <f>IF(Z118 + AA117 &lt; 0, Z118 + AA117, 0)</f>
        <v>0</v>
      </c>
      <c r="AB118" s="1">
        <v>0</v>
      </c>
      <c r="AC118" s="1">
        <f>IF(AB118 + AC117 &lt; 0, AB118 + AC117, 0)</f>
        <v>0</v>
      </c>
      <c r="AD118" s="1">
        <v>0</v>
      </c>
      <c r="AE118" s="1">
        <f>IF(AD118 + AE117 &lt; 0, AD118 + AE117, 0)</f>
        <v>0</v>
      </c>
      <c r="AF118" s="1">
        <v>0</v>
      </c>
      <c r="AG118" s="1">
        <f>IF(AF118 + AG117 &lt; 0, AF118 + AG117, 0)</f>
        <v>0</v>
      </c>
      <c r="AH118" s="1">
        <v>0</v>
      </c>
      <c r="AI118" s="1">
        <f>IF(AH118 + AI117 &lt; 0, AH118 + AI117, 0)</f>
        <v>0</v>
      </c>
      <c r="AJ118" s="1">
        <v>0</v>
      </c>
      <c r="AK118" s="1">
        <f>IF(AJ118 + AK117 &lt; 0, AJ118 + AK117, 0)</f>
        <v>0</v>
      </c>
    </row>
    <row r="119" spans="1:37" s="1" customFormat="1">
      <c r="A119" s="3">
        <v>45468</v>
      </c>
      <c r="B119" s="2" t="s">
        <v>23</v>
      </c>
      <c r="C119" s="2">
        <v>2</v>
      </c>
      <c r="D119" s="2">
        <v>1</v>
      </c>
      <c r="E119" s="2">
        <v>24</v>
      </c>
      <c r="F119" s="2">
        <v>3</v>
      </c>
      <c r="G119" s="2">
        <v>4</v>
      </c>
      <c r="H119" s="1">
        <v>0</v>
      </c>
      <c r="I119" s="1">
        <f>IF(H119 + I118 &lt; 0, H119 + I118, 0)</f>
        <v>0</v>
      </c>
      <c r="J119" s="1">
        <v>0</v>
      </c>
      <c r="K119" s="1">
        <f>IF(J119 + K118 &lt; 0, J119 + K118, 0)</f>
        <v>0</v>
      </c>
      <c r="L119" s="1">
        <v>0</v>
      </c>
      <c r="M119" s="1">
        <f>IF(L119 + M118 &lt; 0, L119 + M118, 0)</f>
        <v>0</v>
      </c>
      <c r="N119" s="1">
        <v>0</v>
      </c>
      <c r="O119" s="1">
        <f>IF(N119 + O118 &lt; 0, N119 + O118, 0)</f>
        <v>0</v>
      </c>
      <c r="P119" s="1">
        <v>0</v>
      </c>
      <c r="Q119" s="1">
        <f>IF(P119 + Q118 &lt; 0, P119 + Q118, 0)</f>
        <v>0</v>
      </c>
      <c r="R119" s="1">
        <v>0</v>
      </c>
      <c r="S119" s="1">
        <f>IF(R119 + S118 &lt; 0, R119 + S118, 0)</f>
        <v>0</v>
      </c>
      <c r="T119" s="1">
        <v>0</v>
      </c>
      <c r="U119" s="1">
        <f>IF(T119 + U118 &lt; 0, T119 + U118, 0)</f>
        <v>0</v>
      </c>
      <c r="V119" s="1">
        <v>0</v>
      </c>
      <c r="W119" s="1">
        <f>IF(V119 + W118 &lt; 0, V119 + W118, 0)</f>
        <v>0</v>
      </c>
      <c r="X119" s="1">
        <v>0</v>
      </c>
      <c r="Y119" s="1">
        <f>IF(X119 + Y118 &lt; 0, X119 + Y118, 0)</f>
        <v>0</v>
      </c>
      <c r="Z119" s="1">
        <v>0</v>
      </c>
      <c r="AA119" s="1">
        <f>IF(Z119 + AA118 &lt; 0, Z119 + AA118, 0)</f>
        <v>0</v>
      </c>
      <c r="AB119" s="1">
        <v>0</v>
      </c>
      <c r="AC119" s="1">
        <f>IF(AB119 + AC118 &lt; 0, AB119 + AC118, 0)</f>
        <v>0</v>
      </c>
      <c r="AD119" s="1">
        <v>0</v>
      </c>
      <c r="AE119" s="1">
        <f>IF(AD119 + AE118 &lt; 0, AD119 + AE118, 0)</f>
        <v>0</v>
      </c>
      <c r="AF119" s="1">
        <v>0</v>
      </c>
      <c r="AG119" s="1">
        <f>IF(AF119 + AG118 &lt; 0, AF119 + AG118, 0)</f>
        <v>0</v>
      </c>
      <c r="AH119" s="1">
        <v>0</v>
      </c>
      <c r="AI119" s="1">
        <f>IF(AH119 + AI118 &lt; 0, AH119 + AI118, 0)</f>
        <v>0</v>
      </c>
      <c r="AJ119" s="1">
        <v>0</v>
      </c>
      <c r="AK119" s="1">
        <f>IF(AJ119 + AK118 &lt; 0, AJ119 + AK118, 0)</f>
        <v>0</v>
      </c>
    </row>
    <row r="120" spans="1:37" s="1" customFormat="1">
      <c r="A120" s="3">
        <v>45469</v>
      </c>
      <c r="B120" s="2" t="s">
        <v>24</v>
      </c>
      <c r="C120" s="2">
        <v>1</v>
      </c>
      <c r="D120" s="2">
        <v>24</v>
      </c>
      <c r="E120" s="2">
        <v>23</v>
      </c>
      <c r="F120" s="2">
        <v>2</v>
      </c>
      <c r="G120" s="2">
        <v>3</v>
      </c>
      <c r="H120" s="1">
        <v>0</v>
      </c>
      <c r="I120" s="1">
        <f>IF(H120 + I119 &lt; 0, H120 + I119, 0)</f>
        <v>0</v>
      </c>
      <c r="J120" s="1">
        <v>0</v>
      </c>
      <c r="K120" s="1">
        <f>IF(J120 + K119 &lt; 0, J120 + K119, 0)</f>
        <v>0</v>
      </c>
      <c r="L120" s="1">
        <v>0</v>
      </c>
      <c r="M120" s="1">
        <f>IF(L120 + M119 &lt; 0, L120 + M119, 0)</f>
        <v>0</v>
      </c>
      <c r="N120" s="1">
        <v>0</v>
      </c>
      <c r="O120" s="1">
        <f>IF(N120 + O119 &lt; 0, N120 + O119, 0)</f>
        <v>0</v>
      </c>
      <c r="P120" s="1">
        <v>0</v>
      </c>
      <c r="Q120" s="1">
        <f>IF(P120 + Q119 &lt; 0, P120 + Q119, 0)</f>
        <v>0</v>
      </c>
      <c r="R120" s="1">
        <v>0</v>
      </c>
      <c r="S120" s="1">
        <f>IF(R120 + S119 &lt; 0, R120 + S119, 0)</f>
        <v>0</v>
      </c>
      <c r="T120" s="1">
        <v>0</v>
      </c>
      <c r="U120" s="1">
        <f>IF(T120 + U119 &lt; 0, T120 + U119, 0)</f>
        <v>0</v>
      </c>
      <c r="V120" s="1">
        <v>0</v>
      </c>
      <c r="W120" s="1">
        <f>IF(V120 + W119 &lt; 0, V120 + W119, 0)</f>
        <v>0</v>
      </c>
      <c r="X120" s="1">
        <v>0</v>
      </c>
      <c r="Y120" s="1">
        <f>IF(X120 + Y119 &lt; 0, X120 + Y119, 0)</f>
        <v>0</v>
      </c>
      <c r="Z120" s="1">
        <v>0</v>
      </c>
      <c r="AA120" s="1">
        <f>IF(Z120 + AA119 &lt; 0, Z120 + AA119, 0)</f>
        <v>0</v>
      </c>
      <c r="AB120" s="1">
        <v>0</v>
      </c>
      <c r="AC120" s="1">
        <f>IF(AB120 + AC119 &lt; 0, AB120 + AC119, 0)</f>
        <v>0</v>
      </c>
      <c r="AD120" s="1">
        <v>0</v>
      </c>
      <c r="AE120" s="1">
        <f>IF(AD120 + AE119 &lt; 0, AD120 + AE119, 0)</f>
        <v>0</v>
      </c>
      <c r="AF120" s="1">
        <v>0</v>
      </c>
      <c r="AG120" s="1">
        <f>IF(AF120 + AG119 &lt; 0, AF120 + AG119, 0)</f>
        <v>0</v>
      </c>
      <c r="AH120" s="1">
        <v>0</v>
      </c>
      <c r="AI120" s="1">
        <f>IF(AH120 + AI119 &lt; 0, AH120 + AI119, 0)</f>
        <v>0</v>
      </c>
      <c r="AJ120" s="1">
        <v>0</v>
      </c>
      <c r="AK120" s="1">
        <f>IF(AJ120 + AK119 &lt; 0, AJ120 + AK119, 0)</f>
        <v>0</v>
      </c>
    </row>
    <row r="121" spans="1:37" s="1" customFormat="1">
      <c r="A121" s="3">
        <v>45470</v>
      </c>
      <c r="B121" s="2" t="s">
        <v>25</v>
      </c>
      <c r="C121" s="2">
        <v>24</v>
      </c>
      <c r="D121" s="2">
        <v>23</v>
      </c>
      <c r="E121" s="2">
        <v>22</v>
      </c>
      <c r="F121" s="2">
        <v>1</v>
      </c>
      <c r="G121" s="2">
        <v>2</v>
      </c>
      <c r="H121" s="1">
        <v>0</v>
      </c>
      <c r="I121" s="1">
        <f>IF(H121 + I120 &lt; 0, H121 + I120, 0)</f>
        <v>0</v>
      </c>
      <c r="J121" s="1">
        <v>0</v>
      </c>
      <c r="K121" s="1">
        <f>IF(J121 + K120 &lt; 0, J121 + K120, 0)</f>
        <v>0</v>
      </c>
      <c r="L121" s="1">
        <v>0</v>
      </c>
      <c r="M121" s="1">
        <f>IF(L121 + M120 &lt; 0, L121 + M120, 0)</f>
        <v>0</v>
      </c>
      <c r="N121" s="1">
        <v>0</v>
      </c>
      <c r="O121" s="1">
        <f>IF(N121 + O120 &lt; 0, N121 + O120, 0)</f>
        <v>0</v>
      </c>
      <c r="P121" s="1">
        <v>0</v>
      </c>
      <c r="Q121" s="1">
        <f>IF(P121 + Q120 &lt; 0, P121 + Q120, 0)</f>
        <v>0</v>
      </c>
      <c r="R121" s="1">
        <v>0</v>
      </c>
      <c r="S121" s="1">
        <f>IF(R121 + S120 &lt; 0, R121 + S120, 0)</f>
        <v>0</v>
      </c>
      <c r="T121" s="1">
        <v>0</v>
      </c>
      <c r="U121" s="1">
        <f>IF(T121 + U120 &lt; 0, T121 + U120, 0)</f>
        <v>0</v>
      </c>
      <c r="V121" s="1">
        <v>0</v>
      </c>
      <c r="W121" s="1">
        <f>IF(V121 + W120 &lt; 0, V121 + W120, 0)</f>
        <v>0</v>
      </c>
      <c r="X121" s="1">
        <v>0</v>
      </c>
      <c r="Y121" s="1">
        <f>IF(X121 + Y120 &lt; 0, X121 + Y120, 0)</f>
        <v>0</v>
      </c>
      <c r="Z121" s="1">
        <v>-468221.2741851552</v>
      </c>
      <c r="AA121" s="1">
        <f>IF(Z121 + AA120 &lt; 0, Z121 + AA120, 0)</f>
        <v>0</v>
      </c>
      <c r="AB121" s="1">
        <v>-444813.9680789856</v>
      </c>
      <c r="AC121" s="1">
        <f>IF(AB121 + AC120 &lt; 0, AB121 + AC120, 0)</f>
        <v>0</v>
      </c>
      <c r="AD121" s="1">
        <v>-183384.4099062353</v>
      </c>
      <c r="AE121" s="1">
        <f>IF(AD121 + AE120 &lt; 0, AD121 + AE120, 0)</f>
        <v>0</v>
      </c>
      <c r="AF121" s="1">
        <v>0</v>
      </c>
      <c r="AG121" s="1">
        <f>IF(AF121 + AG120 &lt; 0, AF121 + AG120, 0)</f>
        <v>0</v>
      </c>
      <c r="AH121" s="1">
        <v>0</v>
      </c>
      <c r="AI121" s="1">
        <f>IF(AH121 + AI120 &lt; 0, AH121 + AI120, 0)</f>
        <v>0</v>
      </c>
      <c r="AJ121" s="1">
        <v>0</v>
      </c>
      <c r="AK121" s="1">
        <f>IF(AJ121 + AK120 &lt; 0, AJ121 + AK120, 0)</f>
        <v>0</v>
      </c>
    </row>
    <row r="122" spans="1:37" s="1" customFormat="1">
      <c r="A122" s="3">
        <v>45471</v>
      </c>
      <c r="B122" s="2" t="s">
        <v>26</v>
      </c>
      <c r="C122" s="2">
        <v>23</v>
      </c>
      <c r="D122" s="2">
        <v>22</v>
      </c>
      <c r="E122" s="2">
        <v>21</v>
      </c>
      <c r="F122" s="2">
        <v>5</v>
      </c>
      <c r="G122" s="2">
        <v>1</v>
      </c>
      <c r="H122" s="1">
        <v>0</v>
      </c>
      <c r="I122" s="1">
        <f>IF(H122 + I121 &lt; 0, H122 + I121, 0)</f>
        <v>0</v>
      </c>
      <c r="J122" s="1">
        <v>0</v>
      </c>
      <c r="K122" s="1">
        <f>IF(J122 + K121 &lt; 0, J122 + K121, 0)</f>
        <v>0</v>
      </c>
      <c r="L122" s="1">
        <v>0</v>
      </c>
      <c r="M122" s="1">
        <f>IF(L122 + M121 &lt; 0, L122 + M121, 0)</f>
        <v>0</v>
      </c>
      <c r="N122" s="1">
        <v>0</v>
      </c>
      <c r="O122" s="1">
        <f>IF(N122 + O121 &lt; 0, N122 + O121, 0)</f>
        <v>0</v>
      </c>
      <c r="P122" s="1">
        <v>0</v>
      </c>
      <c r="Q122" s="1">
        <f>IF(P122 + Q121 &lt; 0, P122 + Q121, 0)</f>
        <v>0</v>
      </c>
      <c r="R122" s="1">
        <v>0</v>
      </c>
      <c r="S122" s="1">
        <f>IF(R122 + S121 &lt; 0, R122 + S121, 0)</f>
        <v>0</v>
      </c>
      <c r="T122" s="1">
        <v>0</v>
      </c>
      <c r="U122" s="1">
        <f>IF(T122 + U121 &lt; 0, T122 + U121, 0)</f>
        <v>0</v>
      </c>
      <c r="V122" s="1">
        <v>0</v>
      </c>
      <c r="W122" s="1">
        <f>IF(V122 + W121 &lt; 0, V122 + W121, 0)</f>
        <v>0</v>
      </c>
      <c r="X122" s="1">
        <v>0</v>
      </c>
      <c r="Y122" s="1">
        <f>IF(X122 + Y121 &lt; 0, X122 + Y121, 0)</f>
        <v>0</v>
      </c>
      <c r="Z122" s="1">
        <v>0</v>
      </c>
      <c r="AA122" s="1">
        <f>IF(Z122 + AA121 &lt; 0, Z122 + AA121, 0)</f>
        <v>0</v>
      </c>
      <c r="AB122" s="1">
        <v>0</v>
      </c>
      <c r="AC122" s="1">
        <f>IF(AB122 + AC121 &lt; 0, AB122 + AC121, 0)</f>
        <v>0</v>
      </c>
      <c r="AD122" s="1">
        <v>0</v>
      </c>
      <c r="AE122" s="1">
        <f>IF(AD122 + AE121 &lt; 0, AD122 + AE121, 0)</f>
        <v>0</v>
      </c>
      <c r="AF122" s="1">
        <v>-92819.79932710595</v>
      </c>
      <c r="AG122" s="1">
        <f>IF(AF122 + AG121 &lt; 0, AF122 + AG121, 0)</f>
        <v>0</v>
      </c>
      <c r="AH122" s="1">
        <v>-156797.2240453111</v>
      </c>
      <c r="AI122" s="1">
        <f>IF(AH122 + AI121 &lt; 0, AH122 + AI121, 0)</f>
        <v>0</v>
      </c>
      <c r="AJ122" s="1">
        <v>196840.487378173</v>
      </c>
      <c r="AK122" s="1">
        <f>IF(AJ122 + AK121 &lt; 0, AJ122 + AK121, 0)</f>
        <v>0</v>
      </c>
    </row>
    <row r="123" spans="1:37" s="1" customFormat="1">
      <c r="A123" s="3">
        <v>45474</v>
      </c>
      <c r="B123" s="2" t="s">
        <v>22</v>
      </c>
      <c r="C123" s="2">
        <v>22</v>
      </c>
      <c r="D123" s="2">
        <v>21</v>
      </c>
      <c r="E123" s="2">
        <v>20</v>
      </c>
      <c r="F123" s="2">
        <v>4</v>
      </c>
      <c r="G123" s="2">
        <v>5</v>
      </c>
      <c r="H123" s="1">
        <v>0</v>
      </c>
      <c r="I123" s="1">
        <f>IF(H123 + I122 &lt; 0, H123 + I122, 0)</f>
        <v>0</v>
      </c>
      <c r="J123" s="1">
        <v>0</v>
      </c>
      <c r="K123" s="1">
        <f>IF(J123 + K122 &lt; 0, J123 + K122, 0)</f>
        <v>0</v>
      </c>
      <c r="L123" s="1">
        <v>0</v>
      </c>
      <c r="M123" s="1">
        <f>IF(L123 + M122 &lt; 0, L123 + M122, 0)</f>
        <v>0</v>
      </c>
      <c r="N123" s="1">
        <v>0</v>
      </c>
      <c r="O123" s="1">
        <f>IF(N123 + O122 &lt; 0, N123 + O122, 0)</f>
        <v>0</v>
      </c>
      <c r="P123" s="1">
        <v>0</v>
      </c>
      <c r="Q123" s="1">
        <f>IF(P123 + Q122 &lt; 0, P123 + Q122, 0)</f>
        <v>0</v>
      </c>
      <c r="R123" s="1">
        <v>0</v>
      </c>
      <c r="S123" s="1">
        <f>IF(R123 + S122 &lt; 0, R123 + S122, 0)</f>
        <v>0</v>
      </c>
      <c r="T123" s="1">
        <v>0</v>
      </c>
      <c r="U123" s="1">
        <f>IF(T123 + U122 &lt; 0, T123 + U122, 0)</f>
        <v>0</v>
      </c>
      <c r="V123" s="1">
        <v>0</v>
      </c>
      <c r="W123" s="1">
        <f>IF(V123 + W122 &lt; 0, V123 + W122, 0)</f>
        <v>0</v>
      </c>
      <c r="X123" s="1">
        <v>0</v>
      </c>
      <c r="Y123" s="1">
        <f>IF(X123 + Y122 &lt; 0, X123 + Y122, 0)</f>
        <v>0</v>
      </c>
      <c r="Z123" s="1">
        <v>0</v>
      </c>
      <c r="AA123" s="1">
        <f>IF(Z123 + AA122 &lt; 0, Z123 + AA122, 0)</f>
        <v>0</v>
      </c>
      <c r="AB123" s="1">
        <v>0</v>
      </c>
      <c r="AC123" s="1">
        <f>IF(AB123 + AC122 &lt; 0, AB123 + AC122, 0)</f>
        <v>0</v>
      </c>
      <c r="AD123" s="1">
        <v>0</v>
      </c>
      <c r="AE123" s="1">
        <f>IF(AD123 + AE122 &lt; 0, AD123 + AE122, 0)</f>
        <v>0</v>
      </c>
      <c r="AF123" s="1">
        <v>0</v>
      </c>
      <c r="AG123" s="1">
        <f>IF(AF123 + AG122 &lt; 0, AF123 + AG122, 0)</f>
        <v>0</v>
      </c>
      <c r="AH123" s="1">
        <v>0</v>
      </c>
      <c r="AI123" s="1">
        <f>IF(AH123 + AI122 &lt; 0, AH123 + AI122, 0)</f>
        <v>0</v>
      </c>
      <c r="AJ123" s="1">
        <v>0</v>
      </c>
      <c r="AK123" s="1">
        <f>IF(AJ123 + AK122 &lt; 0, AJ123 + AK122, 0)</f>
        <v>0</v>
      </c>
    </row>
    <row r="124" spans="1:37" s="1" customFormat="1">
      <c r="A124" s="3">
        <v>45475</v>
      </c>
      <c r="B124" s="2" t="s">
        <v>23</v>
      </c>
      <c r="C124" s="2">
        <v>21</v>
      </c>
      <c r="D124" s="2">
        <v>20</v>
      </c>
      <c r="E124" s="2">
        <v>19</v>
      </c>
      <c r="F124" s="2">
        <v>3</v>
      </c>
      <c r="G124" s="2">
        <v>4</v>
      </c>
      <c r="H124" s="1">
        <v>0</v>
      </c>
      <c r="I124" s="1">
        <f>IF(H124 + I123 &lt; 0, H124 + I123, 0)</f>
        <v>0</v>
      </c>
      <c r="J124" s="1">
        <v>0</v>
      </c>
      <c r="K124" s="1">
        <f>IF(J124 + K123 &lt; 0, J124 + K123, 0)</f>
        <v>0</v>
      </c>
      <c r="L124" s="1">
        <v>0</v>
      </c>
      <c r="M124" s="1">
        <f>IF(L124 + M123 &lt; 0, L124 + M123, 0)</f>
        <v>0</v>
      </c>
      <c r="N124" s="1">
        <v>0</v>
      </c>
      <c r="O124" s="1">
        <f>IF(N124 + O123 &lt; 0, N124 + O123, 0)</f>
        <v>0</v>
      </c>
      <c r="P124" s="1">
        <v>0</v>
      </c>
      <c r="Q124" s="1">
        <f>IF(P124 + Q123 &lt; 0, P124 + Q123, 0)</f>
        <v>0</v>
      </c>
      <c r="R124" s="1">
        <v>0</v>
      </c>
      <c r="S124" s="1">
        <f>IF(R124 + S123 &lt; 0, R124 + S123, 0)</f>
        <v>0</v>
      </c>
      <c r="T124" s="1">
        <v>0</v>
      </c>
      <c r="U124" s="1">
        <f>IF(T124 + U123 &lt; 0, T124 + U123, 0)</f>
        <v>0</v>
      </c>
      <c r="V124" s="1">
        <v>0</v>
      </c>
      <c r="W124" s="1">
        <f>IF(V124 + W123 &lt; 0, V124 + W123, 0)</f>
        <v>0</v>
      </c>
      <c r="X124" s="1">
        <v>0</v>
      </c>
      <c r="Y124" s="1">
        <f>IF(X124 + Y123 &lt; 0, X124 + Y123, 0)</f>
        <v>0</v>
      </c>
      <c r="Z124" s="1">
        <v>0</v>
      </c>
      <c r="AA124" s="1">
        <f>IF(Z124 + AA123 &lt; 0, Z124 + AA123, 0)</f>
        <v>0</v>
      </c>
      <c r="AB124" s="1">
        <v>0</v>
      </c>
      <c r="AC124" s="1">
        <f>IF(AB124 + AC123 &lt; 0, AB124 + AC123, 0)</f>
        <v>0</v>
      </c>
      <c r="AD124" s="1">
        <v>0</v>
      </c>
      <c r="AE124" s="1">
        <f>IF(AD124 + AE123 &lt; 0, AD124 + AE123, 0)</f>
        <v>0</v>
      </c>
      <c r="AF124" s="1">
        <v>0</v>
      </c>
      <c r="AG124" s="1">
        <f>IF(AF124 + AG123 &lt; 0, AF124 + AG123, 0)</f>
        <v>0</v>
      </c>
      <c r="AH124" s="1">
        <v>0</v>
      </c>
      <c r="AI124" s="1">
        <f>IF(AH124 + AI123 &lt; 0, AH124 + AI123, 0)</f>
        <v>0</v>
      </c>
      <c r="AJ124" s="1">
        <v>0</v>
      </c>
      <c r="AK124" s="1">
        <f>IF(AJ124 + AK123 &lt; 0, AJ124 + AK123, 0)</f>
        <v>0</v>
      </c>
    </row>
    <row r="125" spans="1:37" s="1" customFormat="1">
      <c r="A125" s="3">
        <v>45476</v>
      </c>
      <c r="B125" s="2" t="s">
        <v>24</v>
      </c>
      <c r="C125" s="2">
        <v>20</v>
      </c>
      <c r="D125" s="2">
        <v>19</v>
      </c>
      <c r="E125" s="2">
        <v>18</v>
      </c>
      <c r="F125" s="2">
        <v>2</v>
      </c>
      <c r="G125" s="2">
        <v>3</v>
      </c>
      <c r="H125" s="1">
        <v>0</v>
      </c>
      <c r="I125" s="1">
        <f>IF(H125 + I124 &lt; 0, H125 + I124, 0)</f>
        <v>0</v>
      </c>
      <c r="J125" s="1">
        <v>0</v>
      </c>
      <c r="K125" s="1">
        <f>IF(J125 + K124 &lt; 0, J125 + K124, 0)</f>
        <v>0</v>
      </c>
      <c r="L125" s="1">
        <v>0</v>
      </c>
      <c r="M125" s="1">
        <f>IF(L125 + M124 &lt; 0, L125 + M124, 0)</f>
        <v>0</v>
      </c>
      <c r="N125" s="1">
        <v>0</v>
      </c>
      <c r="O125" s="1">
        <f>IF(N125 + O124 &lt; 0, N125 + O124, 0)</f>
        <v>0</v>
      </c>
      <c r="P125" s="1">
        <v>0</v>
      </c>
      <c r="Q125" s="1">
        <f>IF(P125 + Q124 &lt; 0, P125 + Q124, 0)</f>
        <v>0</v>
      </c>
      <c r="R125" s="1">
        <v>0</v>
      </c>
      <c r="S125" s="1">
        <f>IF(R125 + S124 &lt; 0, R125 + S124, 0)</f>
        <v>0</v>
      </c>
      <c r="T125" s="1">
        <v>0</v>
      </c>
      <c r="U125" s="1">
        <f>IF(T125 + U124 &lt; 0, T125 + U124, 0)</f>
        <v>0</v>
      </c>
      <c r="V125" s="1">
        <v>0</v>
      </c>
      <c r="W125" s="1">
        <f>IF(V125 + W124 &lt; 0, V125 + W124, 0)</f>
        <v>0</v>
      </c>
      <c r="X125" s="1">
        <v>0</v>
      </c>
      <c r="Y125" s="1">
        <f>IF(X125 + Y124 &lt; 0, X125 + Y124, 0)</f>
        <v>0</v>
      </c>
      <c r="Z125" s="1">
        <v>0</v>
      </c>
      <c r="AA125" s="1">
        <f>IF(Z125 + AA124 &lt; 0, Z125 + AA124, 0)</f>
        <v>0</v>
      </c>
      <c r="AB125" s="1">
        <v>0</v>
      </c>
      <c r="AC125" s="1">
        <f>IF(AB125 + AC124 &lt; 0, AB125 + AC124, 0)</f>
        <v>0</v>
      </c>
      <c r="AD125" s="1">
        <v>0</v>
      </c>
      <c r="AE125" s="1">
        <f>IF(AD125 + AE124 &lt; 0, AD125 + AE124, 0)</f>
        <v>0</v>
      </c>
      <c r="AF125" s="1">
        <v>0</v>
      </c>
      <c r="AG125" s="1">
        <f>IF(AF125 + AG124 &lt; 0, AF125 + AG124, 0)</f>
        <v>0</v>
      </c>
      <c r="AH125" s="1">
        <v>0</v>
      </c>
      <c r="AI125" s="1">
        <f>IF(AH125 + AI124 &lt; 0, AH125 + AI124, 0)</f>
        <v>0</v>
      </c>
      <c r="AJ125" s="1">
        <v>0</v>
      </c>
      <c r="AK125" s="1">
        <f>IF(AJ125 + AK124 &lt; 0, AJ125 + AK124, 0)</f>
        <v>0</v>
      </c>
    </row>
    <row r="126" spans="1:37" s="1" customFormat="1">
      <c r="A126" s="3">
        <v>45477</v>
      </c>
      <c r="B126" s="2" t="s">
        <v>25</v>
      </c>
      <c r="C126" s="2">
        <v>19</v>
      </c>
      <c r="D126" s="2">
        <v>18</v>
      </c>
      <c r="E126" s="2">
        <v>17</v>
      </c>
      <c r="F126" s="2">
        <v>1</v>
      </c>
      <c r="G126" s="2">
        <v>2</v>
      </c>
      <c r="H126" s="1">
        <v>0</v>
      </c>
      <c r="I126" s="1">
        <f>IF(H126 + I125 &lt; 0, H126 + I125, 0)</f>
        <v>0</v>
      </c>
      <c r="J126" s="1">
        <v>0</v>
      </c>
      <c r="K126" s="1">
        <f>IF(J126 + K125 &lt; 0, J126 + K125, 0)</f>
        <v>0</v>
      </c>
      <c r="L126" s="1">
        <v>0</v>
      </c>
      <c r="M126" s="1">
        <f>IF(L126 + M125 &lt; 0, L126 + M125, 0)</f>
        <v>0</v>
      </c>
      <c r="N126" s="1">
        <v>0</v>
      </c>
      <c r="O126" s="1">
        <f>IF(N126 + O125 &lt; 0, N126 + O125, 0)</f>
        <v>0</v>
      </c>
      <c r="P126" s="1">
        <v>0</v>
      </c>
      <c r="Q126" s="1">
        <f>IF(P126 + Q125 &lt; 0, P126 + Q125, 0)</f>
        <v>0</v>
      </c>
      <c r="R126" s="1">
        <v>0</v>
      </c>
      <c r="S126" s="1">
        <f>IF(R126 + S125 &lt; 0, R126 + S125, 0)</f>
        <v>0</v>
      </c>
      <c r="T126" s="1">
        <v>0</v>
      </c>
      <c r="U126" s="1">
        <f>IF(T126 + U125 &lt; 0, T126 + U125, 0)</f>
        <v>0</v>
      </c>
      <c r="V126" s="1">
        <v>0</v>
      </c>
      <c r="W126" s="1">
        <f>IF(V126 + W125 &lt; 0, V126 + W125, 0)</f>
        <v>0</v>
      </c>
      <c r="X126" s="1">
        <v>0</v>
      </c>
      <c r="Y126" s="1">
        <f>IF(X126 + Y125 &lt; 0, X126 + Y125, 0)</f>
        <v>0</v>
      </c>
      <c r="Z126" s="1">
        <v>880719.1421851452</v>
      </c>
      <c r="AA126" s="1">
        <f>IF(Z126 + AA125 &lt; 0, Z126 + AA125, 0)</f>
        <v>0</v>
      </c>
      <c r="AB126" s="1">
        <v>662560.748514156</v>
      </c>
      <c r="AC126" s="1">
        <f>IF(AB126 + AC125 &lt; 0, AB126 + AC125, 0)</f>
        <v>0</v>
      </c>
      <c r="AD126" s="1">
        <v>517217.8283168013</v>
      </c>
      <c r="AE126" s="1">
        <f>IF(AD126 + AE125 &lt; 0, AD126 + AE125, 0)</f>
        <v>0</v>
      </c>
      <c r="AF126" s="1">
        <v>0</v>
      </c>
      <c r="AG126" s="1">
        <f>IF(AF126 + AG125 &lt; 0, AF126 + AG125, 0)</f>
        <v>0</v>
      </c>
      <c r="AH126" s="1">
        <v>0</v>
      </c>
      <c r="AI126" s="1">
        <f>IF(AH126 + AI125 &lt; 0, AH126 + AI125, 0)</f>
        <v>0</v>
      </c>
      <c r="AJ126" s="1">
        <v>0</v>
      </c>
      <c r="AK126" s="1">
        <f>IF(AJ126 + AK125 &lt; 0, AJ126 + AK125, 0)</f>
        <v>0</v>
      </c>
    </row>
    <row r="127" spans="1:37" s="1" customFormat="1">
      <c r="A127" s="3">
        <v>45478</v>
      </c>
      <c r="B127" s="2" t="s">
        <v>26</v>
      </c>
      <c r="C127" s="2">
        <v>18</v>
      </c>
      <c r="D127" s="2">
        <v>17</v>
      </c>
      <c r="E127" s="2">
        <v>16</v>
      </c>
      <c r="F127" s="2">
        <v>5</v>
      </c>
      <c r="G127" s="2">
        <v>1</v>
      </c>
      <c r="H127" s="1">
        <v>0</v>
      </c>
      <c r="I127" s="1">
        <f>IF(H127 + I126 &lt; 0, H127 + I126, 0)</f>
        <v>0</v>
      </c>
      <c r="J127" s="1">
        <v>0</v>
      </c>
      <c r="K127" s="1">
        <f>IF(J127 + K126 &lt; 0, J127 + K126, 0)</f>
        <v>0</v>
      </c>
      <c r="L127" s="1">
        <v>0</v>
      </c>
      <c r="M127" s="1">
        <f>IF(L127 + M126 &lt; 0, L127 + M126, 0)</f>
        <v>0</v>
      </c>
      <c r="N127" s="1">
        <v>0</v>
      </c>
      <c r="O127" s="1">
        <f>IF(N127 + O126 &lt; 0, N127 + O126, 0)</f>
        <v>0</v>
      </c>
      <c r="P127" s="1">
        <v>0</v>
      </c>
      <c r="Q127" s="1">
        <f>IF(P127 + Q126 &lt; 0, P127 + Q126, 0)</f>
        <v>0</v>
      </c>
      <c r="R127" s="1">
        <v>0</v>
      </c>
      <c r="S127" s="1">
        <f>IF(R127 + S126 &lt; 0, R127 + S126, 0)</f>
        <v>0</v>
      </c>
      <c r="T127" s="1">
        <v>0</v>
      </c>
      <c r="U127" s="1">
        <f>IF(T127 + U126 &lt; 0, T127 + U126, 0)</f>
        <v>0</v>
      </c>
      <c r="V127" s="1">
        <v>0</v>
      </c>
      <c r="W127" s="1">
        <f>IF(V127 + W126 &lt; 0, V127 + W126, 0)</f>
        <v>0</v>
      </c>
      <c r="X127" s="1">
        <v>0</v>
      </c>
      <c r="Y127" s="1">
        <f>IF(X127 + Y126 &lt; 0, X127 + Y126, 0)</f>
        <v>0</v>
      </c>
      <c r="Z127" s="1">
        <v>0</v>
      </c>
      <c r="AA127" s="1">
        <f>IF(Z127 + AA126 &lt; 0, Z127 + AA126, 0)</f>
        <v>0</v>
      </c>
      <c r="AB127" s="1">
        <v>0</v>
      </c>
      <c r="AC127" s="1">
        <f>IF(AB127 + AC126 &lt; 0, AB127 + AC126, 0)</f>
        <v>0</v>
      </c>
      <c r="AD127" s="1">
        <v>0</v>
      </c>
      <c r="AE127" s="1">
        <f>IF(AD127 + AE126 &lt; 0, AD127 + AE126, 0)</f>
        <v>0</v>
      </c>
      <c r="AF127" s="1">
        <v>466623.6136816963</v>
      </c>
      <c r="AG127" s="1">
        <f>IF(AF127 + AG126 &lt; 0, AF127 + AG126, 0)</f>
        <v>0</v>
      </c>
      <c r="AH127" s="1">
        <v>461284.4362845097</v>
      </c>
      <c r="AI127" s="1">
        <f>IF(AH127 + AI126 &lt; 0, AH127 + AI126, 0)</f>
        <v>0</v>
      </c>
      <c r="AJ127" s="1">
        <v>488916.1597886368</v>
      </c>
      <c r="AK127" s="1">
        <f>IF(AJ127 + AK126 &lt; 0, AJ127 + AK126, 0)</f>
        <v>0</v>
      </c>
    </row>
    <row r="128" spans="1:37" s="1" customFormat="1">
      <c r="A128" s="3">
        <v>45481</v>
      </c>
      <c r="B128" s="2" t="s">
        <v>22</v>
      </c>
      <c r="C128" s="2">
        <v>17</v>
      </c>
      <c r="D128" s="2">
        <v>16</v>
      </c>
      <c r="E128" s="2">
        <v>15</v>
      </c>
      <c r="F128" s="2">
        <v>4</v>
      </c>
      <c r="G128" s="2">
        <v>5</v>
      </c>
      <c r="H128" s="1">
        <v>0</v>
      </c>
      <c r="I128" s="1">
        <f>IF(H128 + I127 &lt; 0, H128 + I127, 0)</f>
        <v>0</v>
      </c>
      <c r="J128" s="1">
        <v>0</v>
      </c>
      <c r="K128" s="1">
        <f>IF(J128 + K127 &lt; 0, J128 + K127, 0)</f>
        <v>0</v>
      </c>
      <c r="L128" s="1">
        <v>0</v>
      </c>
      <c r="M128" s="1">
        <f>IF(L128 + M127 &lt; 0, L128 + M127, 0)</f>
        <v>0</v>
      </c>
      <c r="N128" s="1">
        <v>0</v>
      </c>
      <c r="O128" s="1">
        <f>IF(N128 + O127 &lt; 0, N128 + O127, 0)</f>
        <v>0</v>
      </c>
      <c r="P128" s="1">
        <v>0</v>
      </c>
      <c r="Q128" s="1">
        <f>IF(P128 + Q127 &lt; 0, P128 + Q127, 0)</f>
        <v>0</v>
      </c>
      <c r="R128" s="1">
        <v>0</v>
      </c>
      <c r="S128" s="1">
        <f>IF(R128 + S127 &lt; 0, R128 + S127, 0)</f>
        <v>0</v>
      </c>
      <c r="T128" s="1">
        <v>0</v>
      </c>
      <c r="U128" s="1">
        <f>IF(T128 + U127 &lt; 0, T128 + U127, 0)</f>
        <v>0</v>
      </c>
      <c r="V128" s="1">
        <v>0</v>
      </c>
      <c r="W128" s="1">
        <f>IF(V128 + W127 &lt; 0, V128 + W127, 0)</f>
        <v>0</v>
      </c>
      <c r="X128" s="1">
        <v>0</v>
      </c>
      <c r="Y128" s="1">
        <f>IF(X128 + Y127 &lt; 0, X128 + Y127, 0)</f>
        <v>0</v>
      </c>
      <c r="Z128" s="1">
        <v>0</v>
      </c>
      <c r="AA128" s="1">
        <f>IF(Z128 + AA127 &lt; 0, Z128 + AA127, 0)</f>
        <v>0</v>
      </c>
      <c r="AB128" s="1">
        <v>0</v>
      </c>
      <c r="AC128" s="1">
        <f>IF(AB128 + AC127 &lt; 0, AB128 + AC127, 0)</f>
        <v>0</v>
      </c>
      <c r="AD128" s="1">
        <v>0</v>
      </c>
      <c r="AE128" s="1">
        <f>IF(AD128 + AE127 &lt; 0, AD128 + AE127, 0)</f>
        <v>0</v>
      </c>
      <c r="AF128" s="1">
        <v>0</v>
      </c>
      <c r="AG128" s="1">
        <f>IF(AF128 + AG127 &lt; 0, AF128 + AG127, 0)</f>
        <v>0</v>
      </c>
      <c r="AH128" s="1">
        <v>0</v>
      </c>
      <c r="AI128" s="1">
        <f>IF(AH128 + AI127 &lt; 0, AH128 + AI127, 0)</f>
        <v>0</v>
      </c>
      <c r="AJ128" s="1">
        <v>0</v>
      </c>
      <c r="AK128" s="1">
        <f>IF(AJ128 + AK127 &lt; 0, AJ128 + AK127, 0)</f>
        <v>0</v>
      </c>
    </row>
    <row r="129" spans="1:37" s="1" customFormat="1">
      <c r="A129" s="3">
        <v>45482</v>
      </c>
      <c r="B129" s="2" t="s">
        <v>23</v>
      </c>
      <c r="C129" s="2">
        <v>16</v>
      </c>
      <c r="D129" s="2">
        <v>15</v>
      </c>
      <c r="E129" s="2">
        <v>14</v>
      </c>
      <c r="F129" s="2">
        <v>3</v>
      </c>
      <c r="G129" s="2">
        <v>4</v>
      </c>
      <c r="H129" s="1">
        <v>0</v>
      </c>
      <c r="I129" s="1">
        <f>IF(H129 + I128 &lt; 0, H129 + I128, 0)</f>
        <v>0</v>
      </c>
      <c r="J129" s="1">
        <v>0</v>
      </c>
      <c r="K129" s="1">
        <f>IF(J129 + K128 &lt; 0, J129 + K128, 0)</f>
        <v>0</v>
      </c>
      <c r="L129" s="1">
        <v>0</v>
      </c>
      <c r="M129" s="1">
        <f>IF(L129 + M128 &lt; 0, L129 + M128, 0)</f>
        <v>0</v>
      </c>
      <c r="N129" s="1">
        <v>0</v>
      </c>
      <c r="O129" s="1">
        <f>IF(N129 + O128 &lt; 0, N129 + O128, 0)</f>
        <v>0</v>
      </c>
      <c r="P129" s="1">
        <v>0</v>
      </c>
      <c r="Q129" s="1">
        <f>IF(P129 + Q128 &lt; 0, P129 + Q128, 0)</f>
        <v>0</v>
      </c>
      <c r="R129" s="1">
        <v>0</v>
      </c>
      <c r="S129" s="1">
        <f>IF(R129 + S128 &lt; 0, R129 + S128, 0)</f>
        <v>0</v>
      </c>
      <c r="T129" s="1">
        <v>0</v>
      </c>
      <c r="U129" s="1">
        <f>IF(T129 + U128 &lt; 0, T129 + U128, 0)</f>
        <v>0</v>
      </c>
      <c r="V129" s="1">
        <v>0</v>
      </c>
      <c r="W129" s="1">
        <f>IF(V129 + W128 &lt; 0, V129 + W128, 0)</f>
        <v>0</v>
      </c>
      <c r="X129" s="1">
        <v>0</v>
      </c>
      <c r="Y129" s="1">
        <f>IF(X129 + Y128 &lt; 0, X129 + Y128, 0)</f>
        <v>0</v>
      </c>
      <c r="Z129" s="1">
        <v>0</v>
      </c>
      <c r="AA129" s="1">
        <f>IF(Z129 + AA128 &lt; 0, Z129 + AA128, 0)</f>
        <v>0</v>
      </c>
      <c r="AB129" s="1">
        <v>0</v>
      </c>
      <c r="AC129" s="1">
        <f>IF(AB129 + AC128 &lt; 0, AB129 + AC128, 0)</f>
        <v>0</v>
      </c>
      <c r="AD129" s="1">
        <v>0</v>
      </c>
      <c r="AE129" s="1">
        <f>IF(AD129 + AE128 &lt; 0, AD129 + AE128, 0)</f>
        <v>0</v>
      </c>
      <c r="AF129" s="1">
        <v>0</v>
      </c>
      <c r="AG129" s="1">
        <f>IF(AF129 + AG128 &lt; 0, AF129 + AG128, 0)</f>
        <v>0</v>
      </c>
      <c r="AH129" s="1">
        <v>0</v>
      </c>
      <c r="AI129" s="1">
        <f>IF(AH129 + AI128 &lt; 0, AH129 + AI128, 0)</f>
        <v>0</v>
      </c>
      <c r="AJ129" s="1">
        <v>0</v>
      </c>
      <c r="AK129" s="1">
        <f>IF(AJ129 + AK128 &lt; 0, AJ129 + AK128, 0)</f>
        <v>0</v>
      </c>
    </row>
    <row r="130" spans="1:37" s="1" customFormat="1">
      <c r="A130" s="3">
        <v>45483</v>
      </c>
      <c r="B130" s="2" t="s">
        <v>24</v>
      </c>
      <c r="C130" s="2">
        <v>15</v>
      </c>
      <c r="D130" s="2">
        <v>14</v>
      </c>
      <c r="E130" s="2">
        <v>13</v>
      </c>
      <c r="F130" s="2">
        <v>2</v>
      </c>
      <c r="G130" s="2">
        <v>3</v>
      </c>
      <c r="H130" s="1">
        <v>0</v>
      </c>
      <c r="I130" s="1">
        <f>IF(H130 + I129 &lt; 0, H130 + I129, 0)</f>
        <v>0</v>
      </c>
      <c r="J130" s="1">
        <v>0</v>
      </c>
      <c r="K130" s="1">
        <f>IF(J130 + K129 &lt; 0, J130 + K129, 0)</f>
        <v>0</v>
      </c>
      <c r="L130" s="1">
        <v>0</v>
      </c>
      <c r="M130" s="1">
        <f>IF(L130 + M129 &lt; 0, L130 + M129, 0)</f>
        <v>0</v>
      </c>
      <c r="N130" s="1">
        <v>0</v>
      </c>
      <c r="O130" s="1">
        <f>IF(N130 + O129 &lt; 0, N130 + O129, 0)</f>
        <v>0</v>
      </c>
      <c r="P130" s="1">
        <v>0</v>
      </c>
      <c r="Q130" s="1">
        <f>IF(P130 + Q129 &lt; 0, P130 + Q129, 0)</f>
        <v>0</v>
      </c>
      <c r="R130" s="1">
        <v>0</v>
      </c>
      <c r="S130" s="1">
        <f>IF(R130 + S129 &lt; 0, R130 + S129, 0)</f>
        <v>0</v>
      </c>
      <c r="T130" s="1">
        <v>0</v>
      </c>
      <c r="U130" s="1">
        <f>IF(T130 + U129 &lt; 0, T130 + U129, 0)</f>
        <v>0</v>
      </c>
      <c r="V130" s="1">
        <v>0</v>
      </c>
      <c r="W130" s="1">
        <f>IF(V130 + W129 &lt; 0, V130 + W129, 0)</f>
        <v>0</v>
      </c>
      <c r="X130" s="1">
        <v>0</v>
      </c>
      <c r="Y130" s="1">
        <f>IF(X130 + Y129 &lt; 0, X130 + Y129, 0)</f>
        <v>0</v>
      </c>
      <c r="Z130" s="1">
        <v>0</v>
      </c>
      <c r="AA130" s="1">
        <f>IF(Z130 + AA129 &lt; 0, Z130 + AA129, 0)</f>
        <v>0</v>
      </c>
      <c r="AB130" s="1">
        <v>0</v>
      </c>
      <c r="AC130" s="1">
        <f>IF(AB130 + AC129 &lt; 0, AB130 + AC129, 0)</f>
        <v>0</v>
      </c>
      <c r="AD130" s="1">
        <v>0</v>
      </c>
      <c r="AE130" s="1">
        <f>IF(AD130 + AE129 &lt; 0, AD130 + AE129, 0)</f>
        <v>0</v>
      </c>
      <c r="AF130" s="1">
        <v>0</v>
      </c>
      <c r="AG130" s="1">
        <f>IF(AF130 + AG129 &lt; 0, AF130 + AG129, 0)</f>
        <v>0</v>
      </c>
      <c r="AH130" s="1">
        <v>0</v>
      </c>
      <c r="AI130" s="1">
        <f>IF(AH130 + AI129 &lt; 0, AH130 + AI129, 0)</f>
        <v>0</v>
      </c>
      <c r="AJ130" s="1">
        <v>0</v>
      </c>
      <c r="AK130" s="1">
        <f>IF(AJ130 + AK129 &lt; 0, AJ130 + AK129, 0)</f>
        <v>0</v>
      </c>
    </row>
    <row r="131" spans="1:37" s="1" customFormat="1">
      <c r="A131" s="3">
        <v>45484</v>
      </c>
      <c r="B131" s="2" t="s">
        <v>25</v>
      </c>
      <c r="C131" s="2">
        <v>14</v>
      </c>
      <c r="D131" s="2">
        <v>13</v>
      </c>
      <c r="E131" s="2">
        <v>12</v>
      </c>
      <c r="F131" s="2">
        <v>1</v>
      </c>
      <c r="G131" s="2">
        <v>2</v>
      </c>
      <c r="H131" s="1">
        <v>0</v>
      </c>
      <c r="I131" s="1">
        <f>IF(H131 + I130 &lt; 0, H131 + I130, 0)</f>
        <v>0</v>
      </c>
      <c r="J131" s="1">
        <v>0</v>
      </c>
      <c r="K131" s="1">
        <f>IF(J131 + K130 &lt; 0, J131 + K130, 0)</f>
        <v>0</v>
      </c>
      <c r="L131" s="1">
        <v>0</v>
      </c>
      <c r="M131" s="1">
        <f>IF(L131 + M130 &lt; 0, L131 + M130, 0)</f>
        <v>0</v>
      </c>
      <c r="N131" s="1">
        <v>0</v>
      </c>
      <c r="O131" s="1">
        <f>IF(N131 + O130 &lt; 0, N131 + O130, 0)</f>
        <v>0</v>
      </c>
      <c r="P131" s="1">
        <v>0</v>
      </c>
      <c r="Q131" s="1">
        <f>IF(P131 + Q130 &lt; 0, P131 + Q130, 0)</f>
        <v>0</v>
      </c>
      <c r="R131" s="1">
        <v>0</v>
      </c>
      <c r="S131" s="1">
        <f>IF(R131 + S130 &lt; 0, R131 + S130, 0)</f>
        <v>0</v>
      </c>
      <c r="T131" s="1">
        <v>0</v>
      </c>
      <c r="U131" s="1">
        <f>IF(T131 + U130 &lt; 0, T131 + U130, 0)</f>
        <v>0</v>
      </c>
      <c r="V131" s="1">
        <v>0</v>
      </c>
      <c r="W131" s="1">
        <f>IF(V131 + W130 &lt; 0, V131 + W130, 0)</f>
        <v>0</v>
      </c>
      <c r="X131" s="1">
        <v>0</v>
      </c>
      <c r="Y131" s="1">
        <f>IF(X131 + Y130 &lt; 0, X131 + Y130, 0)</f>
        <v>0</v>
      </c>
      <c r="Z131" s="1">
        <v>693842.1840829321</v>
      </c>
      <c r="AA131" s="1">
        <f>IF(Z131 + AA130 &lt; 0, Z131 + AA130, 0)</f>
        <v>0</v>
      </c>
      <c r="AB131" s="1">
        <v>533475.0317272859</v>
      </c>
      <c r="AC131" s="1">
        <f>IF(AB131 + AC130 &lt; 0, AB131 + AC130, 0)</f>
        <v>0</v>
      </c>
      <c r="AD131" s="1">
        <v>253123.843730356</v>
      </c>
      <c r="AE131" s="1">
        <f>IF(AD131 + AE130 &lt; 0, AD131 + AE130, 0)</f>
        <v>0</v>
      </c>
      <c r="AF131" s="1">
        <v>0</v>
      </c>
      <c r="AG131" s="1">
        <f>IF(AF131 + AG130 &lt; 0, AF131 + AG130, 0)</f>
        <v>0</v>
      </c>
      <c r="AH131" s="1">
        <v>0</v>
      </c>
      <c r="AI131" s="1">
        <f>IF(AH131 + AI130 &lt; 0, AH131 + AI130, 0)</f>
        <v>0</v>
      </c>
      <c r="AJ131" s="1">
        <v>0</v>
      </c>
      <c r="AK131" s="1">
        <f>IF(AJ131 + AK130 &lt; 0, AJ131 + AK130, 0)</f>
        <v>0</v>
      </c>
    </row>
    <row r="132" spans="1:37" s="1" customFormat="1">
      <c r="A132" s="3">
        <v>45485</v>
      </c>
      <c r="B132" s="2" t="s">
        <v>26</v>
      </c>
      <c r="C132" s="2">
        <v>13</v>
      </c>
      <c r="D132" s="2">
        <v>12</v>
      </c>
      <c r="E132" s="2">
        <v>11</v>
      </c>
      <c r="F132" s="2">
        <v>4</v>
      </c>
      <c r="G132" s="2">
        <v>1</v>
      </c>
      <c r="H132" s="1">
        <v>0</v>
      </c>
      <c r="I132" s="1">
        <f>IF(H132 + I131 &lt; 0, H132 + I131, 0)</f>
        <v>0</v>
      </c>
      <c r="J132" s="1">
        <v>0</v>
      </c>
      <c r="K132" s="1">
        <f>IF(J132 + K131 &lt; 0, J132 + K131, 0)</f>
        <v>0</v>
      </c>
      <c r="L132" s="1">
        <v>0</v>
      </c>
      <c r="M132" s="1">
        <f>IF(L132 + M131 &lt; 0, L132 + M131, 0)</f>
        <v>0</v>
      </c>
      <c r="N132" s="1">
        <v>0</v>
      </c>
      <c r="O132" s="1">
        <f>IF(N132 + O131 &lt; 0, N132 + O131, 0)</f>
        <v>0</v>
      </c>
      <c r="P132" s="1">
        <v>0</v>
      </c>
      <c r="Q132" s="1">
        <f>IF(P132 + Q131 &lt; 0, P132 + Q131, 0)</f>
        <v>0</v>
      </c>
      <c r="R132" s="1">
        <v>0</v>
      </c>
      <c r="S132" s="1">
        <f>IF(R132 + S131 &lt; 0, R132 + S131, 0)</f>
        <v>0</v>
      </c>
      <c r="T132" s="1">
        <v>0</v>
      </c>
      <c r="U132" s="1">
        <f>IF(T132 + U131 &lt; 0, T132 + U131, 0)</f>
        <v>0</v>
      </c>
      <c r="V132" s="1">
        <v>0</v>
      </c>
      <c r="W132" s="1">
        <f>IF(V132 + W131 &lt; 0, V132 + W131, 0)</f>
        <v>0</v>
      </c>
      <c r="X132" s="1">
        <v>0</v>
      </c>
      <c r="Y132" s="1">
        <f>IF(X132 + Y131 &lt; 0, X132 + Y131, 0)</f>
        <v>0</v>
      </c>
      <c r="Z132" s="1">
        <v>0</v>
      </c>
      <c r="AA132" s="1">
        <f>IF(Z132 + AA131 &lt; 0, Z132 + AA131, 0)</f>
        <v>0</v>
      </c>
      <c r="AB132" s="1">
        <v>0</v>
      </c>
      <c r="AC132" s="1">
        <f>IF(AB132 + AC131 &lt; 0, AB132 + AC131, 0)</f>
        <v>0</v>
      </c>
      <c r="AD132" s="1">
        <v>0</v>
      </c>
      <c r="AE132" s="1">
        <f>IF(AD132 + AE131 &lt; 0, AD132 + AE131, 0)</f>
        <v>0</v>
      </c>
      <c r="AF132" s="1">
        <v>610719.568555103</v>
      </c>
      <c r="AG132" s="1">
        <f>IF(AF132 + AG131 &lt; 0, AF132 + AG131, 0)</f>
        <v>0</v>
      </c>
      <c r="AH132" s="1">
        <v>-248298.7303074209</v>
      </c>
      <c r="AI132" s="1">
        <f>IF(AH132 + AI131 &lt; 0, AH132 + AI131, 0)</f>
        <v>0</v>
      </c>
      <c r="AJ132" s="1">
        <v>2400.643632502549</v>
      </c>
      <c r="AK132" s="1">
        <f>IF(AJ132 + AK131 &lt; 0, AJ132 + AK131, 0)</f>
        <v>0</v>
      </c>
    </row>
    <row r="133" spans="1:37" s="1" customFormat="1">
      <c r="A133" s="3">
        <v>45488</v>
      </c>
      <c r="B133" s="2" t="s">
        <v>22</v>
      </c>
      <c r="C133" s="2">
        <v>12</v>
      </c>
      <c r="D133" s="2">
        <v>11</v>
      </c>
      <c r="E133" s="2">
        <v>10</v>
      </c>
      <c r="F133" s="2">
        <v>3</v>
      </c>
      <c r="G133" s="2">
        <v>4</v>
      </c>
      <c r="H133" s="1">
        <v>0</v>
      </c>
      <c r="I133" s="1">
        <f>IF(H133 + I132 &lt; 0, H133 + I132, 0)</f>
        <v>0</v>
      </c>
      <c r="J133" s="1">
        <v>0</v>
      </c>
      <c r="K133" s="1">
        <f>IF(J133 + K132 &lt; 0, J133 + K132, 0)</f>
        <v>0</v>
      </c>
      <c r="L133" s="1">
        <v>0</v>
      </c>
      <c r="M133" s="1">
        <f>IF(L133 + M132 &lt; 0, L133 + M132, 0)</f>
        <v>0</v>
      </c>
      <c r="N133" s="1">
        <v>0</v>
      </c>
      <c r="O133" s="1">
        <f>IF(N133 + O132 &lt; 0, N133 + O132, 0)</f>
        <v>0</v>
      </c>
      <c r="P133" s="1">
        <v>0</v>
      </c>
      <c r="Q133" s="1">
        <f>IF(P133 + Q132 &lt; 0, P133 + Q132, 0)</f>
        <v>0</v>
      </c>
      <c r="R133" s="1">
        <v>0</v>
      </c>
      <c r="S133" s="1">
        <f>IF(R133 + S132 &lt; 0, R133 + S132, 0)</f>
        <v>0</v>
      </c>
      <c r="T133" s="1">
        <v>0</v>
      </c>
      <c r="U133" s="1">
        <f>IF(T133 + U132 &lt; 0, T133 + U132, 0)</f>
        <v>0</v>
      </c>
      <c r="V133" s="1">
        <v>0</v>
      </c>
      <c r="W133" s="1">
        <f>IF(V133 + W132 &lt; 0, V133 + W132, 0)</f>
        <v>0</v>
      </c>
      <c r="X133" s="1">
        <v>0</v>
      </c>
      <c r="Y133" s="1">
        <f>IF(X133 + Y132 &lt; 0, X133 + Y132, 0)</f>
        <v>0</v>
      </c>
      <c r="Z133" s="1">
        <v>0</v>
      </c>
      <c r="AA133" s="1">
        <f>IF(Z133 + AA132 &lt; 0, Z133 + AA132, 0)</f>
        <v>0</v>
      </c>
      <c r="AB133" s="1">
        <v>0</v>
      </c>
      <c r="AC133" s="1">
        <f>IF(AB133 + AC132 &lt; 0, AB133 + AC132, 0)</f>
        <v>0</v>
      </c>
      <c r="AD133" s="1">
        <v>0</v>
      </c>
      <c r="AE133" s="1">
        <f>IF(AD133 + AE132 &lt; 0, AD133 + AE132, 0)</f>
        <v>0</v>
      </c>
      <c r="AF133" s="1">
        <v>0</v>
      </c>
      <c r="AG133" s="1">
        <f>IF(AF133 + AG132 &lt; 0, AF133 + AG132, 0)</f>
        <v>0</v>
      </c>
      <c r="AH133" s="1">
        <v>0</v>
      </c>
      <c r="AI133" s="1">
        <f>IF(AH133 + AI132 &lt; 0, AH133 + AI132, 0)</f>
        <v>0</v>
      </c>
      <c r="AJ133" s="1">
        <v>0</v>
      </c>
      <c r="AK133" s="1">
        <f>IF(AJ133 + AK132 &lt; 0, AJ133 + AK132, 0)</f>
        <v>0</v>
      </c>
    </row>
    <row r="134" spans="1:37" s="1" customFormat="1">
      <c r="A134" s="3">
        <v>45489</v>
      </c>
      <c r="B134" s="2" t="s">
        <v>23</v>
      </c>
      <c r="C134" s="2">
        <v>11</v>
      </c>
      <c r="D134" s="2">
        <v>10</v>
      </c>
      <c r="E134" s="2">
        <v>9</v>
      </c>
      <c r="F134" s="2">
        <v>2</v>
      </c>
      <c r="G134" s="2">
        <v>3</v>
      </c>
      <c r="H134" s="1">
        <v>0</v>
      </c>
      <c r="I134" s="1">
        <f>IF(H134 + I133 &lt; 0, H134 + I133, 0)</f>
        <v>0</v>
      </c>
      <c r="J134" s="1">
        <v>0</v>
      </c>
      <c r="K134" s="1">
        <f>IF(J134 + K133 &lt; 0, J134 + K133, 0)</f>
        <v>0</v>
      </c>
      <c r="L134" s="1">
        <v>0</v>
      </c>
      <c r="M134" s="1">
        <f>IF(L134 + M133 &lt; 0, L134 + M133, 0)</f>
        <v>0</v>
      </c>
      <c r="N134" s="1">
        <v>0</v>
      </c>
      <c r="O134" s="1">
        <f>IF(N134 + O133 &lt; 0, N134 + O133, 0)</f>
        <v>0</v>
      </c>
      <c r="P134" s="1">
        <v>0</v>
      </c>
      <c r="Q134" s="1">
        <f>IF(P134 + Q133 &lt; 0, P134 + Q133, 0)</f>
        <v>0</v>
      </c>
      <c r="R134" s="1">
        <v>0</v>
      </c>
      <c r="S134" s="1">
        <f>IF(R134 + S133 &lt; 0, R134 + S133, 0)</f>
        <v>0</v>
      </c>
      <c r="T134" s="1">
        <v>0</v>
      </c>
      <c r="U134" s="1">
        <f>IF(T134 + U133 &lt; 0, T134 + U133, 0)</f>
        <v>0</v>
      </c>
      <c r="V134" s="1">
        <v>0</v>
      </c>
      <c r="W134" s="1">
        <f>IF(V134 + W133 &lt; 0, V134 + W133, 0)</f>
        <v>0</v>
      </c>
      <c r="X134" s="1">
        <v>0</v>
      </c>
      <c r="Y134" s="1">
        <f>IF(X134 + Y133 &lt; 0, X134 + Y133, 0)</f>
        <v>0</v>
      </c>
      <c r="Z134" s="1">
        <v>0</v>
      </c>
      <c r="AA134" s="1">
        <f>IF(Z134 + AA133 &lt; 0, Z134 + AA133, 0)</f>
        <v>0</v>
      </c>
      <c r="AB134" s="1">
        <v>0</v>
      </c>
      <c r="AC134" s="1">
        <f>IF(AB134 + AC133 &lt; 0, AB134 + AC133, 0)</f>
        <v>0</v>
      </c>
      <c r="AD134" s="1">
        <v>0</v>
      </c>
      <c r="AE134" s="1">
        <f>IF(AD134 + AE133 &lt; 0, AD134 + AE133, 0)</f>
        <v>0</v>
      </c>
      <c r="AF134" s="1">
        <v>0</v>
      </c>
      <c r="AG134" s="1">
        <f>IF(AF134 + AG133 &lt; 0, AF134 + AG133, 0)</f>
        <v>0</v>
      </c>
      <c r="AH134" s="1">
        <v>0</v>
      </c>
      <c r="AI134" s="1">
        <f>IF(AH134 + AI133 &lt; 0, AH134 + AI133, 0)</f>
        <v>0</v>
      </c>
      <c r="AJ134" s="1">
        <v>0</v>
      </c>
      <c r="AK134" s="1">
        <f>IF(AJ134 + AK133 &lt; 0, AJ134 + AK133, 0)</f>
        <v>0</v>
      </c>
    </row>
    <row r="135" spans="1:37" s="1" customFormat="1">
      <c r="A135" s="3">
        <v>45491</v>
      </c>
      <c r="B135" s="2" t="s">
        <v>25</v>
      </c>
      <c r="C135" s="2">
        <v>10</v>
      </c>
      <c r="D135" s="2">
        <v>9</v>
      </c>
      <c r="E135" s="2">
        <v>8</v>
      </c>
      <c r="F135" s="2">
        <v>1</v>
      </c>
      <c r="G135" s="2">
        <v>2</v>
      </c>
      <c r="H135" s="1">
        <v>0</v>
      </c>
      <c r="I135" s="1">
        <f>IF(H135 + I134 &lt; 0, H135 + I134, 0)</f>
        <v>0</v>
      </c>
      <c r="J135" s="1">
        <v>0</v>
      </c>
      <c r="K135" s="1">
        <f>IF(J135 + K134 &lt; 0, J135 + K134, 0)</f>
        <v>0</v>
      </c>
      <c r="L135" s="1">
        <v>0</v>
      </c>
      <c r="M135" s="1">
        <f>IF(L135 + M134 &lt; 0, L135 + M134, 0)</f>
        <v>0</v>
      </c>
      <c r="N135" s="1">
        <v>0</v>
      </c>
      <c r="O135" s="1">
        <f>IF(N135 + O134 &lt; 0, N135 + O134, 0)</f>
        <v>0</v>
      </c>
      <c r="P135" s="1">
        <v>0</v>
      </c>
      <c r="Q135" s="1">
        <f>IF(P135 + Q134 &lt; 0, P135 + Q134, 0)</f>
        <v>0</v>
      </c>
      <c r="R135" s="1">
        <v>0</v>
      </c>
      <c r="S135" s="1">
        <f>IF(R135 + S134 &lt; 0, R135 + S134, 0)</f>
        <v>0</v>
      </c>
      <c r="T135" s="1">
        <v>0</v>
      </c>
      <c r="U135" s="1">
        <f>IF(T135 + U134 &lt; 0, T135 + U134, 0)</f>
        <v>0</v>
      </c>
      <c r="V135" s="1">
        <v>0</v>
      </c>
      <c r="W135" s="1">
        <f>IF(V135 + W134 &lt; 0, V135 + W134, 0)</f>
        <v>0</v>
      </c>
      <c r="X135" s="1">
        <v>0</v>
      </c>
      <c r="Y135" s="1">
        <f>IF(X135 + Y134 &lt; 0, X135 + Y134, 0)</f>
        <v>0</v>
      </c>
      <c r="Z135" s="1">
        <v>141546.7319243216</v>
      </c>
      <c r="AA135" s="1">
        <f>IF(Z135 + AA134 &lt; 0, Z135 + AA134, 0)</f>
        <v>0</v>
      </c>
      <c r="AB135" s="1">
        <v>141546.7319243216</v>
      </c>
      <c r="AC135" s="1">
        <f>IF(AB135 + AC134 &lt; 0, AB135 + AC134, 0)</f>
        <v>0</v>
      </c>
      <c r="AD135" s="1">
        <v>176412.126043271</v>
      </c>
      <c r="AE135" s="1">
        <f>IF(AD135 + AE134 &lt; 0, AD135 + AE134, 0)</f>
        <v>0</v>
      </c>
      <c r="AF135" s="1">
        <v>0</v>
      </c>
      <c r="AG135" s="1">
        <f>IF(AF135 + AG134 &lt; 0, AF135 + AG134, 0)</f>
        <v>0</v>
      </c>
      <c r="AH135" s="1">
        <v>0</v>
      </c>
      <c r="AI135" s="1">
        <f>IF(AH135 + AI134 &lt; 0, AH135 + AI134, 0)</f>
        <v>0</v>
      </c>
      <c r="AJ135" s="1">
        <v>0</v>
      </c>
      <c r="AK135" s="1">
        <f>IF(AJ135 + AK134 &lt; 0, AJ135 + AK134, 0)</f>
        <v>0</v>
      </c>
    </row>
    <row r="136" spans="1:37" s="1" customFormat="1">
      <c r="A136" s="3">
        <v>45492</v>
      </c>
      <c r="B136" s="2" t="s">
        <v>26</v>
      </c>
      <c r="C136" s="2">
        <v>9</v>
      </c>
      <c r="D136" s="2">
        <v>8</v>
      </c>
      <c r="E136" s="2">
        <v>7</v>
      </c>
      <c r="F136" s="2">
        <v>5</v>
      </c>
      <c r="G136" s="2">
        <v>1</v>
      </c>
      <c r="H136" s="1">
        <v>0</v>
      </c>
      <c r="I136" s="1">
        <f>IF(H136 + I135 &lt; 0, H136 + I135, 0)</f>
        <v>0</v>
      </c>
      <c r="J136" s="1">
        <v>0</v>
      </c>
      <c r="K136" s="1">
        <f>IF(J136 + K135 &lt; 0, J136 + K135, 0)</f>
        <v>0</v>
      </c>
      <c r="L136" s="1">
        <v>0</v>
      </c>
      <c r="M136" s="1">
        <f>IF(L136 + M135 &lt; 0, L136 + M135, 0)</f>
        <v>0</v>
      </c>
      <c r="N136" s="1">
        <v>0</v>
      </c>
      <c r="O136" s="1">
        <f>IF(N136 + O135 &lt; 0, N136 + O135, 0)</f>
        <v>0</v>
      </c>
      <c r="P136" s="1">
        <v>0</v>
      </c>
      <c r="Q136" s="1">
        <f>IF(P136 + Q135 &lt; 0, P136 + Q135, 0)</f>
        <v>0</v>
      </c>
      <c r="R136" s="1">
        <v>0</v>
      </c>
      <c r="S136" s="1">
        <f>IF(R136 + S135 &lt; 0, R136 + S135, 0)</f>
        <v>0</v>
      </c>
      <c r="T136" s="1">
        <v>0</v>
      </c>
      <c r="U136" s="1">
        <f>IF(T136 + U135 &lt; 0, T136 + U135, 0)</f>
        <v>0</v>
      </c>
      <c r="V136" s="1">
        <v>0</v>
      </c>
      <c r="W136" s="1">
        <f>IF(V136 + W135 &lt; 0, V136 + W135, 0)</f>
        <v>0</v>
      </c>
      <c r="X136" s="1">
        <v>0</v>
      </c>
      <c r="Y136" s="1">
        <f>IF(X136 + Y135 &lt; 0, X136 + Y135, 0)</f>
        <v>0</v>
      </c>
      <c r="Z136" s="1">
        <v>0</v>
      </c>
      <c r="AA136" s="1">
        <f>IF(Z136 + AA135 &lt; 0, Z136 + AA135, 0)</f>
        <v>0</v>
      </c>
      <c r="AB136" s="1">
        <v>0</v>
      </c>
      <c r="AC136" s="1">
        <f>IF(AB136 + AC135 &lt; 0, AB136 + AC135, 0)</f>
        <v>0</v>
      </c>
      <c r="AD136" s="1">
        <v>0</v>
      </c>
      <c r="AE136" s="1">
        <f>IF(AD136 + AE135 &lt; 0, AD136 + AE135, 0)</f>
        <v>0</v>
      </c>
      <c r="AF136" s="1">
        <v>415428.9222844638</v>
      </c>
      <c r="AG136" s="1">
        <f>IF(AF136 + AG135 &lt; 0, AF136 + AG135, 0)</f>
        <v>0</v>
      </c>
      <c r="AH136" s="1">
        <v>415428.9222844638</v>
      </c>
      <c r="AI136" s="1">
        <f>IF(AH136 + AI135 &lt; 0, AH136 + AI135, 0)</f>
        <v>0</v>
      </c>
      <c r="AJ136" s="1">
        <v>415059.7233793942</v>
      </c>
      <c r="AK136" s="1">
        <f>IF(AJ136 + AK135 &lt; 0, AJ136 + AK135, 0)</f>
        <v>0</v>
      </c>
    </row>
    <row r="137" spans="1:37" s="1" customFormat="1">
      <c r="A137" s="3">
        <v>45495</v>
      </c>
      <c r="B137" s="2" t="s">
        <v>22</v>
      </c>
      <c r="C137" s="2">
        <v>8</v>
      </c>
      <c r="D137" s="2">
        <v>7</v>
      </c>
      <c r="E137" s="2">
        <v>6</v>
      </c>
      <c r="F137" s="2">
        <v>4</v>
      </c>
      <c r="G137" s="2">
        <v>5</v>
      </c>
      <c r="H137" s="1">
        <v>0</v>
      </c>
      <c r="I137" s="1">
        <f>IF(H137 + I136 &lt; 0, H137 + I136, 0)</f>
        <v>0</v>
      </c>
      <c r="J137" s="1">
        <v>0</v>
      </c>
      <c r="K137" s="1">
        <f>IF(J137 + K136 &lt; 0, J137 + K136, 0)</f>
        <v>0</v>
      </c>
      <c r="L137" s="1">
        <v>0</v>
      </c>
      <c r="M137" s="1">
        <f>IF(L137 + M136 &lt; 0, L137 + M136, 0)</f>
        <v>0</v>
      </c>
      <c r="N137" s="1">
        <v>0</v>
      </c>
      <c r="O137" s="1">
        <f>IF(N137 + O136 &lt; 0, N137 + O136, 0)</f>
        <v>0</v>
      </c>
      <c r="P137" s="1">
        <v>0</v>
      </c>
      <c r="Q137" s="1">
        <f>IF(P137 + Q136 &lt; 0, P137 + Q136, 0)</f>
        <v>0</v>
      </c>
      <c r="R137" s="1">
        <v>0</v>
      </c>
      <c r="S137" s="1">
        <f>IF(R137 + S136 &lt; 0, R137 + S136, 0)</f>
        <v>0</v>
      </c>
      <c r="T137" s="1">
        <v>0</v>
      </c>
      <c r="U137" s="1">
        <f>IF(T137 + U136 &lt; 0, T137 + U136, 0)</f>
        <v>0</v>
      </c>
      <c r="V137" s="1">
        <v>0</v>
      </c>
      <c r="W137" s="1">
        <f>IF(V137 + W136 &lt; 0, V137 + W136, 0)</f>
        <v>0</v>
      </c>
      <c r="X137" s="1">
        <v>0</v>
      </c>
      <c r="Y137" s="1">
        <f>IF(X137 + Y136 &lt; 0, X137 + Y136, 0)</f>
        <v>0</v>
      </c>
      <c r="Z137" s="1">
        <v>0</v>
      </c>
      <c r="AA137" s="1">
        <f>IF(Z137 + AA136 &lt; 0, Z137 + AA136, 0)</f>
        <v>0</v>
      </c>
      <c r="AB137" s="1">
        <v>0</v>
      </c>
      <c r="AC137" s="1">
        <f>IF(AB137 + AC136 &lt; 0, AB137 + AC136, 0)</f>
        <v>0</v>
      </c>
      <c r="AD137" s="1">
        <v>0</v>
      </c>
      <c r="AE137" s="1">
        <f>IF(AD137 + AE136 &lt; 0, AD137 + AE136, 0)</f>
        <v>0</v>
      </c>
      <c r="AF137" s="1">
        <v>0</v>
      </c>
      <c r="AG137" s="1">
        <f>IF(AF137 + AG136 &lt; 0, AF137 + AG136, 0)</f>
        <v>0</v>
      </c>
      <c r="AH137" s="1">
        <v>0</v>
      </c>
      <c r="AI137" s="1">
        <f>IF(AH137 + AI136 &lt; 0, AH137 + AI136, 0)</f>
        <v>0</v>
      </c>
      <c r="AJ137" s="1">
        <v>0</v>
      </c>
      <c r="AK137" s="1">
        <f>IF(AJ137 + AK136 &lt; 0, AJ137 + AK136, 0)</f>
        <v>0</v>
      </c>
    </row>
    <row r="138" spans="1:37" s="1" customFormat="1">
      <c r="A138" s="3">
        <v>45496</v>
      </c>
      <c r="B138" s="2" t="s">
        <v>23</v>
      </c>
      <c r="C138" s="2">
        <v>7</v>
      </c>
      <c r="D138" s="2">
        <v>6</v>
      </c>
      <c r="E138" s="2">
        <v>5</v>
      </c>
      <c r="F138" s="2">
        <v>3</v>
      </c>
      <c r="G138" s="2">
        <v>4</v>
      </c>
      <c r="H138" s="1">
        <v>0</v>
      </c>
      <c r="I138" s="1">
        <f>IF(H138 + I137 &lt; 0, H138 + I137, 0)</f>
        <v>0</v>
      </c>
      <c r="J138" s="1">
        <v>0</v>
      </c>
      <c r="K138" s="1">
        <f>IF(J138 + K137 &lt; 0, J138 + K137, 0)</f>
        <v>0</v>
      </c>
      <c r="L138" s="1">
        <v>0</v>
      </c>
      <c r="M138" s="1">
        <f>IF(L138 + M137 &lt; 0, L138 + M137, 0)</f>
        <v>0</v>
      </c>
      <c r="N138" s="1">
        <v>0</v>
      </c>
      <c r="O138" s="1">
        <f>IF(N138 + O137 &lt; 0, N138 + O137, 0)</f>
        <v>0</v>
      </c>
      <c r="P138" s="1">
        <v>0</v>
      </c>
      <c r="Q138" s="1">
        <f>IF(P138 + Q137 &lt; 0, P138 + Q137, 0)</f>
        <v>0</v>
      </c>
      <c r="R138" s="1">
        <v>0</v>
      </c>
      <c r="S138" s="1">
        <f>IF(R138 + S137 &lt; 0, R138 + S137, 0)</f>
        <v>0</v>
      </c>
      <c r="T138" s="1">
        <v>0</v>
      </c>
      <c r="U138" s="1">
        <f>IF(T138 + U137 &lt; 0, T138 + U137, 0)</f>
        <v>0</v>
      </c>
      <c r="V138" s="1">
        <v>0</v>
      </c>
      <c r="W138" s="1">
        <f>IF(V138 + W137 &lt; 0, V138 + W137, 0)</f>
        <v>0</v>
      </c>
      <c r="X138" s="1">
        <v>0</v>
      </c>
      <c r="Y138" s="1">
        <f>IF(X138 + Y137 &lt; 0, X138 + Y137, 0)</f>
        <v>0</v>
      </c>
      <c r="Z138" s="1">
        <v>0</v>
      </c>
      <c r="AA138" s="1">
        <f>IF(Z138 + AA137 &lt; 0, Z138 + AA137, 0)</f>
        <v>0</v>
      </c>
      <c r="AB138" s="1">
        <v>0</v>
      </c>
      <c r="AC138" s="1">
        <f>IF(AB138 + AC137 &lt; 0, AB138 + AC137, 0)</f>
        <v>0</v>
      </c>
      <c r="AD138" s="1">
        <v>0</v>
      </c>
      <c r="AE138" s="1">
        <f>IF(AD138 + AE137 &lt; 0, AD138 + AE137, 0)</f>
        <v>0</v>
      </c>
      <c r="AF138" s="1">
        <v>0</v>
      </c>
      <c r="AG138" s="1">
        <f>IF(AF138 + AG137 &lt; 0, AF138 + AG137, 0)</f>
        <v>0</v>
      </c>
      <c r="AH138" s="1">
        <v>0</v>
      </c>
      <c r="AI138" s="1">
        <f>IF(AH138 + AI137 &lt; 0, AH138 + AI137, 0)</f>
        <v>0</v>
      </c>
      <c r="AJ138" s="1">
        <v>0</v>
      </c>
      <c r="AK138" s="1">
        <f>IF(AJ138 + AK137 &lt; 0, AJ138 + AK137, 0)</f>
        <v>0</v>
      </c>
    </row>
    <row r="139" spans="1:37" s="1" customFormat="1">
      <c r="A139" s="3">
        <v>45497</v>
      </c>
      <c r="B139" s="2" t="s">
        <v>24</v>
      </c>
      <c r="C139" s="2">
        <v>6</v>
      </c>
      <c r="D139" s="2">
        <v>5</v>
      </c>
      <c r="E139" s="2">
        <v>4</v>
      </c>
      <c r="F139" s="2">
        <v>2</v>
      </c>
      <c r="G139" s="2">
        <v>3</v>
      </c>
      <c r="H139" s="1">
        <v>0</v>
      </c>
      <c r="I139" s="1">
        <f>IF(H139 + I138 &lt; 0, H139 + I138, 0)</f>
        <v>0</v>
      </c>
      <c r="J139" s="1">
        <v>0</v>
      </c>
      <c r="K139" s="1">
        <f>IF(J139 + K138 &lt; 0, J139 + K138, 0)</f>
        <v>0</v>
      </c>
      <c r="L139" s="1">
        <v>0</v>
      </c>
      <c r="M139" s="1">
        <f>IF(L139 + M138 &lt; 0, L139 + M138, 0)</f>
        <v>0</v>
      </c>
      <c r="N139" s="1">
        <v>0</v>
      </c>
      <c r="O139" s="1">
        <f>IF(N139 + O138 &lt; 0, N139 + O138, 0)</f>
        <v>0</v>
      </c>
      <c r="P139" s="1">
        <v>0</v>
      </c>
      <c r="Q139" s="1">
        <f>IF(P139 + Q138 &lt; 0, P139 + Q138, 0)</f>
        <v>0</v>
      </c>
      <c r="R139" s="1">
        <v>0</v>
      </c>
      <c r="S139" s="1">
        <f>IF(R139 + S138 &lt; 0, R139 + S138, 0)</f>
        <v>0</v>
      </c>
      <c r="T139" s="1">
        <v>0</v>
      </c>
      <c r="U139" s="1">
        <f>IF(T139 + U138 &lt; 0, T139 + U138, 0)</f>
        <v>0</v>
      </c>
      <c r="V139" s="1">
        <v>0</v>
      </c>
      <c r="W139" s="1">
        <f>IF(V139 + W138 &lt; 0, V139 + W138, 0)</f>
        <v>0</v>
      </c>
      <c r="X139" s="1">
        <v>0</v>
      </c>
      <c r="Y139" s="1">
        <f>IF(X139 + Y138 &lt; 0, X139 + Y138, 0)</f>
        <v>0</v>
      </c>
      <c r="Z139" s="1">
        <v>0</v>
      </c>
      <c r="AA139" s="1">
        <f>IF(Z139 + AA138 &lt; 0, Z139 + AA138, 0)</f>
        <v>0</v>
      </c>
      <c r="AB139" s="1">
        <v>0</v>
      </c>
      <c r="AC139" s="1">
        <f>IF(AB139 + AC138 &lt; 0, AB139 + AC138, 0)</f>
        <v>0</v>
      </c>
      <c r="AD139" s="1">
        <v>0</v>
      </c>
      <c r="AE139" s="1">
        <f>IF(AD139 + AE138 &lt; 0, AD139 + AE138, 0)</f>
        <v>0</v>
      </c>
      <c r="AF139" s="1">
        <v>0</v>
      </c>
      <c r="AG139" s="1">
        <f>IF(AF139 + AG138 &lt; 0, AF139 + AG138, 0)</f>
        <v>0</v>
      </c>
      <c r="AH139" s="1">
        <v>0</v>
      </c>
      <c r="AI139" s="1">
        <f>IF(AH139 + AI138 &lt; 0, AH139 + AI138, 0)</f>
        <v>0</v>
      </c>
      <c r="AJ139" s="1">
        <v>0</v>
      </c>
      <c r="AK139" s="1">
        <f>IF(AJ139 + AK138 &lt; 0, AJ139 + AK138, 0)</f>
        <v>0</v>
      </c>
    </row>
    <row r="140" spans="1:37" s="1" customFormat="1">
      <c r="A140" s="3">
        <v>45498</v>
      </c>
      <c r="B140" s="2" t="s">
        <v>25</v>
      </c>
      <c r="C140" s="2">
        <v>5</v>
      </c>
      <c r="D140" s="2">
        <v>4</v>
      </c>
      <c r="E140" s="2">
        <v>3</v>
      </c>
      <c r="F140" s="2">
        <v>1</v>
      </c>
      <c r="G140" s="2">
        <v>2</v>
      </c>
      <c r="H140" s="1">
        <v>0</v>
      </c>
      <c r="I140" s="1">
        <f>IF(H140 + I139 &lt; 0, H140 + I139, 0)</f>
        <v>0</v>
      </c>
      <c r="J140" s="1">
        <v>0</v>
      </c>
      <c r="K140" s="1">
        <f>IF(J140 + K139 &lt; 0, J140 + K139, 0)</f>
        <v>0</v>
      </c>
      <c r="L140" s="1">
        <v>0</v>
      </c>
      <c r="M140" s="1">
        <f>IF(L140 + M139 &lt; 0, L140 + M139, 0)</f>
        <v>0</v>
      </c>
      <c r="N140" s="1">
        <v>0</v>
      </c>
      <c r="O140" s="1">
        <f>IF(N140 + O139 &lt; 0, N140 + O139, 0)</f>
        <v>0</v>
      </c>
      <c r="P140" s="1">
        <v>0</v>
      </c>
      <c r="Q140" s="1">
        <f>IF(P140 + Q139 &lt; 0, P140 + Q139, 0)</f>
        <v>0</v>
      </c>
      <c r="R140" s="1">
        <v>0</v>
      </c>
      <c r="S140" s="1">
        <f>IF(R140 + S139 &lt; 0, R140 + S139, 0)</f>
        <v>0</v>
      </c>
      <c r="T140" s="1">
        <v>0</v>
      </c>
      <c r="U140" s="1">
        <f>IF(T140 + U139 &lt; 0, T140 + U139, 0)</f>
        <v>0</v>
      </c>
      <c r="V140" s="1">
        <v>0</v>
      </c>
      <c r="W140" s="1">
        <f>IF(V140 + W139 &lt; 0, V140 + W139, 0)</f>
        <v>0</v>
      </c>
      <c r="X140" s="1">
        <v>0</v>
      </c>
      <c r="Y140" s="1">
        <f>IF(X140 + Y139 &lt; 0, X140 + Y139, 0)</f>
        <v>0</v>
      </c>
      <c r="Z140" s="1">
        <v>329428.360631266</v>
      </c>
      <c r="AA140" s="1">
        <f>IF(Z140 + AA139 &lt; 0, Z140 + AA139, 0)</f>
        <v>0</v>
      </c>
      <c r="AB140" s="1">
        <v>-299536.2863675514</v>
      </c>
      <c r="AC140" s="1">
        <f>IF(AB140 + AC139 &lt; 0, AB140 + AC139, 0)</f>
        <v>0</v>
      </c>
      <c r="AD140" s="1">
        <v>286209.9527264355</v>
      </c>
      <c r="AE140" s="1">
        <f>IF(AD140 + AE139 &lt; 0, AD140 + AE139, 0)</f>
        <v>0</v>
      </c>
      <c r="AF140" s="1">
        <v>0</v>
      </c>
      <c r="AG140" s="1">
        <f>IF(AF140 + AG139 &lt; 0, AF140 + AG139, 0)</f>
        <v>0</v>
      </c>
      <c r="AH140" s="1">
        <v>0</v>
      </c>
      <c r="AI140" s="1">
        <f>IF(AH140 + AI139 &lt; 0, AH140 + AI139, 0)</f>
        <v>0</v>
      </c>
      <c r="AJ140" s="1">
        <v>0</v>
      </c>
      <c r="AK140" s="1">
        <f>IF(AJ140 + AK139 &lt; 0, AJ140 + AK139, 0)</f>
        <v>0</v>
      </c>
    </row>
    <row r="141" spans="1:37" s="1" customFormat="1">
      <c r="A141" s="3">
        <v>45499</v>
      </c>
      <c r="B141" s="2" t="s">
        <v>26</v>
      </c>
      <c r="C141" s="2">
        <v>4</v>
      </c>
      <c r="D141" s="2">
        <v>3</v>
      </c>
      <c r="E141" s="2">
        <v>2</v>
      </c>
      <c r="F141" s="2">
        <v>5</v>
      </c>
      <c r="G141" s="2">
        <v>1</v>
      </c>
      <c r="H141" s="1">
        <v>0</v>
      </c>
      <c r="I141" s="1">
        <f>IF(H141 + I140 &lt; 0, H141 + I140, 0)</f>
        <v>0</v>
      </c>
      <c r="J141" s="1">
        <v>0</v>
      </c>
      <c r="K141" s="1">
        <f>IF(J141 + K140 &lt; 0, J141 + K140, 0)</f>
        <v>0</v>
      </c>
      <c r="L141" s="1">
        <v>0</v>
      </c>
      <c r="M141" s="1">
        <f>IF(L141 + M140 &lt; 0, L141 + M140, 0)</f>
        <v>0</v>
      </c>
      <c r="N141" s="1">
        <v>0</v>
      </c>
      <c r="O141" s="1">
        <f>IF(N141 + O140 &lt; 0, N141 + O140, 0)</f>
        <v>0</v>
      </c>
      <c r="P141" s="1">
        <v>0</v>
      </c>
      <c r="Q141" s="1">
        <f>IF(P141 + Q140 &lt; 0, P141 + Q140, 0)</f>
        <v>0</v>
      </c>
      <c r="R141" s="1">
        <v>0</v>
      </c>
      <c r="S141" s="1">
        <f>IF(R141 + S140 &lt; 0, R141 + S140, 0)</f>
        <v>0</v>
      </c>
      <c r="T141" s="1">
        <v>0</v>
      </c>
      <c r="U141" s="1">
        <f>IF(T141 + U140 &lt; 0, T141 + U140, 0)</f>
        <v>0</v>
      </c>
      <c r="V141" s="1">
        <v>0</v>
      </c>
      <c r="W141" s="1">
        <f>IF(V141 + W140 &lt; 0, V141 + W140, 0)</f>
        <v>0</v>
      </c>
      <c r="X141" s="1">
        <v>0</v>
      </c>
      <c r="Y141" s="1">
        <f>IF(X141 + Y140 &lt; 0, X141 + Y140, 0)</f>
        <v>0</v>
      </c>
      <c r="Z141" s="1">
        <v>0</v>
      </c>
      <c r="AA141" s="1">
        <f>IF(Z141 + AA140 &lt; 0, Z141 + AA140, 0)</f>
        <v>0</v>
      </c>
      <c r="AB141" s="1">
        <v>0</v>
      </c>
      <c r="AC141" s="1">
        <f>IF(AB141 + AC140 &lt; 0, AB141 + AC140, 0)</f>
        <v>0</v>
      </c>
      <c r="AD141" s="1">
        <v>0</v>
      </c>
      <c r="AE141" s="1">
        <f>IF(AD141 + AE140 &lt; 0, AD141 + AE140, 0)</f>
        <v>0</v>
      </c>
      <c r="AF141" s="1">
        <v>1045941.438258008</v>
      </c>
      <c r="AG141" s="1">
        <f>IF(AF141 + AG140 &lt; 0, AF141 + AG140, 0)</f>
        <v>0</v>
      </c>
      <c r="AH141" s="1">
        <v>453285.6300107883</v>
      </c>
      <c r="AI141" s="1">
        <f>IF(AH141 + AI140 &lt; 0, AH141 + AI140, 0)</f>
        <v>0</v>
      </c>
      <c r="AJ141" s="1">
        <v>16525.54222964043</v>
      </c>
      <c r="AK141" s="1">
        <f>IF(AJ141 + AK140 &lt; 0, AJ141 + AK140, 0)</f>
        <v>0</v>
      </c>
    </row>
    <row r="142" spans="1:37" s="1" customFormat="1">
      <c r="A142" s="3">
        <v>45502</v>
      </c>
      <c r="B142" s="2" t="s">
        <v>22</v>
      </c>
      <c r="C142" s="2">
        <v>3</v>
      </c>
      <c r="D142" s="2">
        <v>2</v>
      </c>
      <c r="E142" s="2">
        <v>1</v>
      </c>
      <c r="F142" s="2">
        <v>4</v>
      </c>
      <c r="G142" s="2">
        <v>5</v>
      </c>
      <c r="H142" s="1">
        <v>0</v>
      </c>
      <c r="I142" s="1">
        <f>IF(H142 + I141 &lt; 0, H142 + I141, 0)</f>
        <v>0</v>
      </c>
      <c r="J142" s="1">
        <v>0</v>
      </c>
      <c r="K142" s="1">
        <f>IF(J142 + K141 &lt; 0, J142 + K141, 0)</f>
        <v>0</v>
      </c>
      <c r="L142" s="1">
        <v>0</v>
      </c>
      <c r="M142" s="1">
        <f>IF(L142 + M141 &lt; 0, L142 + M141, 0)</f>
        <v>0</v>
      </c>
      <c r="N142" s="1">
        <v>0</v>
      </c>
      <c r="O142" s="1">
        <f>IF(N142 + O141 &lt; 0, N142 + O141, 0)</f>
        <v>0</v>
      </c>
      <c r="P142" s="1">
        <v>0</v>
      </c>
      <c r="Q142" s="1">
        <f>IF(P142 + Q141 &lt; 0, P142 + Q141, 0)</f>
        <v>0</v>
      </c>
      <c r="R142" s="1">
        <v>0</v>
      </c>
      <c r="S142" s="1">
        <f>IF(R142 + S141 &lt; 0, R142 + S141, 0)</f>
        <v>0</v>
      </c>
      <c r="T142" s="1">
        <v>0</v>
      </c>
      <c r="U142" s="1">
        <f>IF(T142 + U141 &lt; 0, T142 + U141, 0)</f>
        <v>0</v>
      </c>
      <c r="V142" s="1">
        <v>0</v>
      </c>
      <c r="W142" s="1">
        <f>IF(V142 + W141 &lt; 0, V142 + W141, 0)</f>
        <v>0</v>
      </c>
      <c r="X142" s="1">
        <v>0</v>
      </c>
      <c r="Y142" s="1">
        <f>IF(X142 + Y141 &lt; 0, X142 + Y141, 0)</f>
        <v>0</v>
      </c>
      <c r="Z142" s="1">
        <v>0</v>
      </c>
      <c r="AA142" s="1">
        <f>IF(Z142 + AA141 &lt; 0, Z142 + AA141, 0)</f>
        <v>0</v>
      </c>
      <c r="AB142" s="1">
        <v>0</v>
      </c>
      <c r="AC142" s="1">
        <f>IF(AB142 + AC141 &lt; 0, AB142 + AC141, 0)</f>
        <v>0</v>
      </c>
      <c r="AD142" s="1">
        <v>0</v>
      </c>
      <c r="AE142" s="1">
        <f>IF(AD142 + AE141 &lt; 0, AD142 + AE141, 0)</f>
        <v>0</v>
      </c>
      <c r="AF142" s="1">
        <v>0</v>
      </c>
      <c r="AG142" s="1">
        <f>IF(AF142 + AG141 &lt; 0, AF142 + AG141, 0)</f>
        <v>0</v>
      </c>
      <c r="AH142" s="1">
        <v>0</v>
      </c>
      <c r="AI142" s="1">
        <f>IF(AH142 + AI141 &lt; 0, AH142 + AI141, 0)</f>
        <v>0</v>
      </c>
      <c r="AJ142" s="1">
        <v>0</v>
      </c>
      <c r="AK142" s="1">
        <f>IF(AJ142 + AK141 &lt; 0, AJ142 + AK141, 0)</f>
        <v>0</v>
      </c>
    </row>
    <row r="143" spans="1:37" s="1" customFormat="1">
      <c r="A143" s="3">
        <v>45503</v>
      </c>
      <c r="B143" s="2" t="s">
        <v>23</v>
      </c>
      <c r="C143" s="2">
        <v>2</v>
      </c>
      <c r="D143" s="2">
        <v>1</v>
      </c>
      <c r="E143" s="2">
        <v>19</v>
      </c>
      <c r="F143" s="2">
        <v>3</v>
      </c>
      <c r="G143" s="2">
        <v>4</v>
      </c>
      <c r="H143" s="1">
        <v>0</v>
      </c>
      <c r="I143" s="1">
        <f>IF(H143 + I142 &lt; 0, H143 + I142, 0)</f>
        <v>0</v>
      </c>
      <c r="J143" s="1">
        <v>0</v>
      </c>
      <c r="K143" s="1">
        <f>IF(J143 + K142 &lt; 0, J143 + K142, 0)</f>
        <v>0</v>
      </c>
      <c r="L143" s="1">
        <v>0</v>
      </c>
      <c r="M143" s="1">
        <f>IF(L143 + M142 &lt; 0, L143 + M142, 0)</f>
        <v>0</v>
      </c>
      <c r="N143" s="1">
        <v>0</v>
      </c>
      <c r="O143" s="1">
        <f>IF(N143 + O142 &lt; 0, N143 + O142, 0)</f>
        <v>0</v>
      </c>
      <c r="P143" s="1">
        <v>0</v>
      </c>
      <c r="Q143" s="1">
        <f>IF(P143 + Q142 &lt; 0, P143 + Q142, 0)</f>
        <v>0</v>
      </c>
      <c r="R143" s="1">
        <v>0</v>
      </c>
      <c r="S143" s="1">
        <f>IF(R143 + S142 &lt; 0, R143 + S142, 0)</f>
        <v>0</v>
      </c>
      <c r="T143" s="1">
        <v>0</v>
      </c>
      <c r="U143" s="1">
        <f>IF(T143 + U142 &lt; 0, T143 + U142, 0)</f>
        <v>0</v>
      </c>
      <c r="V143" s="1">
        <v>0</v>
      </c>
      <c r="W143" s="1">
        <f>IF(V143 + W142 &lt; 0, V143 + W142, 0)</f>
        <v>0</v>
      </c>
      <c r="X143" s="1">
        <v>0</v>
      </c>
      <c r="Y143" s="1">
        <f>IF(X143 + Y142 &lt; 0, X143 + Y142, 0)</f>
        <v>0</v>
      </c>
      <c r="Z143" s="1">
        <v>0</v>
      </c>
      <c r="AA143" s="1">
        <f>IF(Z143 + AA142 &lt; 0, Z143 + AA142, 0)</f>
        <v>0</v>
      </c>
      <c r="AB143" s="1">
        <v>0</v>
      </c>
      <c r="AC143" s="1">
        <f>IF(AB143 + AC142 &lt; 0, AB143 + AC142, 0)</f>
        <v>0</v>
      </c>
      <c r="AD143" s="1">
        <v>0</v>
      </c>
      <c r="AE143" s="1">
        <f>IF(AD143 + AE142 &lt; 0, AD143 + AE142, 0)</f>
        <v>0</v>
      </c>
      <c r="AF143" s="1">
        <v>0</v>
      </c>
      <c r="AG143" s="1">
        <f>IF(AF143 + AG142 &lt; 0, AF143 + AG142, 0)</f>
        <v>0</v>
      </c>
      <c r="AH143" s="1">
        <v>0</v>
      </c>
      <c r="AI143" s="1">
        <f>IF(AH143 + AI142 &lt; 0, AH143 + AI142, 0)</f>
        <v>0</v>
      </c>
      <c r="AJ143" s="1">
        <v>0</v>
      </c>
      <c r="AK143" s="1">
        <f>IF(AJ143 + AK142 &lt; 0, AJ143 + AK142, 0)</f>
        <v>0</v>
      </c>
    </row>
    <row r="144" spans="1:37" s="1" customFormat="1">
      <c r="A144" s="3">
        <v>45504</v>
      </c>
      <c r="B144" s="2" t="s">
        <v>24</v>
      </c>
      <c r="C144" s="2">
        <v>1</v>
      </c>
      <c r="D144" s="2">
        <v>19</v>
      </c>
      <c r="E144" s="2">
        <v>18</v>
      </c>
      <c r="F144" s="2">
        <v>2</v>
      </c>
      <c r="G144" s="2">
        <v>3</v>
      </c>
      <c r="H144" s="1">
        <v>0</v>
      </c>
      <c r="I144" s="1">
        <f>IF(H144 + I143 &lt; 0, H144 + I143, 0)</f>
        <v>0</v>
      </c>
      <c r="J144" s="1">
        <v>0</v>
      </c>
      <c r="K144" s="1">
        <f>IF(J144 + K143 &lt; 0, J144 + K143, 0)</f>
        <v>0</v>
      </c>
      <c r="L144" s="1">
        <v>0</v>
      </c>
      <c r="M144" s="1">
        <f>IF(L144 + M143 &lt; 0, L144 + M143, 0)</f>
        <v>0</v>
      </c>
      <c r="N144" s="1">
        <v>0</v>
      </c>
      <c r="O144" s="1">
        <f>IF(N144 + O143 &lt; 0, N144 + O143, 0)</f>
        <v>0</v>
      </c>
      <c r="P144" s="1">
        <v>0</v>
      </c>
      <c r="Q144" s="1">
        <f>IF(P144 + Q143 &lt; 0, P144 + Q143, 0)</f>
        <v>0</v>
      </c>
      <c r="R144" s="1">
        <v>0</v>
      </c>
      <c r="S144" s="1">
        <f>IF(R144 + S143 &lt; 0, R144 + S143, 0)</f>
        <v>0</v>
      </c>
      <c r="T144" s="1">
        <v>0</v>
      </c>
      <c r="U144" s="1">
        <f>IF(T144 + U143 &lt; 0, T144 + U143, 0)</f>
        <v>0</v>
      </c>
      <c r="V144" s="1">
        <v>0</v>
      </c>
      <c r="W144" s="1">
        <f>IF(V144 + W143 &lt; 0, V144 + W143, 0)</f>
        <v>0</v>
      </c>
      <c r="X144" s="1">
        <v>0</v>
      </c>
      <c r="Y144" s="1">
        <f>IF(X144 + Y143 &lt; 0, X144 + Y143, 0)</f>
        <v>0</v>
      </c>
      <c r="Z144" s="1">
        <v>0</v>
      </c>
      <c r="AA144" s="1">
        <f>IF(Z144 + AA143 &lt; 0, Z144 + AA143, 0)</f>
        <v>0</v>
      </c>
      <c r="AB144" s="1">
        <v>0</v>
      </c>
      <c r="AC144" s="1">
        <f>IF(AB144 + AC143 &lt; 0, AB144 + AC143, 0)</f>
        <v>0</v>
      </c>
      <c r="AD144" s="1">
        <v>0</v>
      </c>
      <c r="AE144" s="1">
        <f>IF(AD144 + AE143 &lt; 0, AD144 + AE143, 0)</f>
        <v>0</v>
      </c>
      <c r="AF144" s="1">
        <v>0</v>
      </c>
      <c r="AG144" s="1">
        <f>IF(AF144 + AG143 &lt; 0, AF144 + AG143, 0)</f>
        <v>0</v>
      </c>
      <c r="AH144" s="1">
        <v>0</v>
      </c>
      <c r="AI144" s="1">
        <f>IF(AH144 + AI143 &lt; 0, AH144 + AI143, 0)</f>
        <v>0</v>
      </c>
      <c r="AJ144" s="1">
        <v>0</v>
      </c>
      <c r="AK144" s="1">
        <f>IF(AJ144 + AK143 &lt; 0, AJ144 + AK143, 0)</f>
        <v>0</v>
      </c>
    </row>
    <row r="145" spans="1:37" s="1" customFormat="1">
      <c r="A145" s="3">
        <v>45505</v>
      </c>
      <c r="B145" s="2" t="s">
        <v>25</v>
      </c>
      <c r="C145" s="2">
        <v>19</v>
      </c>
      <c r="D145" s="2">
        <v>18</v>
      </c>
      <c r="E145" s="2">
        <v>17</v>
      </c>
      <c r="F145" s="2">
        <v>1</v>
      </c>
      <c r="G145" s="2">
        <v>2</v>
      </c>
      <c r="H145" s="1">
        <v>0</v>
      </c>
      <c r="I145" s="1">
        <f>IF(H145 + I144 &lt; 0, H145 + I144, 0)</f>
        <v>0</v>
      </c>
      <c r="J145" s="1">
        <v>0</v>
      </c>
      <c r="K145" s="1">
        <f>IF(J145 + K144 &lt; 0, J145 + K144, 0)</f>
        <v>0</v>
      </c>
      <c r="L145" s="1">
        <v>0</v>
      </c>
      <c r="M145" s="1">
        <f>IF(L145 + M144 &lt; 0, L145 + M144, 0)</f>
        <v>0</v>
      </c>
      <c r="N145" s="1">
        <v>0</v>
      </c>
      <c r="O145" s="1">
        <f>IF(N145 + O144 &lt; 0, N145 + O144, 0)</f>
        <v>0</v>
      </c>
      <c r="P145" s="1">
        <v>0</v>
      </c>
      <c r="Q145" s="1">
        <f>IF(P145 + Q144 &lt; 0, P145 + Q144, 0)</f>
        <v>0</v>
      </c>
      <c r="R145" s="1">
        <v>0</v>
      </c>
      <c r="S145" s="1">
        <f>IF(R145 + S144 &lt; 0, R145 + S144, 0)</f>
        <v>0</v>
      </c>
      <c r="T145" s="1">
        <v>0</v>
      </c>
      <c r="U145" s="1">
        <f>IF(T145 + U144 &lt; 0, T145 + U144, 0)</f>
        <v>0</v>
      </c>
      <c r="V145" s="1">
        <v>0</v>
      </c>
      <c r="W145" s="1">
        <f>IF(V145 + W144 &lt; 0, V145 + W144, 0)</f>
        <v>0</v>
      </c>
      <c r="X145" s="1">
        <v>0</v>
      </c>
      <c r="Y145" s="1">
        <f>IF(X145 + Y144 &lt; 0, X145 + Y144, 0)</f>
        <v>0</v>
      </c>
      <c r="Z145" s="1">
        <v>491961.7795647792</v>
      </c>
      <c r="AA145" s="1">
        <f>IF(Z145 + AA144 &lt; 0, Z145 + AA144, 0)</f>
        <v>0</v>
      </c>
      <c r="AB145" s="1">
        <v>708167.948254623</v>
      </c>
      <c r="AC145" s="1">
        <f>IF(AB145 + AC144 &lt; 0, AB145 + AC144, 0)</f>
        <v>0</v>
      </c>
      <c r="AD145" s="1">
        <v>594059.4521328093</v>
      </c>
      <c r="AE145" s="1">
        <f>IF(AD145 + AE144 &lt; 0, AD145 + AE144, 0)</f>
        <v>0</v>
      </c>
      <c r="AF145" s="1">
        <v>0</v>
      </c>
      <c r="AG145" s="1">
        <f>IF(AF145 + AG144 &lt; 0, AF145 + AG144, 0)</f>
        <v>0</v>
      </c>
      <c r="AH145" s="1">
        <v>0</v>
      </c>
      <c r="AI145" s="1">
        <f>IF(AH145 + AI144 &lt; 0, AH145 + AI144, 0)</f>
        <v>0</v>
      </c>
      <c r="AJ145" s="1">
        <v>0</v>
      </c>
      <c r="AK145" s="1">
        <f>IF(AJ145 + AK144 &lt; 0, AJ145 + AK144, 0)</f>
        <v>0</v>
      </c>
    </row>
    <row r="146" spans="1:37" s="1" customFormat="1">
      <c r="A146" s="3">
        <v>45506</v>
      </c>
      <c r="B146" s="2" t="s">
        <v>26</v>
      </c>
      <c r="C146" s="2">
        <v>18</v>
      </c>
      <c r="D146" s="2">
        <v>17</v>
      </c>
      <c r="E146" s="2">
        <v>16</v>
      </c>
      <c r="F146" s="2">
        <v>5</v>
      </c>
      <c r="G146" s="2">
        <v>1</v>
      </c>
      <c r="H146" s="1">
        <v>0</v>
      </c>
      <c r="I146" s="1">
        <f>IF(H146 + I145 &lt; 0, H146 + I145, 0)</f>
        <v>0</v>
      </c>
      <c r="J146" s="1">
        <v>0</v>
      </c>
      <c r="K146" s="1">
        <f>IF(J146 + K145 &lt; 0, J146 + K145, 0)</f>
        <v>0</v>
      </c>
      <c r="L146" s="1">
        <v>0</v>
      </c>
      <c r="M146" s="1">
        <f>IF(L146 + M145 &lt; 0, L146 + M145, 0)</f>
        <v>0</v>
      </c>
      <c r="N146" s="1">
        <v>0</v>
      </c>
      <c r="O146" s="1">
        <f>IF(N146 + O145 &lt; 0, N146 + O145, 0)</f>
        <v>0</v>
      </c>
      <c r="P146" s="1">
        <v>0</v>
      </c>
      <c r="Q146" s="1">
        <f>IF(P146 + Q145 &lt; 0, P146 + Q145, 0)</f>
        <v>0</v>
      </c>
      <c r="R146" s="1">
        <v>0</v>
      </c>
      <c r="S146" s="1">
        <f>IF(R146 + S145 &lt; 0, R146 + S145, 0)</f>
        <v>0</v>
      </c>
      <c r="T146" s="1">
        <v>0</v>
      </c>
      <c r="U146" s="1">
        <f>IF(T146 + U145 &lt; 0, T146 + U145, 0)</f>
        <v>0</v>
      </c>
      <c r="V146" s="1">
        <v>0</v>
      </c>
      <c r="W146" s="1">
        <f>IF(V146 + W145 &lt; 0, V146 + W145, 0)</f>
        <v>0</v>
      </c>
      <c r="X146" s="1">
        <v>0</v>
      </c>
      <c r="Y146" s="1">
        <f>IF(X146 + Y145 &lt; 0, X146 + Y145, 0)</f>
        <v>0</v>
      </c>
      <c r="Z146" s="1">
        <v>0</v>
      </c>
      <c r="AA146" s="1">
        <f>IF(Z146 + AA145 &lt; 0, Z146 + AA145, 0)</f>
        <v>0</v>
      </c>
      <c r="AB146" s="1">
        <v>0</v>
      </c>
      <c r="AC146" s="1">
        <f>IF(AB146 + AC145 &lt; 0, AB146 + AC145, 0)</f>
        <v>0</v>
      </c>
      <c r="AD146" s="1">
        <v>0</v>
      </c>
      <c r="AE146" s="1">
        <f>IF(AD146 + AE145 &lt; 0, AD146 + AE145, 0)</f>
        <v>0</v>
      </c>
      <c r="AF146" s="1">
        <v>684198.3745904346</v>
      </c>
      <c r="AG146" s="1">
        <f>IF(AF146 + AG145 &lt; 0, AF146 + AG145, 0)</f>
        <v>0</v>
      </c>
      <c r="AH146" s="1">
        <v>606789.053122215</v>
      </c>
      <c r="AI146" s="1">
        <f>IF(AH146 + AI145 &lt; 0, AH146 + AI145, 0)</f>
        <v>0</v>
      </c>
      <c r="AJ146" s="1">
        <v>616425.6677289829</v>
      </c>
      <c r="AK146" s="1">
        <f>IF(AJ146 + AK145 &lt; 0, AJ146 + AK145, 0)</f>
        <v>0</v>
      </c>
    </row>
    <row r="147" spans="1:37" s="1" customFormat="1">
      <c r="A147" s="3">
        <v>45509</v>
      </c>
      <c r="B147" s="2" t="s">
        <v>22</v>
      </c>
      <c r="C147" s="2">
        <v>17</v>
      </c>
      <c r="D147" s="2">
        <v>16</v>
      </c>
      <c r="E147" s="2">
        <v>15</v>
      </c>
      <c r="F147" s="2">
        <v>4</v>
      </c>
      <c r="G147" s="2">
        <v>5</v>
      </c>
      <c r="H147" s="1">
        <v>0</v>
      </c>
      <c r="I147" s="1">
        <f>IF(H147 + I146 &lt; 0, H147 + I146, 0)</f>
        <v>0</v>
      </c>
      <c r="J147" s="1">
        <v>0</v>
      </c>
      <c r="K147" s="1">
        <f>IF(J147 + K146 &lt; 0, J147 + K146, 0)</f>
        <v>0</v>
      </c>
      <c r="L147" s="1">
        <v>0</v>
      </c>
      <c r="M147" s="1">
        <f>IF(L147 + M146 &lt; 0, L147 + M146, 0)</f>
        <v>0</v>
      </c>
      <c r="N147" s="1">
        <v>0</v>
      </c>
      <c r="O147" s="1">
        <f>IF(N147 + O146 &lt; 0, N147 + O146, 0)</f>
        <v>0</v>
      </c>
      <c r="P147" s="1">
        <v>0</v>
      </c>
      <c r="Q147" s="1">
        <f>IF(P147 + Q146 &lt; 0, P147 + Q146, 0)</f>
        <v>0</v>
      </c>
      <c r="R147" s="1">
        <v>0</v>
      </c>
      <c r="S147" s="1">
        <f>IF(R147 + S146 &lt; 0, R147 + S146, 0)</f>
        <v>0</v>
      </c>
      <c r="T147" s="1">
        <v>0</v>
      </c>
      <c r="U147" s="1">
        <f>IF(T147 + U146 &lt; 0, T147 + U146, 0)</f>
        <v>0</v>
      </c>
      <c r="V147" s="1">
        <v>0</v>
      </c>
      <c r="W147" s="1">
        <f>IF(V147 + W146 &lt; 0, V147 + W146, 0)</f>
        <v>0</v>
      </c>
      <c r="X147" s="1">
        <v>0</v>
      </c>
      <c r="Y147" s="1">
        <f>IF(X147 + Y146 &lt; 0, X147 + Y146, 0)</f>
        <v>0</v>
      </c>
      <c r="Z147" s="1">
        <v>0</v>
      </c>
      <c r="AA147" s="1">
        <f>IF(Z147 + AA146 &lt; 0, Z147 + AA146, 0)</f>
        <v>0</v>
      </c>
      <c r="AB147" s="1">
        <v>0</v>
      </c>
      <c r="AC147" s="1">
        <f>IF(AB147 + AC146 &lt; 0, AB147 + AC146, 0)</f>
        <v>0</v>
      </c>
      <c r="AD147" s="1">
        <v>0</v>
      </c>
      <c r="AE147" s="1">
        <f>IF(AD147 + AE146 &lt; 0, AD147 + AE146, 0)</f>
        <v>0</v>
      </c>
      <c r="AF147" s="1">
        <v>0</v>
      </c>
      <c r="AG147" s="1">
        <f>IF(AF147 + AG146 &lt; 0, AF147 + AG146, 0)</f>
        <v>0</v>
      </c>
      <c r="AH147" s="1">
        <v>0</v>
      </c>
      <c r="AI147" s="1">
        <f>IF(AH147 + AI146 &lt; 0, AH147 + AI146, 0)</f>
        <v>0</v>
      </c>
      <c r="AJ147" s="1">
        <v>0</v>
      </c>
      <c r="AK147" s="1">
        <f>IF(AJ147 + AK146 &lt; 0, AJ147 + AK146, 0)</f>
        <v>0</v>
      </c>
    </row>
    <row r="148" spans="1:37" s="1" customFormat="1">
      <c r="A148" s="3">
        <v>45510</v>
      </c>
      <c r="B148" s="2" t="s">
        <v>23</v>
      </c>
      <c r="C148" s="2">
        <v>16</v>
      </c>
      <c r="D148" s="2">
        <v>15</v>
      </c>
      <c r="E148" s="2">
        <v>14</v>
      </c>
      <c r="F148" s="2">
        <v>3</v>
      </c>
      <c r="G148" s="2">
        <v>4</v>
      </c>
      <c r="H148" s="1">
        <v>0</v>
      </c>
      <c r="I148" s="1">
        <f>IF(H148 + I147 &lt; 0, H148 + I147, 0)</f>
        <v>0</v>
      </c>
      <c r="J148" s="1">
        <v>0</v>
      </c>
      <c r="K148" s="1">
        <f>IF(J148 + K147 &lt; 0, J148 + K147, 0)</f>
        <v>0</v>
      </c>
      <c r="L148" s="1">
        <v>0</v>
      </c>
      <c r="M148" s="1">
        <f>IF(L148 + M147 &lt; 0, L148 + M147, 0)</f>
        <v>0</v>
      </c>
      <c r="N148" s="1">
        <v>0</v>
      </c>
      <c r="O148" s="1">
        <f>IF(N148 + O147 &lt; 0, N148 + O147, 0)</f>
        <v>0</v>
      </c>
      <c r="P148" s="1">
        <v>0</v>
      </c>
      <c r="Q148" s="1">
        <f>IF(P148 + Q147 &lt; 0, P148 + Q147, 0)</f>
        <v>0</v>
      </c>
      <c r="R148" s="1">
        <v>0</v>
      </c>
      <c r="S148" s="1">
        <f>IF(R148 + S147 &lt; 0, R148 + S147, 0)</f>
        <v>0</v>
      </c>
      <c r="T148" s="1">
        <v>0</v>
      </c>
      <c r="U148" s="1">
        <f>IF(T148 + U147 &lt; 0, T148 + U147, 0)</f>
        <v>0</v>
      </c>
      <c r="V148" s="1">
        <v>0</v>
      </c>
      <c r="W148" s="1">
        <f>IF(V148 + W147 &lt; 0, V148 + W147, 0)</f>
        <v>0</v>
      </c>
      <c r="X148" s="1">
        <v>0</v>
      </c>
      <c r="Y148" s="1">
        <f>IF(X148 + Y147 &lt; 0, X148 + Y147, 0)</f>
        <v>0</v>
      </c>
      <c r="Z148" s="1">
        <v>0</v>
      </c>
      <c r="AA148" s="1">
        <f>IF(Z148 + AA147 &lt; 0, Z148 + AA147, 0)</f>
        <v>0</v>
      </c>
      <c r="AB148" s="1">
        <v>0</v>
      </c>
      <c r="AC148" s="1">
        <f>IF(AB148 + AC147 &lt; 0, AB148 + AC147, 0)</f>
        <v>0</v>
      </c>
      <c r="AD148" s="1">
        <v>0</v>
      </c>
      <c r="AE148" s="1">
        <f>IF(AD148 + AE147 &lt; 0, AD148 + AE147, 0)</f>
        <v>0</v>
      </c>
      <c r="AF148" s="1">
        <v>0</v>
      </c>
      <c r="AG148" s="1">
        <f>IF(AF148 + AG147 &lt; 0, AF148 + AG147, 0)</f>
        <v>0</v>
      </c>
      <c r="AH148" s="1">
        <v>0</v>
      </c>
      <c r="AI148" s="1">
        <f>IF(AH148 + AI147 &lt; 0, AH148 + AI147, 0)</f>
        <v>0</v>
      </c>
      <c r="AJ148" s="1">
        <v>0</v>
      </c>
      <c r="AK148" s="1">
        <f>IF(AJ148 + AK147 &lt; 0, AJ148 + AK147, 0)</f>
        <v>0</v>
      </c>
    </row>
    <row r="149" spans="1:37" s="1" customFormat="1">
      <c r="A149" s="3">
        <v>45511</v>
      </c>
      <c r="B149" s="2" t="s">
        <v>24</v>
      </c>
      <c r="C149" s="2">
        <v>15</v>
      </c>
      <c r="D149" s="2">
        <v>14</v>
      </c>
      <c r="E149" s="2">
        <v>13</v>
      </c>
      <c r="F149" s="2">
        <v>2</v>
      </c>
      <c r="G149" s="2">
        <v>3</v>
      </c>
      <c r="H149" s="1">
        <v>0</v>
      </c>
      <c r="I149" s="1">
        <f>IF(H149 + I148 &lt; 0, H149 + I148, 0)</f>
        <v>0</v>
      </c>
      <c r="J149" s="1">
        <v>0</v>
      </c>
      <c r="K149" s="1">
        <f>IF(J149 + K148 &lt; 0, J149 + K148, 0)</f>
        <v>0</v>
      </c>
      <c r="L149" s="1">
        <v>0</v>
      </c>
      <c r="M149" s="1">
        <f>IF(L149 + M148 &lt; 0, L149 + M148, 0)</f>
        <v>0</v>
      </c>
      <c r="N149" s="1">
        <v>0</v>
      </c>
      <c r="O149" s="1">
        <f>IF(N149 + O148 &lt; 0, N149 + O148, 0)</f>
        <v>0</v>
      </c>
      <c r="P149" s="1">
        <v>0</v>
      </c>
      <c r="Q149" s="1">
        <f>IF(P149 + Q148 &lt; 0, P149 + Q148, 0)</f>
        <v>0</v>
      </c>
      <c r="R149" s="1">
        <v>0</v>
      </c>
      <c r="S149" s="1">
        <f>IF(R149 + S148 &lt; 0, R149 + S148, 0)</f>
        <v>0</v>
      </c>
      <c r="T149" s="1">
        <v>0</v>
      </c>
      <c r="U149" s="1">
        <f>IF(T149 + U148 &lt; 0, T149 + U148, 0)</f>
        <v>0</v>
      </c>
      <c r="V149" s="1">
        <v>0</v>
      </c>
      <c r="W149" s="1">
        <f>IF(V149 + W148 &lt; 0, V149 + W148, 0)</f>
        <v>0</v>
      </c>
      <c r="X149" s="1">
        <v>0</v>
      </c>
      <c r="Y149" s="1">
        <f>IF(X149 + Y148 &lt; 0, X149 + Y148, 0)</f>
        <v>0</v>
      </c>
      <c r="Z149" s="1">
        <v>0</v>
      </c>
      <c r="AA149" s="1">
        <f>IF(Z149 + AA148 &lt; 0, Z149 + AA148, 0)</f>
        <v>0</v>
      </c>
      <c r="AB149" s="1">
        <v>0</v>
      </c>
      <c r="AC149" s="1">
        <f>IF(AB149 + AC148 &lt; 0, AB149 + AC148, 0)</f>
        <v>0</v>
      </c>
      <c r="AD149" s="1">
        <v>0</v>
      </c>
      <c r="AE149" s="1">
        <f>IF(AD149 + AE148 &lt; 0, AD149 + AE148, 0)</f>
        <v>0</v>
      </c>
      <c r="AF149" s="1">
        <v>0</v>
      </c>
      <c r="AG149" s="1">
        <f>IF(AF149 + AG148 &lt; 0, AF149 + AG148, 0)</f>
        <v>0</v>
      </c>
      <c r="AH149" s="1">
        <v>0</v>
      </c>
      <c r="AI149" s="1">
        <f>IF(AH149 + AI148 &lt; 0, AH149 + AI148, 0)</f>
        <v>0</v>
      </c>
      <c r="AJ149" s="1">
        <v>0</v>
      </c>
      <c r="AK149" s="1">
        <f>IF(AJ149 + AK148 &lt; 0, AJ149 + AK148, 0)</f>
        <v>0</v>
      </c>
    </row>
    <row r="150" spans="1:37" s="1" customFormat="1">
      <c r="A150" s="3">
        <v>45512</v>
      </c>
      <c r="B150" s="2" t="s">
        <v>25</v>
      </c>
      <c r="C150" s="2">
        <v>14</v>
      </c>
      <c r="D150" s="2">
        <v>13</v>
      </c>
      <c r="E150" s="2">
        <v>12</v>
      </c>
      <c r="F150" s="2">
        <v>1</v>
      </c>
      <c r="G150" s="2">
        <v>2</v>
      </c>
      <c r="H150" s="1">
        <v>0</v>
      </c>
      <c r="I150" s="1">
        <f>IF(H150 + I149 &lt; 0, H150 + I149, 0)</f>
        <v>0</v>
      </c>
      <c r="J150" s="1">
        <v>0</v>
      </c>
      <c r="K150" s="1">
        <f>IF(J150 + K149 &lt; 0, J150 + K149, 0)</f>
        <v>0</v>
      </c>
      <c r="L150" s="1">
        <v>0</v>
      </c>
      <c r="M150" s="1">
        <f>IF(L150 + M149 &lt; 0, L150 + M149, 0)</f>
        <v>0</v>
      </c>
      <c r="N150" s="1">
        <v>0</v>
      </c>
      <c r="O150" s="1">
        <f>IF(N150 + O149 &lt; 0, N150 + O149, 0)</f>
        <v>0</v>
      </c>
      <c r="P150" s="1">
        <v>0</v>
      </c>
      <c r="Q150" s="1">
        <f>IF(P150 + Q149 &lt; 0, P150 + Q149, 0)</f>
        <v>0</v>
      </c>
      <c r="R150" s="1">
        <v>0</v>
      </c>
      <c r="S150" s="1">
        <f>IF(R150 + S149 &lt; 0, R150 + S149, 0)</f>
        <v>0</v>
      </c>
      <c r="T150" s="1">
        <v>0</v>
      </c>
      <c r="U150" s="1">
        <f>IF(T150 + U149 &lt; 0, T150 + U149, 0)</f>
        <v>0</v>
      </c>
      <c r="V150" s="1">
        <v>0</v>
      </c>
      <c r="W150" s="1">
        <f>IF(V150 + W149 &lt; 0, V150 + W149, 0)</f>
        <v>0</v>
      </c>
      <c r="X150" s="1">
        <v>0</v>
      </c>
      <c r="Y150" s="1">
        <f>IF(X150 + Y149 &lt; 0, X150 + Y149, 0)</f>
        <v>0</v>
      </c>
      <c r="Z150" s="1">
        <v>82855.67828676064</v>
      </c>
      <c r="AA150" s="1">
        <f>IF(Z150 + AA149 &lt; 0, Z150 + AA149, 0)</f>
        <v>0</v>
      </c>
      <c r="AB150" s="1">
        <v>469487.179581077</v>
      </c>
      <c r="AC150" s="1">
        <f>IF(AB150 + AC149 &lt; 0, AB150 + AC149, 0)</f>
        <v>0</v>
      </c>
      <c r="AD150" s="1">
        <v>221982.8406638083</v>
      </c>
      <c r="AE150" s="1">
        <f>IF(AD150 + AE149 &lt; 0, AD150 + AE149, 0)</f>
        <v>0</v>
      </c>
      <c r="AF150" s="1">
        <v>0</v>
      </c>
      <c r="AG150" s="1">
        <f>IF(AF150 + AG149 &lt; 0, AF150 + AG149, 0)</f>
        <v>0</v>
      </c>
      <c r="AH150" s="1">
        <v>0</v>
      </c>
      <c r="AI150" s="1">
        <f>IF(AH150 + AI149 &lt; 0, AH150 + AI149, 0)</f>
        <v>0</v>
      </c>
      <c r="AJ150" s="1">
        <v>0</v>
      </c>
      <c r="AK150" s="1">
        <f>IF(AJ150 + AK149 &lt; 0, AJ150 + AK149, 0)</f>
        <v>0</v>
      </c>
    </row>
    <row r="151" spans="1:37" s="1" customFormat="1">
      <c r="A151" s="3">
        <v>45513</v>
      </c>
      <c r="B151" s="2" t="s">
        <v>26</v>
      </c>
      <c r="C151" s="2">
        <v>13</v>
      </c>
      <c r="D151" s="2">
        <v>12</v>
      </c>
      <c r="E151" s="2">
        <v>11</v>
      </c>
      <c r="F151" s="2">
        <v>4</v>
      </c>
      <c r="G151" s="2">
        <v>1</v>
      </c>
      <c r="H151" s="1">
        <v>0</v>
      </c>
      <c r="I151" s="1">
        <f>IF(H151 + I150 &lt; 0, H151 + I150, 0)</f>
        <v>0</v>
      </c>
      <c r="J151" s="1">
        <v>0</v>
      </c>
      <c r="K151" s="1">
        <f>IF(J151 + K150 &lt; 0, J151 + K150, 0)</f>
        <v>0</v>
      </c>
      <c r="L151" s="1">
        <v>0</v>
      </c>
      <c r="M151" s="1">
        <f>IF(L151 + M150 &lt; 0, L151 + M150, 0)</f>
        <v>0</v>
      </c>
      <c r="N151" s="1">
        <v>0</v>
      </c>
      <c r="O151" s="1">
        <f>IF(N151 + O150 &lt; 0, N151 + O150, 0)</f>
        <v>0</v>
      </c>
      <c r="P151" s="1">
        <v>0</v>
      </c>
      <c r="Q151" s="1">
        <f>IF(P151 + Q150 &lt; 0, P151 + Q150, 0)</f>
        <v>0</v>
      </c>
      <c r="R151" s="1">
        <v>0</v>
      </c>
      <c r="S151" s="1">
        <f>IF(R151 + S150 &lt; 0, R151 + S150, 0)</f>
        <v>0</v>
      </c>
      <c r="T151" s="1">
        <v>0</v>
      </c>
      <c r="U151" s="1">
        <f>IF(T151 + U150 &lt; 0, T151 + U150, 0)</f>
        <v>0</v>
      </c>
      <c r="V151" s="1">
        <v>0</v>
      </c>
      <c r="W151" s="1">
        <f>IF(V151 + W150 &lt; 0, V151 + W150, 0)</f>
        <v>0</v>
      </c>
      <c r="X151" s="1">
        <v>0</v>
      </c>
      <c r="Y151" s="1">
        <f>IF(X151 + Y150 &lt; 0, X151 + Y150, 0)</f>
        <v>0</v>
      </c>
      <c r="Z151" s="1">
        <v>0</v>
      </c>
      <c r="AA151" s="1">
        <f>IF(Z151 + AA150 &lt; 0, Z151 + AA150, 0)</f>
        <v>0</v>
      </c>
      <c r="AB151" s="1">
        <v>0</v>
      </c>
      <c r="AC151" s="1">
        <f>IF(AB151 + AC150 &lt; 0, AB151 + AC150, 0)</f>
        <v>0</v>
      </c>
      <c r="AD151" s="1">
        <v>0</v>
      </c>
      <c r="AE151" s="1">
        <f>IF(AD151 + AE150 &lt; 0, AD151 + AE150, 0)</f>
        <v>0</v>
      </c>
      <c r="AF151" s="1">
        <v>1162255.587635819</v>
      </c>
      <c r="AG151" s="1">
        <f>IF(AF151 + AG150 &lt; 0, AF151 + AG150, 0)</f>
        <v>0</v>
      </c>
      <c r="AH151" s="1">
        <v>999470.5222357612</v>
      </c>
      <c r="AI151" s="1">
        <f>IF(AH151 + AI150 &lt; 0, AH151 + AI150, 0)</f>
        <v>0</v>
      </c>
      <c r="AJ151" s="1">
        <v>847496.9528009404</v>
      </c>
      <c r="AK151" s="1">
        <f>IF(AJ151 + AK150 &lt; 0, AJ151 + AK150, 0)</f>
        <v>0</v>
      </c>
    </row>
    <row r="152" spans="1:37" s="1" customFormat="1">
      <c r="A152" s="3">
        <v>45516</v>
      </c>
      <c r="B152" s="2" t="s">
        <v>22</v>
      </c>
      <c r="C152" s="2">
        <v>12</v>
      </c>
      <c r="D152" s="2">
        <v>11</v>
      </c>
      <c r="E152" s="2">
        <v>10</v>
      </c>
      <c r="F152" s="2">
        <v>3</v>
      </c>
      <c r="G152" s="2">
        <v>4</v>
      </c>
      <c r="H152" s="1">
        <v>0</v>
      </c>
      <c r="I152" s="1">
        <f>IF(H152 + I151 &lt; 0, H152 + I151, 0)</f>
        <v>0</v>
      </c>
      <c r="J152" s="1">
        <v>0</v>
      </c>
      <c r="K152" s="1">
        <f>IF(J152 + K151 &lt; 0, J152 + K151, 0)</f>
        <v>0</v>
      </c>
      <c r="L152" s="1">
        <v>0</v>
      </c>
      <c r="M152" s="1">
        <f>IF(L152 + M151 &lt; 0, L152 + M151, 0)</f>
        <v>0</v>
      </c>
      <c r="N152" s="1">
        <v>0</v>
      </c>
      <c r="O152" s="1">
        <f>IF(N152 + O151 &lt; 0, N152 + O151, 0)</f>
        <v>0</v>
      </c>
      <c r="P152" s="1">
        <v>0</v>
      </c>
      <c r="Q152" s="1">
        <f>IF(P152 + Q151 &lt; 0, P152 + Q151, 0)</f>
        <v>0</v>
      </c>
      <c r="R152" s="1">
        <v>0</v>
      </c>
      <c r="S152" s="1">
        <f>IF(R152 + S151 &lt; 0, R152 + S151, 0)</f>
        <v>0</v>
      </c>
      <c r="T152" s="1">
        <v>0</v>
      </c>
      <c r="U152" s="1">
        <f>IF(T152 + U151 &lt; 0, T152 + U151, 0)</f>
        <v>0</v>
      </c>
      <c r="V152" s="1">
        <v>0</v>
      </c>
      <c r="W152" s="1">
        <f>IF(V152 + W151 &lt; 0, V152 + W151, 0)</f>
        <v>0</v>
      </c>
      <c r="X152" s="1">
        <v>0</v>
      </c>
      <c r="Y152" s="1">
        <f>IF(X152 + Y151 &lt; 0, X152 + Y151, 0)</f>
        <v>0</v>
      </c>
      <c r="Z152" s="1">
        <v>0</v>
      </c>
      <c r="AA152" s="1">
        <f>IF(Z152 + AA151 &lt; 0, Z152 + AA151, 0)</f>
        <v>0</v>
      </c>
      <c r="AB152" s="1">
        <v>0</v>
      </c>
      <c r="AC152" s="1">
        <f>IF(AB152 + AC151 &lt; 0, AB152 + AC151, 0)</f>
        <v>0</v>
      </c>
      <c r="AD152" s="1">
        <v>0</v>
      </c>
      <c r="AE152" s="1">
        <f>IF(AD152 + AE151 &lt; 0, AD152 + AE151, 0)</f>
        <v>0</v>
      </c>
      <c r="AF152" s="1">
        <v>0</v>
      </c>
      <c r="AG152" s="1">
        <f>IF(AF152 + AG151 &lt; 0, AF152 + AG151, 0)</f>
        <v>0</v>
      </c>
      <c r="AH152" s="1">
        <v>0</v>
      </c>
      <c r="AI152" s="1">
        <f>IF(AH152 + AI151 &lt; 0, AH152 + AI151, 0)</f>
        <v>0</v>
      </c>
      <c r="AJ152" s="1">
        <v>0</v>
      </c>
      <c r="AK152" s="1">
        <f>IF(AJ152 + AK151 &lt; 0, AJ152 + AK151, 0)</f>
        <v>0</v>
      </c>
    </row>
    <row r="153" spans="1:37" s="1" customFormat="1">
      <c r="A153" s="3">
        <v>45517</v>
      </c>
      <c r="B153" s="2" t="s">
        <v>23</v>
      </c>
      <c r="C153" s="2">
        <v>11</v>
      </c>
      <c r="D153" s="2">
        <v>10</v>
      </c>
      <c r="E153" s="2">
        <v>9</v>
      </c>
      <c r="F153" s="2">
        <v>2</v>
      </c>
      <c r="G153" s="2">
        <v>3</v>
      </c>
      <c r="H153" s="1">
        <v>0</v>
      </c>
      <c r="I153" s="1">
        <f>IF(H153 + I152 &lt; 0, H153 + I152, 0)</f>
        <v>0</v>
      </c>
      <c r="J153" s="1">
        <v>0</v>
      </c>
      <c r="K153" s="1">
        <f>IF(J153 + K152 &lt; 0, J153 + K152, 0)</f>
        <v>0</v>
      </c>
      <c r="L153" s="1">
        <v>0</v>
      </c>
      <c r="M153" s="1">
        <f>IF(L153 + M152 &lt; 0, L153 + M152, 0)</f>
        <v>0</v>
      </c>
      <c r="N153" s="1">
        <v>0</v>
      </c>
      <c r="O153" s="1">
        <f>IF(N153 + O152 &lt; 0, N153 + O152, 0)</f>
        <v>0</v>
      </c>
      <c r="P153" s="1">
        <v>0</v>
      </c>
      <c r="Q153" s="1">
        <f>IF(P153 + Q152 &lt; 0, P153 + Q152, 0)</f>
        <v>0</v>
      </c>
      <c r="R153" s="1">
        <v>0</v>
      </c>
      <c r="S153" s="1">
        <f>IF(R153 + S152 &lt; 0, R153 + S152, 0)</f>
        <v>0</v>
      </c>
      <c r="T153" s="1">
        <v>0</v>
      </c>
      <c r="U153" s="1">
        <f>IF(T153 + U152 &lt; 0, T153 + U152, 0)</f>
        <v>0</v>
      </c>
      <c r="V153" s="1">
        <v>0</v>
      </c>
      <c r="W153" s="1">
        <f>IF(V153 + W152 &lt; 0, V153 + W152, 0)</f>
        <v>0</v>
      </c>
      <c r="X153" s="1">
        <v>0</v>
      </c>
      <c r="Y153" s="1">
        <f>IF(X153 + Y152 &lt; 0, X153 + Y152, 0)</f>
        <v>0</v>
      </c>
      <c r="Z153" s="1">
        <v>0</v>
      </c>
      <c r="AA153" s="1">
        <f>IF(Z153 + AA152 &lt; 0, Z153 + AA152, 0)</f>
        <v>0</v>
      </c>
      <c r="AB153" s="1">
        <v>0</v>
      </c>
      <c r="AC153" s="1">
        <f>IF(AB153 + AC152 &lt; 0, AB153 + AC152, 0)</f>
        <v>0</v>
      </c>
      <c r="AD153" s="1">
        <v>0</v>
      </c>
      <c r="AE153" s="1">
        <f>IF(AD153 + AE152 &lt; 0, AD153 + AE152, 0)</f>
        <v>0</v>
      </c>
      <c r="AF153" s="1">
        <v>0</v>
      </c>
      <c r="AG153" s="1">
        <f>IF(AF153 + AG152 &lt; 0, AF153 + AG152, 0)</f>
        <v>0</v>
      </c>
      <c r="AH153" s="1">
        <v>0</v>
      </c>
      <c r="AI153" s="1">
        <f>IF(AH153 + AI152 &lt; 0, AH153 + AI152, 0)</f>
        <v>0</v>
      </c>
      <c r="AJ153" s="1">
        <v>0</v>
      </c>
      <c r="AK153" s="1">
        <f>IF(AJ153 + AK152 &lt; 0, AJ153 + AK152, 0)</f>
        <v>0</v>
      </c>
    </row>
    <row r="154" spans="1:37" s="1" customFormat="1">
      <c r="A154" s="3">
        <v>45518</v>
      </c>
      <c r="B154" s="2" t="s">
        <v>24</v>
      </c>
      <c r="C154" s="2">
        <v>10</v>
      </c>
      <c r="D154" s="2">
        <v>9</v>
      </c>
      <c r="E154" s="2">
        <v>8</v>
      </c>
      <c r="F154" s="2">
        <v>1</v>
      </c>
      <c r="G154" s="2">
        <v>2</v>
      </c>
      <c r="H154" s="1">
        <v>0</v>
      </c>
      <c r="I154" s="1">
        <f>IF(H154 + I153 &lt; 0, H154 + I153, 0)</f>
        <v>0</v>
      </c>
      <c r="J154" s="1">
        <v>0</v>
      </c>
      <c r="K154" s="1">
        <f>IF(J154 + K153 &lt; 0, J154 + K153, 0)</f>
        <v>0</v>
      </c>
      <c r="L154" s="1">
        <v>0</v>
      </c>
      <c r="M154" s="1">
        <f>IF(L154 + M153 &lt; 0, L154 + M153, 0)</f>
        <v>0</v>
      </c>
      <c r="N154" s="1">
        <v>0</v>
      </c>
      <c r="O154" s="1">
        <f>IF(N154 + O153 &lt; 0, N154 + O153, 0)</f>
        <v>0</v>
      </c>
      <c r="P154" s="1">
        <v>0</v>
      </c>
      <c r="Q154" s="1">
        <f>IF(P154 + Q153 &lt; 0, P154 + Q153, 0)</f>
        <v>0</v>
      </c>
      <c r="R154" s="1">
        <v>0</v>
      </c>
      <c r="S154" s="1">
        <f>IF(R154 + S153 &lt; 0, R154 + S153, 0)</f>
        <v>0</v>
      </c>
      <c r="T154" s="1">
        <v>0</v>
      </c>
      <c r="U154" s="1">
        <f>IF(T154 + U153 &lt; 0, T154 + U153, 0)</f>
        <v>0</v>
      </c>
      <c r="V154" s="1">
        <v>0</v>
      </c>
      <c r="W154" s="1">
        <f>IF(V154 + W153 &lt; 0, V154 + W153, 0)</f>
        <v>0</v>
      </c>
      <c r="X154" s="1">
        <v>0</v>
      </c>
      <c r="Y154" s="1">
        <f>IF(X154 + Y153 &lt; 0, X154 + Y153, 0)</f>
        <v>0</v>
      </c>
      <c r="Z154" s="1">
        <v>859126.814555719</v>
      </c>
      <c r="AA154" s="1">
        <f>IF(Z154 + AA153 &lt; 0, Z154 + AA153, 0)</f>
        <v>0</v>
      </c>
      <c r="AB154" s="1">
        <v>859126.814555719</v>
      </c>
      <c r="AC154" s="1">
        <f>IF(AB154 + AC153 &lt; 0, AB154 + AC153, 0)</f>
        <v>0</v>
      </c>
      <c r="AD154" s="1">
        <v>508294.3570869809</v>
      </c>
      <c r="AE154" s="1">
        <f>IF(AD154 + AE153 &lt; 0, AD154 + AE153, 0)</f>
        <v>0</v>
      </c>
      <c r="AF154" s="1">
        <v>0</v>
      </c>
      <c r="AG154" s="1">
        <f>IF(AF154 + AG153 &lt; 0, AF154 + AG153, 0)</f>
        <v>0</v>
      </c>
      <c r="AH154" s="1">
        <v>0</v>
      </c>
      <c r="AI154" s="1">
        <f>IF(AH154 + AI153 &lt; 0, AH154 + AI153, 0)</f>
        <v>0</v>
      </c>
      <c r="AJ154" s="1">
        <v>0</v>
      </c>
      <c r="AK154" s="1">
        <f>IF(AJ154 + AK153 &lt; 0, AJ154 + AK153, 0)</f>
        <v>0</v>
      </c>
    </row>
    <row r="155" spans="1:37" s="1" customFormat="1">
      <c r="A155" s="3">
        <v>45520</v>
      </c>
      <c r="B155" s="2" t="s">
        <v>26</v>
      </c>
      <c r="C155" s="2">
        <v>9</v>
      </c>
      <c r="D155" s="2">
        <v>8</v>
      </c>
      <c r="E155" s="2">
        <v>7</v>
      </c>
      <c r="F155" s="2">
        <v>5</v>
      </c>
      <c r="G155" s="2">
        <v>1</v>
      </c>
      <c r="H155" s="1">
        <v>0</v>
      </c>
      <c r="I155" s="1">
        <f>IF(H155 + I154 &lt; 0, H155 + I154, 0)</f>
        <v>0</v>
      </c>
      <c r="J155" s="1">
        <v>0</v>
      </c>
      <c r="K155" s="1">
        <f>IF(J155 + K154 &lt; 0, J155 + K154, 0)</f>
        <v>0</v>
      </c>
      <c r="L155" s="1">
        <v>0</v>
      </c>
      <c r="M155" s="1">
        <f>IF(L155 + M154 &lt; 0, L155 + M154, 0)</f>
        <v>0</v>
      </c>
      <c r="N155" s="1">
        <v>0</v>
      </c>
      <c r="O155" s="1">
        <f>IF(N155 + O154 &lt; 0, N155 + O154, 0)</f>
        <v>0</v>
      </c>
      <c r="P155" s="1">
        <v>0</v>
      </c>
      <c r="Q155" s="1">
        <f>IF(P155 + Q154 &lt; 0, P155 + Q154, 0)</f>
        <v>0</v>
      </c>
      <c r="R155" s="1">
        <v>0</v>
      </c>
      <c r="S155" s="1">
        <f>IF(R155 + S154 &lt; 0, R155 + S154, 0)</f>
        <v>0</v>
      </c>
      <c r="T155" s="1">
        <v>0</v>
      </c>
      <c r="U155" s="1">
        <f>IF(T155 + U154 &lt; 0, T155 + U154, 0)</f>
        <v>0</v>
      </c>
      <c r="V155" s="1">
        <v>0</v>
      </c>
      <c r="W155" s="1">
        <f>IF(V155 + W154 &lt; 0, V155 + W154, 0)</f>
        <v>0</v>
      </c>
      <c r="X155" s="1">
        <v>0</v>
      </c>
      <c r="Y155" s="1">
        <f>IF(X155 + Y154 &lt; 0, X155 + Y154, 0)</f>
        <v>0</v>
      </c>
      <c r="Z155" s="1">
        <v>0</v>
      </c>
      <c r="AA155" s="1">
        <f>IF(Z155 + AA154 &lt; 0, Z155 + AA154, 0)</f>
        <v>0</v>
      </c>
      <c r="AB155" s="1">
        <v>0</v>
      </c>
      <c r="AC155" s="1">
        <f>IF(AB155 + AC154 &lt; 0, AB155 + AC154, 0)</f>
        <v>0</v>
      </c>
      <c r="AD155" s="1">
        <v>0</v>
      </c>
      <c r="AE155" s="1">
        <f>IF(AD155 + AE154 &lt; 0, AD155 + AE154, 0)</f>
        <v>0</v>
      </c>
      <c r="AF155" s="1">
        <v>163415.9698093579</v>
      </c>
      <c r="AG155" s="1">
        <f>IF(AF155 + AG154 &lt; 0, AF155 + AG154, 0)</f>
        <v>0</v>
      </c>
      <c r="AH155" s="1">
        <v>163415.9698093579</v>
      </c>
      <c r="AI155" s="1">
        <f>IF(AH155 + AI154 &lt; 0, AH155 + AI154, 0)</f>
        <v>0</v>
      </c>
      <c r="AJ155" s="1">
        <v>400041.8710128578</v>
      </c>
      <c r="AK155" s="1">
        <f>IF(AJ155 + AK154 &lt; 0, AJ155 + AK154, 0)</f>
        <v>0</v>
      </c>
    </row>
    <row r="156" spans="1:37" s="1" customFormat="1">
      <c r="A156" s="3">
        <v>45523</v>
      </c>
      <c r="B156" s="2" t="s">
        <v>22</v>
      </c>
      <c r="C156" s="2">
        <v>8</v>
      </c>
      <c r="D156" s="2">
        <v>7</v>
      </c>
      <c r="E156" s="2">
        <v>6</v>
      </c>
      <c r="F156" s="2">
        <v>4</v>
      </c>
      <c r="G156" s="2">
        <v>5</v>
      </c>
      <c r="H156" s="1">
        <v>0</v>
      </c>
      <c r="I156" s="1">
        <f>IF(H156 + I155 &lt; 0, H156 + I155, 0)</f>
        <v>0</v>
      </c>
      <c r="J156" s="1">
        <v>0</v>
      </c>
      <c r="K156" s="1">
        <f>IF(J156 + K155 &lt; 0, J156 + K155, 0)</f>
        <v>0</v>
      </c>
      <c r="L156" s="1">
        <v>0</v>
      </c>
      <c r="M156" s="1">
        <f>IF(L156 + M155 &lt; 0, L156 + M155, 0)</f>
        <v>0</v>
      </c>
      <c r="N156" s="1">
        <v>0</v>
      </c>
      <c r="O156" s="1">
        <f>IF(N156 + O155 &lt; 0, N156 + O155, 0)</f>
        <v>0</v>
      </c>
      <c r="P156" s="1">
        <v>0</v>
      </c>
      <c r="Q156" s="1">
        <f>IF(P156 + Q155 &lt; 0, P156 + Q155, 0)</f>
        <v>0</v>
      </c>
      <c r="R156" s="1">
        <v>0</v>
      </c>
      <c r="S156" s="1">
        <f>IF(R156 + S155 &lt; 0, R156 + S155, 0)</f>
        <v>0</v>
      </c>
      <c r="T156" s="1">
        <v>0</v>
      </c>
      <c r="U156" s="1">
        <f>IF(T156 + U155 &lt; 0, T156 + U155, 0)</f>
        <v>0</v>
      </c>
      <c r="V156" s="1">
        <v>0</v>
      </c>
      <c r="W156" s="1">
        <f>IF(V156 + W155 &lt; 0, V156 + W155, 0)</f>
        <v>0</v>
      </c>
      <c r="X156" s="1">
        <v>0</v>
      </c>
      <c r="Y156" s="1">
        <f>IF(X156 + Y155 &lt; 0, X156 + Y155, 0)</f>
        <v>0</v>
      </c>
      <c r="Z156" s="1">
        <v>0</v>
      </c>
      <c r="AA156" s="1">
        <f>IF(Z156 + AA155 &lt; 0, Z156 + AA155, 0)</f>
        <v>0</v>
      </c>
      <c r="AB156" s="1">
        <v>0</v>
      </c>
      <c r="AC156" s="1">
        <f>IF(AB156 + AC155 &lt; 0, AB156 + AC155, 0)</f>
        <v>0</v>
      </c>
      <c r="AD156" s="1">
        <v>0</v>
      </c>
      <c r="AE156" s="1">
        <f>IF(AD156 + AE155 &lt; 0, AD156 + AE155, 0)</f>
        <v>0</v>
      </c>
      <c r="AF156" s="1">
        <v>0</v>
      </c>
      <c r="AG156" s="1">
        <f>IF(AF156 + AG155 &lt; 0, AF156 + AG155, 0)</f>
        <v>0</v>
      </c>
      <c r="AH156" s="1">
        <v>0</v>
      </c>
      <c r="AI156" s="1">
        <f>IF(AH156 + AI155 &lt; 0, AH156 + AI155, 0)</f>
        <v>0</v>
      </c>
      <c r="AJ156" s="1">
        <v>0</v>
      </c>
      <c r="AK156" s="1">
        <f>IF(AJ156 + AK155 &lt; 0, AJ156 + AK155, 0)</f>
        <v>0</v>
      </c>
    </row>
    <row r="157" spans="1:37" s="1" customFormat="1">
      <c r="A157" s="3">
        <v>45524</v>
      </c>
      <c r="B157" s="2" t="s">
        <v>23</v>
      </c>
      <c r="C157" s="2">
        <v>7</v>
      </c>
      <c r="D157" s="2">
        <v>6</v>
      </c>
      <c r="E157" s="2">
        <v>5</v>
      </c>
      <c r="F157" s="2">
        <v>3</v>
      </c>
      <c r="G157" s="2">
        <v>4</v>
      </c>
      <c r="H157" s="1">
        <v>0</v>
      </c>
      <c r="I157" s="1">
        <f>IF(H157 + I156 &lt; 0, H157 + I156, 0)</f>
        <v>0</v>
      </c>
      <c r="J157" s="1">
        <v>0</v>
      </c>
      <c r="K157" s="1">
        <f>IF(J157 + K156 &lt; 0, J157 + K156, 0)</f>
        <v>0</v>
      </c>
      <c r="L157" s="1">
        <v>0</v>
      </c>
      <c r="M157" s="1">
        <f>IF(L157 + M156 &lt; 0, L157 + M156, 0)</f>
        <v>0</v>
      </c>
      <c r="N157" s="1">
        <v>0</v>
      </c>
      <c r="O157" s="1">
        <f>IF(N157 + O156 &lt; 0, N157 + O156, 0)</f>
        <v>0</v>
      </c>
      <c r="P157" s="1">
        <v>0</v>
      </c>
      <c r="Q157" s="1">
        <f>IF(P157 + Q156 &lt; 0, P157 + Q156, 0)</f>
        <v>0</v>
      </c>
      <c r="R157" s="1">
        <v>0</v>
      </c>
      <c r="S157" s="1">
        <f>IF(R157 + S156 &lt; 0, R157 + S156, 0)</f>
        <v>0</v>
      </c>
      <c r="T157" s="1">
        <v>0</v>
      </c>
      <c r="U157" s="1">
        <f>IF(T157 + U156 &lt; 0, T157 + U156, 0)</f>
        <v>0</v>
      </c>
      <c r="V157" s="1">
        <v>0</v>
      </c>
      <c r="W157" s="1">
        <f>IF(V157 + W156 &lt; 0, V157 + W156, 0)</f>
        <v>0</v>
      </c>
      <c r="X157" s="1">
        <v>0</v>
      </c>
      <c r="Y157" s="1">
        <f>IF(X157 + Y156 &lt; 0, X157 + Y156, 0)</f>
        <v>0</v>
      </c>
      <c r="Z157" s="1">
        <v>0</v>
      </c>
      <c r="AA157" s="1">
        <f>IF(Z157 + AA156 &lt; 0, Z157 + AA156, 0)</f>
        <v>0</v>
      </c>
      <c r="AB157" s="1">
        <v>0</v>
      </c>
      <c r="AC157" s="1">
        <f>IF(AB157 + AC156 &lt; 0, AB157 + AC156, 0)</f>
        <v>0</v>
      </c>
      <c r="AD157" s="1">
        <v>0</v>
      </c>
      <c r="AE157" s="1">
        <f>IF(AD157 + AE156 &lt; 0, AD157 + AE156, 0)</f>
        <v>0</v>
      </c>
      <c r="AF157" s="1">
        <v>0</v>
      </c>
      <c r="AG157" s="1">
        <f>IF(AF157 + AG156 &lt; 0, AF157 + AG156, 0)</f>
        <v>0</v>
      </c>
      <c r="AH157" s="1">
        <v>0</v>
      </c>
      <c r="AI157" s="1">
        <f>IF(AH157 + AI156 &lt; 0, AH157 + AI156, 0)</f>
        <v>0</v>
      </c>
      <c r="AJ157" s="1">
        <v>0</v>
      </c>
      <c r="AK157" s="1">
        <f>IF(AJ157 + AK156 &lt; 0, AJ157 + AK156, 0)</f>
        <v>0</v>
      </c>
    </row>
    <row r="158" spans="1:37" s="1" customFormat="1">
      <c r="A158" s="3">
        <v>45525</v>
      </c>
      <c r="B158" s="2" t="s">
        <v>24</v>
      </c>
      <c r="C158" s="2">
        <v>6</v>
      </c>
      <c r="D158" s="2">
        <v>5</v>
      </c>
      <c r="E158" s="2">
        <v>4</v>
      </c>
      <c r="F158" s="2">
        <v>2</v>
      </c>
      <c r="G158" s="2">
        <v>3</v>
      </c>
      <c r="H158" s="1">
        <v>0</v>
      </c>
      <c r="I158" s="1">
        <f>IF(H158 + I157 &lt; 0, H158 + I157, 0)</f>
        <v>0</v>
      </c>
      <c r="J158" s="1">
        <v>0</v>
      </c>
      <c r="K158" s="1">
        <f>IF(J158 + K157 &lt; 0, J158 + K157, 0)</f>
        <v>0</v>
      </c>
      <c r="L158" s="1">
        <v>0</v>
      </c>
      <c r="M158" s="1">
        <f>IF(L158 + M157 &lt; 0, L158 + M157, 0)</f>
        <v>0</v>
      </c>
      <c r="N158" s="1">
        <v>0</v>
      </c>
      <c r="O158" s="1">
        <f>IF(N158 + O157 &lt; 0, N158 + O157, 0)</f>
        <v>0</v>
      </c>
      <c r="P158" s="1">
        <v>0</v>
      </c>
      <c r="Q158" s="1">
        <f>IF(P158 + Q157 &lt; 0, P158 + Q157, 0)</f>
        <v>0</v>
      </c>
      <c r="R158" s="1">
        <v>0</v>
      </c>
      <c r="S158" s="1">
        <f>IF(R158 + S157 &lt; 0, R158 + S157, 0)</f>
        <v>0</v>
      </c>
      <c r="T158" s="1">
        <v>0</v>
      </c>
      <c r="U158" s="1">
        <f>IF(T158 + U157 &lt; 0, T158 + U157, 0)</f>
        <v>0</v>
      </c>
      <c r="V158" s="1">
        <v>0</v>
      </c>
      <c r="W158" s="1">
        <f>IF(V158 + W157 &lt; 0, V158 + W157, 0)</f>
        <v>0</v>
      </c>
      <c r="X158" s="1">
        <v>0</v>
      </c>
      <c r="Y158" s="1">
        <f>IF(X158 + Y157 &lt; 0, X158 + Y157, 0)</f>
        <v>0</v>
      </c>
      <c r="Z158" s="1">
        <v>0</v>
      </c>
      <c r="AA158" s="1">
        <f>IF(Z158 + AA157 &lt; 0, Z158 + AA157, 0)</f>
        <v>0</v>
      </c>
      <c r="AB158" s="1">
        <v>0</v>
      </c>
      <c r="AC158" s="1">
        <f>IF(AB158 + AC157 &lt; 0, AB158 + AC157, 0)</f>
        <v>0</v>
      </c>
      <c r="AD158" s="1">
        <v>0</v>
      </c>
      <c r="AE158" s="1">
        <f>IF(AD158 + AE157 &lt; 0, AD158 + AE157, 0)</f>
        <v>0</v>
      </c>
      <c r="AF158" s="1">
        <v>0</v>
      </c>
      <c r="AG158" s="1">
        <f>IF(AF158 + AG157 &lt; 0, AF158 + AG157, 0)</f>
        <v>0</v>
      </c>
      <c r="AH158" s="1">
        <v>0</v>
      </c>
      <c r="AI158" s="1">
        <f>IF(AH158 + AI157 &lt; 0, AH158 + AI157, 0)</f>
        <v>0</v>
      </c>
      <c r="AJ158" s="1">
        <v>0</v>
      </c>
      <c r="AK158" s="1">
        <f>IF(AJ158 + AK157 &lt; 0, AJ158 + AK157, 0)</f>
        <v>0</v>
      </c>
    </row>
    <row r="159" spans="1:37" s="1" customFormat="1">
      <c r="A159" s="3">
        <v>45526</v>
      </c>
      <c r="B159" s="2" t="s">
        <v>25</v>
      </c>
      <c r="C159" s="2">
        <v>5</v>
      </c>
      <c r="D159" s="2">
        <v>4</v>
      </c>
      <c r="E159" s="2">
        <v>3</v>
      </c>
      <c r="F159" s="2">
        <v>1</v>
      </c>
      <c r="G159" s="2">
        <v>2</v>
      </c>
      <c r="H159" s="1">
        <v>0</v>
      </c>
      <c r="I159" s="1">
        <f>IF(H159 + I158 &lt; 0, H159 + I158, 0)</f>
        <v>0</v>
      </c>
      <c r="J159" s="1">
        <v>0</v>
      </c>
      <c r="K159" s="1">
        <f>IF(J159 + K158 &lt; 0, J159 + K158, 0)</f>
        <v>0</v>
      </c>
      <c r="L159" s="1">
        <v>0</v>
      </c>
      <c r="M159" s="1">
        <f>IF(L159 + M158 &lt; 0, L159 + M158, 0)</f>
        <v>0</v>
      </c>
      <c r="N159" s="1">
        <v>0</v>
      </c>
      <c r="O159" s="1">
        <f>IF(N159 + O158 &lt; 0, N159 + O158, 0)</f>
        <v>0</v>
      </c>
      <c r="P159" s="1">
        <v>0</v>
      </c>
      <c r="Q159" s="1">
        <f>IF(P159 + Q158 &lt; 0, P159 + Q158, 0)</f>
        <v>0</v>
      </c>
      <c r="R159" s="1">
        <v>0</v>
      </c>
      <c r="S159" s="1">
        <f>IF(R159 + S158 &lt; 0, R159 + S158, 0)</f>
        <v>0</v>
      </c>
      <c r="T159" s="1">
        <v>0</v>
      </c>
      <c r="U159" s="1">
        <f>IF(T159 + U158 &lt; 0, T159 + U158, 0)</f>
        <v>0</v>
      </c>
      <c r="V159" s="1">
        <v>0</v>
      </c>
      <c r="W159" s="1">
        <f>IF(V159 + W158 &lt; 0, V159 + W158, 0)</f>
        <v>0</v>
      </c>
      <c r="X159" s="1">
        <v>0</v>
      </c>
      <c r="Y159" s="1">
        <f>IF(X159 + Y158 &lt; 0, X159 + Y158, 0)</f>
        <v>0</v>
      </c>
      <c r="Z159" s="1">
        <v>418871.5288515225</v>
      </c>
      <c r="AA159" s="1">
        <f>IF(Z159 + AA158 &lt; 0, Z159 + AA158, 0)</f>
        <v>0</v>
      </c>
      <c r="AB159" s="1">
        <v>502971.9985230407</v>
      </c>
      <c r="AC159" s="1">
        <f>IF(AB159 + AC158 &lt; 0, AB159 + AC158, 0)</f>
        <v>0</v>
      </c>
      <c r="AD159" s="1">
        <v>517985.0032044597</v>
      </c>
      <c r="AE159" s="1">
        <f>IF(AD159 + AE158 &lt; 0, AD159 + AE158, 0)</f>
        <v>0</v>
      </c>
      <c r="AF159" s="1">
        <v>0</v>
      </c>
      <c r="AG159" s="1">
        <f>IF(AF159 + AG158 &lt; 0, AF159 + AG158, 0)</f>
        <v>0</v>
      </c>
      <c r="AH159" s="1">
        <v>0</v>
      </c>
      <c r="AI159" s="1">
        <f>IF(AH159 + AI158 &lt; 0, AH159 + AI158, 0)</f>
        <v>0</v>
      </c>
      <c r="AJ159" s="1">
        <v>0</v>
      </c>
      <c r="AK159" s="1">
        <f>IF(AJ159 + AK158 &lt; 0, AJ159 + AK158, 0)</f>
        <v>0</v>
      </c>
    </row>
    <row r="160" spans="1:37" s="1" customFormat="1">
      <c r="A160" s="3">
        <v>45527</v>
      </c>
      <c r="B160" s="2" t="s">
        <v>26</v>
      </c>
      <c r="C160" s="2">
        <v>4</v>
      </c>
      <c r="D160" s="2">
        <v>3</v>
      </c>
      <c r="E160" s="2">
        <v>2</v>
      </c>
      <c r="F160" s="2">
        <v>5</v>
      </c>
      <c r="G160" s="2">
        <v>1</v>
      </c>
      <c r="H160" s="1">
        <v>0</v>
      </c>
      <c r="I160" s="1">
        <f>IF(H160 + I159 &lt; 0, H160 + I159, 0)</f>
        <v>0</v>
      </c>
      <c r="J160" s="1">
        <v>0</v>
      </c>
      <c r="K160" s="1">
        <f>IF(J160 + K159 &lt; 0, J160 + K159, 0)</f>
        <v>0</v>
      </c>
      <c r="L160" s="1">
        <v>0</v>
      </c>
      <c r="M160" s="1">
        <f>IF(L160 + M159 &lt; 0, L160 + M159, 0)</f>
        <v>0</v>
      </c>
      <c r="N160" s="1">
        <v>0</v>
      </c>
      <c r="O160" s="1">
        <f>IF(N160 + O159 &lt; 0, N160 + O159, 0)</f>
        <v>0</v>
      </c>
      <c r="P160" s="1">
        <v>0</v>
      </c>
      <c r="Q160" s="1">
        <f>IF(P160 + Q159 &lt; 0, P160 + Q159, 0)</f>
        <v>0</v>
      </c>
      <c r="R160" s="1">
        <v>0</v>
      </c>
      <c r="S160" s="1">
        <f>IF(R160 + S159 &lt; 0, R160 + S159, 0)</f>
        <v>0</v>
      </c>
      <c r="T160" s="1">
        <v>0</v>
      </c>
      <c r="U160" s="1">
        <f>IF(T160 + U159 &lt; 0, T160 + U159, 0)</f>
        <v>0</v>
      </c>
      <c r="V160" s="1">
        <v>0</v>
      </c>
      <c r="W160" s="1">
        <f>IF(V160 + W159 &lt; 0, V160 + W159, 0)</f>
        <v>0</v>
      </c>
      <c r="X160" s="1">
        <v>0</v>
      </c>
      <c r="Y160" s="1">
        <f>IF(X160 + Y159 &lt; 0, X160 + Y159, 0)</f>
        <v>0</v>
      </c>
      <c r="Z160" s="1">
        <v>0</v>
      </c>
      <c r="AA160" s="1">
        <f>IF(Z160 + AA159 &lt; 0, Z160 + AA159, 0)</f>
        <v>0</v>
      </c>
      <c r="AB160" s="1">
        <v>0</v>
      </c>
      <c r="AC160" s="1">
        <f>IF(AB160 + AC159 &lt; 0, AB160 + AC159, 0)</f>
        <v>0</v>
      </c>
      <c r="AD160" s="1">
        <v>0</v>
      </c>
      <c r="AE160" s="1">
        <f>IF(AD160 + AE159 &lt; 0, AD160 + AE159, 0)</f>
        <v>0</v>
      </c>
      <c r="AF160" s="1">
        <v>782877.803281441</v>
      </c>
      <c r="AG160" s="1">
        <f>IF(AF160 + AG159 &lt; 0, AF160 + AG159, 0)</f>
        <v>0</v>
      </c>
      <c r="AH160" s="1">
        <v>714788.3685903039</v>
      </c>
      <c r="AI160" s="1">
        <f>IF(AH160 + AI159 &lt; 0, AH160 + AI159, 0)</f>
        <v>0</v>
      </c>
      <c r="AJ160" s="1">
        <v>677461.1586009255</v>
      </c>
      <c r="AK160" s="1">
        <f>IF(AJ160 + AK159 &lt; 0, AJ160 + AK159, 0)</f>
        <v>0</v>
      </c>
    </row>
    <row r="161" spans="1:37" s="1" customFormat="1">
      <c r="A161" s="3">
        <v>45530</v>
      </c>
      <c r="B161" s="2" t="s">
        <v>22</v>
      </c>
      <c r="C161" s="2">
        <v>3</v>
      </c>
      <c r="D161" s="2">
        <v>2</v>
      </c>
      <c r="E161" s="2">
        <v>1</v>
      </c>
      <c r="F161" s="2">
        <v>4</v>
      </c>
      <c r="G161" s="2">
        <v>5</v>
      </c>
      <c r="H161" s="1">
        <v>0</v>
      </c>
      <c r="I161" s="1">
        <f>IF(H161 + I160 &lt; 0, H161 + I160, 0)</f>
        <v>0</v>
      </c>
      <c r="J161" s="1">
        <v>0</v>
      </c>
      <c r="K161" s="1">
        <f>IF(J161 + K160 &lt; 0, J161 + K160, 0)</f>
        <v>0</v>
      </c>
      <c r="L161" s="1">
        <v>0</v>
      </c>
      <c r="M161" s="1">
        <f>IF(L161 + M160 &lt; 0, L161 + M160, 0)</f>
        <v>0</v>
      </c>
      <c r="N161" s="1">
        <v>0</v>
      </c>
      <c r="O161" s="1">
        <f>IF(N161 + O160 &lt; 0, N161 + O160, 0)</f>
        <v>0</v>
      </c>
      <c r="P161" s="1">
        <v>0</v>
      </c>
      <c r="Q161" s="1">
        <f>IF(P161 + Q160 &lt; 0, P161 + Q160, 0)</f>
        <v>0</v>
      </c>
      <c r="R161" s="1">
        <v>0</v>
      </c>
      <c r="S161" s="1">
        <f>IF(R161 + S160 &lt; 0, R161 + S160, 0)</f>
        <v>0</v>
      </c>
      <c r="T161" s="1">
        <v>0</v>
      </c>
      <c r="U161" s="1">
        <f>IF(T161 + U160 &lt; 0, T161 + U160, 0)</f>
        <v>0</v>
      </c>
      <c r="V161" s="1">
        <v>0</v>
      </c>
      <c r="W161" s="1">
        <f>IF(V161 + W160 &lt; 0, V161 + W160, 0)</f>
        <v>0</v>
      </c>
      <c r="X161" s="1">
        <v>0</v>
      </c>
      <c r="Y161" s="1">
        <f>IF(X161 + Y160 &lt; 0, X161 + Y160, 0)</f>
        <v>0</v>
      </c>
      <c r="Z161" s="1">
        <v>0</v>
      </c>
      <c r="AA161" s="1">
        <f>IF(Z161 + AA160 &lt; 0, Z161 + AA160, 0)</f>
        <v>0</v>
      </c>
      <c r="AB161" s="1">
        <v>0</v>
      </c>
      <c r="AC161" s="1">
        <f>IF(AB161 + AC160 &lt; 0, AB161 + AC160, 0)</f>
        <v>0</v>
      </c>
      <c r="AD161" s="1">
        <v>0</v>
      </c>
      <c r="AE161" s="1">
        <f>IF(AD161 + AE160 &lt; 0, AD161 + AE160, 0)</f>
        <v>0</v>
      </c>
      <c r="AF161" s="1">
        <v>0</v>
      </c>
      <c r="AG161" s="1">
        <f>IF(AF161 + AG160 &lt; 0, AF161 + AG160, 0)</f>
        <v>0</v>
      </c>
      <c r="AH161" s="1">
        <v>0</v>
      </c>
      <c r="AI161" s="1">
        <f>IF(AH161 + AI160 &lt; 0, AH161 + AI160, 0)</f>
        <v>0</v>
      </c>
      <c r="AJ161" s="1">
        <v>0</v>
      </c>
      <c r="AK161" s="1">
        <f>IF(AJ161 + AK160 &lt; 0, AJ161 + AK160, 0)</f>
        <v>0</v>
      </c>
    </row>
    <row r="162" spans="1:37" s="1" customFormat="1">
      <c r="A162" s="3">
        <v>45531</v>
      </c>
      <c r="B162" s="2" t="s">
        <v>23</v>
      </c>
      <c r="C162" s="2">
        <v>2</v>
      </c>
      <c r="D162" s="2">
        <v>1</v>
      </c>
      <c r="E162" s="2">
        <v>25</v>
      </c>
      <c r="F162" s="2">
        <v>3</v>
      </c>
      <c r="G162" s="2">
        <v>4</v>
      </c>
      <c r="H162" s="1">
        <v>0</v>
      </c>
      <c r="I162" s="1">
        <f>IF(H162 + I161 &lt; 0, H162 + I161, 0)</f>
        <v>0</v>
      </c>
      <c r="J162" s="1">
        <v>0</v>
      </c>
      <c r="K162" s="1">
        <f>IF(J162 + K161 &lt; 0, J162 + K161, 0)</f>
        <v>0</v>
      </c>
      <c r="L162" s="1">
        <v>0</v>
      </c>
      <c r="M162" s="1">
        <f>IF(L162 + M161 &lt; 0, L162 + M161, 0)</f>
        <v>0</v>
      </c>
      <c r="N162" s="1">
        <v>0</v>
      </c>
      <c r="O162" s="1">
        <f>IF(N162 + O161 &lt; 0, N162 + O161, 0)</f>
        <v>0</v>
      </c>
      <c r="P162" s="1">
        <v>0</v>
      </c>
      <c r="Q162" s="1">
        <f>IF(P162 + Q161 &lt; 0, P162 + Q161, 0)</f>
        <v>0</v>
      </c>
      <c r="R162" s="1">
        <v>0</v>
      </c>
      <c r="S162" s="1">
        <f>IF(R162 + S161 &lt; 0, R162 + S161, 0)</f>
        <v>0</v>
      </c>
      <c r="T162" s="1">
        <v>0</v>
      </c>
      <c r="U162" s="1">
        <f>IF(T162 + U161 &lt; 0, T162 + U161, 0)</f>
        <v>0</v>
      </c>
      <c r="V162" s="1">
        <v>0</v>
      </c>
      <c r="W162" s="1">
        <f>IF(V162 + W161 &lt; 0, V162 + W161, 0)</f>
        <v>0</v>
      </c>
      <c r="X162" s="1">
        <v>0</v>
      </c>
      <c r="Y162" s="1">
        <f>IF(X162 + Y161 &lt; 0, X162 + Y161, 0)</f>
        <v>0</v>
      </c>
      <c r="Z162" s="1">
        <v>0</v>
      </c>
      <c r="AA162" s="1">
        <f>IF(Z162 + AA161 &lt; 0, Z162 + AA161, 0)</f>
        <v>0</v>
      </c>
      <c r="AB162" s="1">
        <v>0</v>
      </c>
      <c r="AC162" s="1">
        <f>IF(AB162 + AC161 &lt; 0, AB162 + AC161, 0)</f>
        <v>0</v>
      </c>
      <c r="AD162" s="1">
        <v>0</v>
      </c>
      <c r="AE162" s="1">
        <f>IF(AD162 + AE161 &lt; 0, AD162 + AE161, 0)</f>
        <v>0</v>
      </c>
      <c r="AF162" s="1">
        <v>0</v>
      </c>
      <c r="AG162" s="1">
        <f>IF(AF162 + AG161 &lt; 0, AF162 + AG161, 0)</f>
        <v>0</v>
      </c>
      <c r="AH162" s="1">
        <v>0</v>
      </c>
      <c r="AI162" s="1">
        <f>IF(AH162 + AI161 &lt; 0, AH162 + AI161, 0)</f>
        <v>0</v>
      </c>
      <c r="AJ162" s="1">
        <v>0</v>
      </c>
      <c r="AK162" s="1">
        <f>IF(AJ162 + AK161 &lt; 0, AJ162 + AK161, 0)</f>
        <v>0</v>
      </c>
    </row>
    <row r="163" spans="1:37" s="1" customFormat="1">
      <c r="A163" s="3">
        <v>45532</v>
      </c>
      <c r="B163" s="2" t="s">
        <v>24</v>
      </c>
      <c r="C163" s="2">
        <v>1</v>
      </c>
      <c r="D163" s="2">
        <v>20</v>
      </c>
      <c r="E163" s="2">
        <v>24</v>
      </c>
      <c r="F163" s="2">
        <v>2</v>
      </c>
      <c r="G163" s="2">
        <v>3</v>
      </c>
      <c r="H163" s="1">
        <v>0</v>
      </c>
      <c r="I163" s="1">
        <f>IF(H163 + I162 &lt; 0, H163 + I162, 0)</f>
        <v>0</v>
      </c>
      <c r="J163" s="1">
        <v>0</v>
      </c>
      <c r="K163" s="1">
        <f>IF(J163 + K162 &lt; 0, J163 + K162, 0)</f>
        <v>0</v>
      </c>
      <c r="L163" s="1">
        <v>0</v>
      </c>
      <c r="M163" s="1">
        <f>IF(L163 + M162 &lt; 0, L163 + M162, 0)</f>
        <v>0</v>
      </c>
      <c r="N163" s="1">
        <v>0</v>
      </c>
      <c r="O163" s="1">
        <f>IF(N163 + O162 &lt; 0, N163 + O162, 0)</f>
        <v>0</v>
      </c>
      <c r="P163" s="1">
        <v>0</v>
      </c>
      <c r="Q163" s="1">
        <f>IF(P163 + Q162 &lt; 0, P163 + Q162, 0)</f>
        <v>0</v>
      </c>
      <c r="R163" s="1">
        <v>0</v>
      </c>
      <c r="S163" s="1">
        <f>IF(R163 + S162 &lt; 0, R163 + S162, 0)</f>
        <v>0</v>
      </c>
      <c r="T163" s="1">
        <v>0</v>
      </c>
      <c r="U163" s="1">
        <f>IF(T163 + U162 &lt; 0, T163 + U162, 0)</f>
        <v>0</v>
      </c>
      <c r="V163" s="1">
        <v>0</v>
      </c>
      <c r="W163" s="1">
        <f>IF(V163 + W162 &lt; 0, V163 + W162, 0)</f>
        <v>0</v>
      </c>
      <c r="X163" s="1">
        <v>0</v>
      </c>
      <c r="Y163" s="1">
        <f>IF(X163 + Y162 &lt; 0, X163 + Y162, 0)</f>
        <v>0</v>
      </c>
      <c r="Z163" s="1">
        <v>0</v>
      </c>
      <c r="AA163" s="1">
        <f>IF(Z163 + AA162 &lt; 0, Z163 + AA162, 0)</f>
        <v>0</v>
      </c>
      <c r="AB163" s="1">
        <v>0</v>
      </c>
      <c r="AC163" s="1">
        <f>IF(AB163 + AC162 &lt; 0, AB163 + AC162, 0)</f>
        <v>0</v>
      </c>
      <c r="AD163" s="1">
        <v>0</v>
      </c>
      <c r="AE163" s="1">
        <f>IF(AD163 + AE162 &lt; 0, AD163 + AE162, 0)</f>
        <v>0</v>
      </c>
      <c r="AF163" s="1">
        <v>0</v>
      </c>
      <c r="AG163" s="1">
        <f>IF(AF163 + AG162 &lt; 0, AF163 + AG162, 0)</f>
        <v>0</v>
      </c>
      <c r="AH163" s="1">
        <v>0</v>
      </c>
      <c r="AI163" s="1">
        <f>IF(AH163 + AI162 &lt; 0, AH163 + AI162, 0)</f>
        <v>0</v>
      </c>
      <c r="AJ163" s="1">
        <v>0</v>
      </c>
      <c r="AK163" s="1">
        <f>IF(AJ163 + AK162 &lt; 0, AJ163 + AK162, 0)</f>
        <v>0</v>
      </c>
    </row>
    <row r="164" spans="1:37" s="1" customFormat="1">
      <c r="A164" s="3">
        <v>45533</v>
      </c>
      <c r="B164" s="2" t="s">
        <v>25</v>
      </c>
      <c r="C164" s="2">
        <v>20</v>
      </c>
      <c r="D164" s="2">
        <v>19</v>
      </c>
      <c r="E164" s="2">
        <v>23</v>
      </c>
      <c r="F164" s="2">
        <v>1</v>
      </c>
      <c r="G164" s="2">
        <v>2</v>
      </c>
      <c r="H164" s="1">
        <v>0</v>
      </c>
      <c r="I164" s="1">
        <f>IF(H164 + I163 &lt; 0, H164 + I163, 0)</f>
        <v>0</v>
      </c>
      <c r="J164" s="1">
        <v>0</v>
      </c>
      <c r="K164" s="1">
        <f>IF(J164 + K163 &lt; 0, J164 + K163, 0)</f>
        <v>0</v>
      </c>
      <c r="L164" s="1">
        <v>0</v>
      </c>
      <c r="M164" s="1">
        <f>IF(L164 + M163 &lt; 0, L164 + M163, 0)</f>
        <v>0</v>
      </c>
      <c r="N164" s="1">
        <v>0</v>
      </c>
      <c r="O164" s="1">
        <f>IF(N164 + O163 &lt; 0, N164 + O163, 0)</f>
        <v>0</v>
      </c>
      <c r="P164" s="1">
        <v>0</v>
      </c>
      <c r="Q164" s="1">
        <f>IF(P164 + Q163 &lt; 0, P164 + Q163, 0)</f>
        <v>0</v>
      </c>
      <c r="R164" s="1">
        <v>0</v>
      </c>
      <c r="S164" s="1">
        <f>IF(R164 + S163 &lt; 0, R164 + S163, 0)</f>
        <v>0</v>
      </c>
      <c r="T164" s="1">
        <v>0</v>
      </c>
      <c r="U164" s="1">
        <f>IF(T164 + U163 &lt; 0, T164 + U163, 0)</f>
        <v>0</v>
      </c>
      <c r="V164" s="1">
        <v>0</v>
      </c>
      <c r="W164" s="1">
        <f>IF(V164 + W163 &lt; 0, V164 + W163, 0)</f>
        <v>0</v>
      </c>
      <c r="X164" s="1">
        <v>0</v>
      </c>
      <c r="Y164" s="1">
        <f>IF(X164 + Y163 &lt; 0, X164 + Y163, 0)</f>
        <v>0</v>
      </c>
      <c r="Z164" s="1">
        <v>-15223.14851383364</v>
      </c>
      <c r="AA164" s="1">
        <f>IF(Z164 + AA163 &lt; 0, Z164 + AA163, 0)</f>
        <v>0</v>
      </c>
      <c r="AB164" s="1">
        <v>46852.49710577007</v>
      </c>
      <c r="AC164" s="1">
        <f>IF(AB164 + AC163 &lt; 0, AB164 + AC163, 0)</f>
        <v>0</v>
      </c>
      <c r="AD164" s="1">
        <v>-141507.7757399572</v>
      </c>
      <c r="AE164" s="1">
        <f>IF(AD164 + AE163 &lt; 0, AD164 + AE163, 0)</f>
        <v>0</v>
      </c>
      <c r="AF164" s="1">
        <v>0</v>
      </c>
      <c r="AG164" s="1">
        <f>IF(AF164 + AG163 &lt; 0, AF164 + AG163, 0)</f>
        <v>0</v>
      </c>
      <c r="AH164" s="1">
        <v>0</v>
      </c>
      <c r="AI164" s="1">
        <f>IF(AH164 + AI163 &lt; 0, AH164 + AI163, 0)</f>
        <v>0</v>
      </c>
      <c r="AJ164" s="1">
        <v>0</v>
      </c>
      <c r="AK164" s="1">
        <f>IF(AJ164 + AK163 &lt; 0, AJ164 + AK163, 0)</f>
        <v>0</v>
      </c>
    </row>
    <row r="165" spans="1:37" s="1" customFormat="1">
      <c r="A165" s="3">
        <v>45534</v>
      </c>
      <c r="B165" s="2" t="s">
        <v>26</v>
      </c>
      <c r="C165" s="2">
        <v>19</v>
      </c>
      <c r="D165" s="2">
        <v>18</v>
      </c>
      <c r="E165" s="2">
        <v>22</v>
      </c>
      <c r="F165" s="2">
        <v>5</v>
      </c>
      <c r="G165" s="2">
        <v>1</v>
      </c>
      <c r="H165" s="1">
        <v>0</v>
      </c>
      <c r="I165" s="1">
        <f>IF(H165 + I164 &lt; 0, H165 + I164, 0)</f>
        <v>0</v>
      </c>
      <c r="J165" s="1">
        <v>0</v>
      </c>
      <c r="K165" s="1">
        <f>IF(J165 + K164 &lt; 0, J165 + K164, 0)</f>
        <v>0</v>
      </c>
      <c r="L165" s="1">
        <v>0</v>
      </c>
      <c r="M165" s="1">
        <f>IF(L165 + M164 &lt; 0, L165 + M164, 0)</f>
        <v>0</v>
      </c>
      <c r="N165" s="1">
        <v>0</v>
      </c>
      <c r="O165" s="1">
        <f>IF(N165 + O164 &lt; 0, N165 + O164, 0)</f>
        <v>0</v>
      </c>
      <c r="P165" s="1">
        <v>0</v>
      </c>
      <c r="Q165" s="1">
        <f>IF(P165 + Q164 &lt; 0, P165 + Q164, 0)</f>
        <v>0</v>
      </c>
      <c r="R165" s="1">
        <v>0</v>
      </c>
      <c r="S165" s="1">
        <f>IF(R165 + S164 &lt; 0, R165 + S164, 0)</f>
        <v>0</v>
      </c>
      <c r="T165" s="1">
        <v>0</v>
      </c>
      <c r="U165" s="1">
        <f>IF(T165 + U164 &lt; 0, T165 + U164, 0)</f>
        <v>0</v>
      </c>
      <c r="V165" s="1">
        <v>0</v>
      </c>
      <c r="W165" s="1">
        <f>IF(V165 + W164 &lt; 0, V165 + W164, 0)</f>
        <v>0</v>
      </c>
      <c r="X165" s="1">
        <v>0</v>
      </c>
      <c r="Y165" s="1">
        <f>IF(X165 + Y164 &lt; 0, X165 + Y164, 0)</f>
        <v>0</v>
      </c>
      <c r="Z165" s="1">
        <v>0</v>
      </c>
      <c r="AA165" s="1">
        <f>IF(Z165 + AA164 &lt; 0, Z165 + AA164, 0)</f>
        <v>0</v>
      </c>
      <c r="AB165" s="1">
        <v>0</v>
      </c>
      <c r="AC165" s="1">
        <f>IF(AB165 + AC164 &lt; 0, AB165 + AC164, 0)</f>
        <v>0</v>
      </c>
      <c r="AD165" s="1">
        <v>0</v>
      </c>
      <c r="AE165" s="1">
        <f>IF(AD165 + AE164 &lt; 0, AD165 + AE164, 0)</f>
        <v>0</v>
      </c>
      <c r="AF165" s="1">
        <v>682991.4889045627</v>
      </c>
      <c r="AG165" s="1">
        <f>IF(AF165 + AG164 &lt; 0, AF165 + AG164, 0)</f>
        <v>0</v>
      </c>
      <c r="AH165" s="1">
        <v>453696.4595402389</v>
      </c>
      <c r="AI165" s="1">
        <f>IF(AH165 + AI164 &lt; 0, AH165 + AI164, 0)</f>
        <v>0</v>
      </c>
      <c r="AJ165" s="1">
        <v>420608.4286171266</v>
      </c>
      <c r="AK165" s="1">
        <f>IF(AJ165 + AK164 &lt; 0, AJ165 + AK164, 0)</f>
        <v>0</v>
      </c>
    </row>
    <row r="166" spans="1:37" s="1" customFormat="1">
      <c r="A166" s="3">
        <v>45537</v>
      </c>
      <c r="B166" s="2" t="s">
        <v>22</v>
      </c>
      <c r="C166" s="2">
        <v>18</v>
      </c>
      <c r="D166" s="2">
        <v>17</v>
      </c>
      <c r="E166" s="2">
        <v>21</v>
      </c>
      <c r="F166" s="2">
        <v>4</v>
      </c>
      <c r="G166" s="2">
        <v>5</v>
      </c>
      <c r="H166" s="1">
        <v>0</v>
      </c>
      <c r="I166" s="1">
        <f>IF(H166 + I165 &lt; 0, H166 + I165, 0)</f>
        <v>0</v>
      </c>
      <c r="J166" s="1">
        <v>0</v>
      </c>
      <c r="K166" s="1">
        <f>IF(J166 + K165 &lt; 0, J166 + K165, 0)</f>
        <v>0</v>
      </c>
      <c r="L166" s="1">
        <v>0</v>
      </c>
      <c r="M166" s="1">
        <f>IF(L166 + M165 &lt; 0, L166 + M165, 0)</f>
        <v>0</v>
      </c>
      <c r="N166" s="1">
        <v>0</v>
      </c>
      <c r="O166" s="1">
        <f>IF(N166 + O165 &lt; 0, N166 + O165, 0)</f>
        <v>0</v>
      </c>
      <c r="P166" s="1">
        <v>0</v>
      </c>
      <c r="Q166" s="1">
        <f>IF(P166 + Q165 &lt; 0, P166 + Q165, 0)</f>
        <v>0</v>
      </c>
      <c r="R166" s="1">
        <v>0</v>
      </c>
      <c r="S166" s="1">
        <f>IF(R166 + S165 &lt; 0, R166 + S165, 0)</f>
        <v>0</v>
      </c>
      <c r="T166" s="1">
        <v>0</v>
      </c>
      <c r="U166" s="1">
        <f>IF(T166 + U165 &lt; 0, T166 + U165, 0)</f>
        <v>0</v>
      </c>
      <c r="V166" s="1">
        <v>0</v>
      </c>
      <c r="W166" s="1">
        <f>IF(V166 + W165 &lt; 0, V166 + W165, 0)</f>
        <v>0</v>
      </c>
      <c r="X166" s="1">
        <v>0</v>
      </c>
      <c r="Y166" s="1">
        <f>IF(X166 + Y165 &lt; 0, X166 + Y165, 0)</f>
        <v>0</v>
      </c>
      <c r="Z166" s="1">
        <v>0</v>
      </c>
      <c r="AA166" s="1">
        <f>IF(Z166 + AA165 &lt; 0, Z166 + AA165, 0)</f>
        <v>0</v>
      </c>
      <c r="AB166" s="1">
        <v>0</v>
      </c>
      <c r="AC166" s="1">
        <f>IF(AB166 + AC165 &lt; 0, AB166 + AC165, 0)</f>
        <v>0</v>
      </c>
      <c r="AD166" s="1">
        <v>0</v>
      </c>
      <c r="AE166" s="1">
        <f>IF(AD166 + AE165 &lt; 0, AD166 + AE165, 0)</f>
        <v>0</v>
      </c>
      <c r="AF166" s="1">
        <v>0</v>
      </c>
      <c r="AG166" s="1">
        <f>IF(AF166 + AG165 &lt; 0, AF166 + AG165, 0)</f>
        <v>0</v>
      </c>
      <c r="AH166" s="1">
        <v>0</v>
      </c>
      <c r="AI166" s="1">
        <f>IF(AH166 + AI165 &lt; 0, AH166 + AI165, 0)</f>
        <v>0</v>
      </c>
      <c r="AJ166" s="1">
        <v>0</v>
      </c>
      <c r="AK166" s="1">
        <f>IF(AJ166 + AK165 &lt; 0, AJ166 + AK165, 0)</f>
        <v>0</v>
      </c>
    </row>
    <row r="167" spans="1:37" s="1" customFormat="1">
      <c r="A167" s="3">
        <v>45538</v>
      </c>
      <c r="B167" s="2" t="s">
        <v>23</v>
      </c>
      <c r="C167" s="2">
        <v>17</v>
      </c>
      <c r="D167" s="2">
        <v>16</v>
      </c>
      <c r="E167" s="2">
        <v>20</v>
      </c>
      <c r="F167" s="2">
        <v>3</v>
      </c>
      <c r="G167" s="2">
        <v>4</v>
      </c>
      <c r="H167" s="1">
        <v>0</v>
      </c>
      <c r="I167" s="1">
        <f>IF(H167 + I166 &lt; 0, H167 + I166, 0)</f>
        <v>0</v>
      </c>
      <c r="J167" s="1">
        <v>0</v>
      </c>
      <c r="K167" s="1">
        <f>IF(J167 + K166 &lt; 0, J167 + K166, 0)</f>
        <v>0</v>
      </c>
      <c r="L167" s="1">
        <v>0</v>
      </c>
      <c r="M167" s="1">
        <f>IF(L167 + M166 &lt; 0, L167 + M166, 0)</f>
        <v>0</v>
      </c>
      <c r="N167" s="1">
        <v>0</v>
      </c>
      <c r="O167" s="1">
        <f>IF(N167 + O166 &lt; 0, N167 + O166, 0)</f>
        <v>0</v>
      </c>
      <c r="P167" s="1">
        <v>0</v>
      </c>
      <c r="Q167" s="1">
        <f>IF(P167 + Q166 &lt; 0, P167 + Q166, 0)</f>
        <v>0</v>
      </c>
      <c r="R167" s="1">
        <v>0</v>
      </c>
      <c r="S167" s="1">
        <f>IF(R167 + S166 &lt; 0, R167 + S166, 0)</f>
        <v>0</v>
      </c>
      <c r="T167" s="1">
        <v>0</v>
      </c>
      <c r="U167" s="1">
        <f>IF(T167 + U166 &lt; 0, T167 + U166, 0)</f>
        <v>0</v>
      </c>
      <c r="V167" s="1">
        <v>0</v>
      </c>
      <c r="W167" s="1">
        <f>IF(V167 + W166 &lt; 0, V167 + W166, 0)</f>
        <v>0</v>
      </c>
      <c r="X167" s="1">
        <v>0</v>
      </c>
      <c r="Y167" s="1">
        <f>IF(X167 + Y166 &lt; 0, X167 + Y166, 0)</f>
        <v>0</v>
      </c>
      <c r="Z167" s="1">
        <v>0</v>
      </c>
      <c r="AA167" s="1">
        <f>IF(Z167 + AA166 &lt; 0, Z167 + AA166, 0)</f>
        <v>0</v>
      </c>
      <c r="AB167" s="1">
        <v>0</v>
      </c>
      <c r="AC167" s="1">
        <f>IF(AB167 + AC166 &lt; 0, AB167 + AC166, 0)</f>
        <v>0</v>
      </c>
      <c r="AD167" s="1">
        <v>0</v>
      </c>
      <c r="AE167" s="1">
        <f>IF(AD167 + AE166 &lt; 0, AD167 + AE166, 0)</f>
        <v>0</v>
      </c>
      <c r="AF167" s="1">
        <v>0</v>
      </c>
      <c r="AG167" s="1">
        <f>IF(AF167 + AG166 &lt; 0, AF167 + AG166, 0)</f>
        <v>0</v>
      </c>
      <c r="AH167" s="1">
        <v>0</v>
      </c>
      <c r="AI167" s="1">
        <f>IF(AH167 + AI166 &lt; 0, AH167 + AI166, 0)</f>
        <v>0</v>
      </c>
      <c r="AJ167" s="1">
        <v>0</v>
      </c>
      <c r="AK167" s="1">
        <f>IF(AJ167 + AK166 &lt; 0, AJ167 + AK166, 0)</f>
        <v>0</v>
      </c>
    </row>
    <row r="168" spans="1:37" s="1" customFormat="1">
      <c r="A168" s="3">
        <v>45539</v>
      </c>
      <c r="B168" s="2" t="s">
        <v>24</v>
      </c>
      <c r="C168" s="2">
        <v>16</v>
      </c>
      <c r="D168" s="2">
        <v>15</v>
      </c>
      <c r="E168" s="2">
        <v>19</v>
      </c>
      <c r="F168" s="2">
        <v>2</v>
      </c>
      <c r="G168" s="2">
        <v>3</v>
      </c>
      <c r="H168" s="1">
        <v>0</v>
      </c>
      <c r="I168" s="1">
        <f>IF(H168 + I167 &lt; 0, H168 + I167, 0)</f>
        <v>0</v>
      </c>
      <c r="J168" s="1">
        <v>0</v>
      </c>
      <c r="K168" s="1">
        <f>IF(J168 + K167 &lt; 0, J168 + K167, 0)</f>
        <v>0</v>
      </c>
      <c r="L168" s="1">
        <v>0</v>
      </c>
      <c r="M168" s="1">
        <f>IF(L168 + M167 &lt; 0, L168 + M167, 0)</f>
        <v>0</v>
      </c>
      <c r="N168" s="1">
        <v>0</v>
      </c>
      <c r="O168" s="1">
        <f>IF(N168 + O167 &lt; 0, N168 + O167, 0)</f>
        <v>0</v>
      </c>
      <c r="P168" s="1">
        <v>0</v>
      </c>
      <c r="Q168" s="1">
        <f>IF(P168 + Q167 &lt; 0, P168 + Q167, 0)</f>
        <v>0</v>
      </c>
      <c r="R168" s="1">
        <v>0</v>
      </c>
      <c r="S168" s="1">
        <f>IF(R168 + S167 &lt; 0, R168 + S167, 0)</f>
        <v>0</v>
      </c>
      <c r="T168" s="1">
        <v>0</v>
      </c>
      <c r="U168" s="1">
        <f>IF(T168 + U167 &lt; 0, T168 + U167, 0)</f>
        <v>0</v>
      </c>
      <c r="V168" s="1">
        <v>0</v>
      </c>
      <c r="W168" s="1">
        <f>IF(V168 + W167 &lt; 0, V168 + W167, 0)</f>
        <v>0</v>
      </c>
      <c r="X168" s="1">
        <v>0</v>
      </c>
      <c r="Y168" s="1">
        <f>IF(X168 + Y167 &lt; 0, X168 + Y167, 0)</f>
        <v>0</v>
      </c>
      <c r="Z168" s="1">
        <v>0</v>
      </c>
      <c r="AA168" s="1">
        <f>IF(Z168 + AA167 &lt; 0, Z168 + AA167, 0)</f>
        <v>0</v>
      </c>
      <c r="AB168" s="1">
        <v>0</v>
      </c>
      <c r="AC168" s="1">
        <f>IF(AB168 + AC167 &lt; 0, AB168 + AC167, 0)</f>
        <v>0</v>
      </c>
      <c r="AD168" s="1">
        <v>0</v>
      </c>
      <c r="AE168" s="1">
        <f>IF(AD168 + AE167 &lt; 0, AD168 + AE167, 0)</f>
        <v>0</v>
      </c>
      <c r="AF168" s="1">
        <v>0</v>
      </c>
      <c r="AG168" s="1">
        <f>IF(AF168 + AG167 &lt; 0, AF168 + AG167, 0)</f>
        <v>0</v>
      </c>
      <c r="AH168" s="1">
        <v>0</v>
      </c>
      <c r="AI168" s="1">
        <f>IF(AH168 + AI167 &lt; 0, AH168 + AI167, 0)</f>
        <v>0</v>
      </c>
      <c r="AJ168" s="1">
        <v>0</v>
      </c>
      <c r="AK168" s="1">
        <f>IF(AJ168 + AK167 &lt; 0, AJ168 + AK167, 0)</f>
        <v>0</v>
      </c>
    </row>
    <row r="169" spans="1:37" s="1" customFormat="1">
      <c r="A169" s="3">
        <v>45540</v>
      </c>
      <c r="B169" s="2" t="s">
        <v>25</v>
      </c>
      <c r="C169" s="2">
        <v>15</v>
      </c>
      <c r="D169" s="2">
        <v>14</v>
      </c>
      <c r="E169" s="2">
        <v>18</v>
      </c>
      <c r="F169" s="2">
        <v>1</v>
      </c>
      <c r="G169" s="2">
        <v>2</v>
      </c>
      <c r="H169" s="1">
        <v>0</v>
      </c>
      <c r="I169" s="1">
        <f>IF(H169 + I168 &lt; 0, H169 + I168, 0)</f>
        <v>0</v>
      </c>
      <c r="J169" s="1">
        <v>0</v>
      </c>
      <c r="K169" s="1">
        <f>IF(J169 + K168 &lt; 0, J169 + K168, 0)</f>
        <v>0</v>
      </c>
      <c r="L169" s="1">
        <v>0</v>
      </c>
      <c r="M169" s="1">
        <f>IF(L169 + M168 &lt; 0, L169 + M168, 0)</f>
        <v>0</v>
      </c>
      <c r="N169" s="1">
        <v>0</v>
      </c>
      <c r="O169" s="1">
        <f>IF(N169 + O168 &lt; 0, N169 + O168, 0)</f>
        <v>0</v>
      </c>
      <c r="P169" s="1">
        <v>0</v>
      </c>
      <c r="Q169" s="1">
        <f>IF(P169 + Q168 &lt; 0, P169 + Q168, 0)</f>
        <v>0</v>
      </c>
      <c r="R169" s="1">
        <v>0</v>
      </c>
      <c r="S169" s="1">
        <f>IF(R169 + S168 &lt; 0, R169 + S168, 0)</f>
        <v>0</v>
      </c>
      <c r="T169" s="1">
        <v>0</v>
      </c>
      <c r="U169" s="1">
        <f>IF(T169 + U168 &lt; 0, T169 + U168, 0)</f>
        <v>0</v>
      </c>
      <c r="V169" s="1">
        <v>0</v>
      </c>
      <c r="W169" s="1">
        <f>IF(V169 + W168 &lt; 0, V169 + W168, 0)</f>
        <v>0</v>
      </c>
      <c r="X169" s="1">
        <v>0</v>
      </c>
      <c r="Y169" s="1">
        <f>IF(X169 + Y168 &lt; 0, X169 + Y168, 0)</f>
        <v>0</v>
      </c>
      <c r="Z169" s="1">
        <v>241614.7591698735</v>
      </c>
      <c r="AA169" s="1">
        <f>IF(Z169 + AA168 &lt; 0, Z169 + AA168, 0)</f>
        <v>0</v>
      </c>
      <c r="AB169" s="1">
        <v>237712.3897507437</v>
      </c>
      <c r="AC169" s="1">
        <f>IF(AB169 + AC168 &lt; 0, AB169 + AC168, 0)</f>
        <v>0</v>
      </c>
      <c r="AD169" s="1">
        <v>56615.84586705056</v>
      </c>
      <c r="AE169" s="1">
        <f>IF(AD169 + AE168 &lt; 0, AD169 + AE168, 0)</f>
        <v>0</v>
      </c>
      <c r="AF169" s="1">
        <v>0</v>
      </c>
      <c r="AG169" s="1">
        <f>IF(AF169 + AG168 &lt; 0, AF169 + AG168, 0)</f>
        <v>0</v>
      </c>
      <c r="AH169" s="1">
        <v>0</v>
      </c>
      <c r="AI169" s="1">
        <f>IF(AH169 + AI168 &lt; 0, AH169 + AI168, 0)</f>
        <v>0</v>
      </c>
      <c r="AJ169" s="1">
        <v>0</v>
      </c>
      <c r="AK169" s="1">
        <f>IF(AJ169 + AK168 &lt; 0, AJ169 + AK168, 0)</f>
        <v>0</v>
      </c>
    </row>
    <row r="170" spans="1:37" s="1" customFormat="1">
      <c r="A170" s="3">
        <v>45541</v>
      </c>
      <c r="B170" s="2" t="s">
        <v>26</v>
      </c>
      <c r="C170" s="2">
        <v>14</v>
      </c>
      <c r="D170" s="2">
        <v>13</v>
      </c>
      <c r="E170" s="2">
        <v>17</v>
      </c>
      <c r="F170" s="2">
        <v>5</v>
      </c>
      <c r="G170" s="2">
        <v>1</v>
      </c>
      <c r="H170" s="1">
        <v>0</v>
      </c>
      <c r="I170" s="1">
        <f>IF(H170 + I169 &lt; 0, H170 + I169, 0)</f>
        <v>0</v>
      </c>
      <c r="J170" s="1">
        <v>0</v>
      </c>
      <c r="K170" s="1">
        <f>IF(J170 + K169 &lt; 0, J170 + K169, 0)</f>
        <v>0</v>
      </c>
      <c r="L170" s="1">
        <v>0</v>
      </c>
      <c r="M170" s="1">
        <f>IF(L170 + M169 &lt; 0, L170 + M169, 0)</f>
        <v>0</v>
      </c>
      <c r="N170" s="1">
        <v>0</v>
      </c>
      <c r="O170" s="1">
        <f>IF(N170 + O169 &lt; 0, N170 + O169, 0)</f>
        <v>0</v>
      </c>
      <c r="P170" s="1">
        <v>0</v>
      </c>
      <c r="Q170" s="1">
        <f>IF(P170 + Q169 &lt; 0, P170 + Q169, 0)</f>
        <v>0</v>
      </c>
      <c r="R170" s="1">
        <v>0</v>
      </c>
      <c r="S170" s="1">
        <f>IF(R170 + S169 &lt; 0, R170 + S169, 0)</f>
        <v>0</v>
      </c>
      <c r="T170" s="1">
        <v>0</v>
      </c>
      <c r="U170" s="1">
        <f>IF(T170 + U169 &lt; 0, T170 + U169, 0)</f>
        <v>0</v>
      </c>
      <c r="V170" s="1">
        <v>0</v>
      </c>
      <c r="W170" s="1">
        <f>IF(V170 + W169 &lt; 0, V170 + W169, 0)</f>
        <v>0</v>
      </c>
      <c r="X170" s="1">
        <v>0</v>
      </c>
      <c r="Y170" s="1">
        <f>IF(X170 + Y169 &lt; 0, X170 + Y169, 0)</f>
        <v>0</v>
      </c>
      <c r="Z170" s="1">
        <v>0</v>
      </c>
      <c r="AA170" s="1">
        <f>IF(Z170 + AA169 &lt; 0, Z170 + AA169, 0)</f>
        <v>0</v>
      </c>
      <c r="AB170" s="1">
        <v>0</v>
      </c>
      <c r="AC170" s="1">
        <f>IF(AB170 + AC169 &lt; 0, AB170 + AC169, 0)</f>
        <v>0</v>
      </c>
      <c r="AD170" s="1">
        <v>0</v>
      </c>
      <c r="AE170" s="1">
        <f>IF(AD170 + AE169 &lt; 0, AD170 + AE169, 0)</f>
        <v>0</v>
      </c>
      <c r="AF170" s="1">
        <v>16022.43393326239</v>
      </c>
      <c r="AG170" s="1">
        <f>IF(AF170 + AG169 &lt; 0, AF170 + AG169, 0)</f>
        <v>0</v>
      </c>
      <c r="AH170" s="1">
        <v>-182031.3859189309</v>
      </c>
      <c r="AI170" s="1">
        <f>IF(AH170 + AI169 &lt; 0, AH170 + AI169, 0)</f>
        <v>0</v>
      </c>
      <c r="AJ170" s="1">
        <v>-77461.62899545388</v>
      </c>
      <c r="AK170" s="1">
        <f>IF(AJ170 + AK169 &lt; 0, AJ170 + AK169, 0)</f>
        <v>0</v>
      </c>
    </row>
    <row r="171" spans="1:37" s="1" customFormat="1">
      <c r="A171" s="3">
        <v>45544</v>
      </c>
      <c r="B171" s="2" t="s">
        <v>22</v>
      </c>
      <c r="C171" s="2">
        <v>13</v>
      </c>
      <c r="D171" s="2">
        <v>12</v>
      </c>
      <c r="E171" s="2">
        <v>16</v>
      </c>
      <c r="F171" s="2">
        <v>4</v>
      </c>
      <c r="G171" s="2">
        <v>5</v>
      </c>
      <c r="H171" s="1">
        <v>0</v>
      </c>
      <c r="I171" s="1">
        <f>IF(H171 + I170 &lt; 0, H171 + I170, 0)</f>
        <v>0</v>
      </c>
      <c r="J171" s="1">
        <v>0</v>
      </c>
      <c r="K171" s="1">
        <f>IF(J171 + K170 &lt; 0, J171 + K170, 0)</f>
        <v>0</v>
      </c>
      <c r="L171" s="1">
        <v>0</v>
      </c>
      <c r="M171" s="1">
        <f>IF(L171 + M170 &lt; 0, L171 + M170, 0)</f>
        <v>0</v>
      </c>
      <c r="N171" s="1">
        <v>0</v>
      </c>
      <c r="O171" s="1">
        <f>IF(N171 + O170 &lt; 0, N171 + O170, 0)</f>
        <v>0</v>
      </c>
      <c r="P171" s="1">
        <v>0</v>
      </c>
      <c r="Q171" s="1">
        <f>IF(P171 + Q170 &lt; 0, P171 + Q170, 0)</f>
        <v>0</v>
      </c>
      <c r="R171" s="1">
        <v>0</v>
      </c>
      <c r="S171" s="1">
        <f>IF(R171 + S170 &lt; 0, R171 + S170, 0)</f>
        <v>0</v>
      </c>
      <c r="T171" s="1">
        <v>0</v>
      </c>
      <c r="U171" s="1">
        <f>IF(T171 + U170 &lt; 0, T171 + U170, 0)</f>
        <v>0</v>
      </c>
      <c r="V171" s="1">
        <v>0</v>
      </c>
      <c r="W171" s="1">
        <f>IF(V171 + W170 &lt; 0, V171 + W170, 0)</f>
        <v>0</v>
      </c>
      <c r="X171" s="1">
        <v>0</v>
      </c>
      <c r="Y171" s="1">
        <f>IF(X171 + Y170 &lt; 0, X171 + Y170, 0)</f>
        <v>0</v>
      </c>
      <c r="Z171" s="1">
        <v>0</v>
      </c>
      <c r="AA171" s="1">
        <f>IF(Z171 + AA170 &lt; 0, Z171 + AA170, 0)</f>
        <v>0</v>
      </c>
      <c r="AB171" s="1">
        <v>0</v>
      </c>
      <c r="AC171" s="1">
        <f>IF(AB171 + AC170 &lt; 0, AB171 + AC170, 0)</f>
        <v>0</v>
      </c>
      <c r="AD171" s="1">
        <v>0</v>
      </c>
      <c r="AE171" s="1">
        <f>IF(AD171 + AE170 &lt; 0, AD171 + AE170, 0)</f>
        <v>0</v>
      </c>
      <c r="AF171" s="1">
        <v>0</v>
      </c>
      <c r="AG171" s="1">
        <f>IF(AF171 + AG170 &lt; 0, AF171 + AG170, 0)</f>
        <v>0</v>
      </c>
      <c r="AH171" s="1">
        <v>0</v>
      </c>
      <c r="AI171" s="1">
        <f>IF(AH171 + AI170 &lt; 0, AH171 + AI170, 0)</f>
        <v>0</v>
      </c>
      <c r="AJ171" s="1">
        <v>0</v>
      </c>
      <c r="AK171" s="1">
        <f>IF(AJ171 + AK170 &lt; 0, AJ171 + AK170, 0)</f>
        <v>0</v>
      </c>
    </row>
    <row r="172" spans="1:37" s="1" customFormat="1">
      <c r="A172" s="3">
        <v>45545</v>
      </c>
      <c r="B172" s="2" t="s">
        <v>23</v>
      </c>
      <c r="C172" s="2">
        <v>12</v>
      </c>
      <c r="D172" s="2">
        <v>11</v>
      </c>
      <c r="E172" s="2">
        <v>15</v>
      </c>
      <c r="F172" s="2">
        <v>3</v>
      </c>
      <c r="G172" s="2">
        <v>4</v>
      </c>
      <c r="H172" s="1">
        <v>0</v>
      </c>
      <c r="I172" s="1">
        <f>IF(H172 + I171 &lt; 0, H172 + I171, 0)</f>
        <v>0</v>
      </c>
      <c r="J172" s="1">
        <v>0</v>
      </c>
      <c r="K172" s="1">
        <f>IF(J172 + K171 &lt; 0, J172 + K171, 0)</f>
        <v>0</v>
      </c>
      <c r="L172" s="1">
        <v>0</v>
      </c>
      <c r="M172" s="1">
        <f>IF(L172 + M171 &lt; 0, L172 + M171, 0)</f>
        <v>0</v>
      </c>
      <c r="N172" s="1">
        <v>0</v>
      </c>
      <c r="O172" s="1">
        <f>IF(N172 + O171 &lt; 0, N172 + O171, 0)</f>
        <v>0</v>
      </c>
      <c r="P172" s="1">
        <v>0</v>
      </c>
      <c r="Q172" s="1">
        <f>IF(P172 + Q171 &lt; 0, P172 + Q171, 0)</f>
        <v>0</v>
      </c>
      <c r="R172" s="1">
        <v>0</v>
      </c>
      <c r="S172" s="1">
        <f>IF(R172 + S171 &lt; 0, R172 + S171, 0)</f>
        <v>0</v>
      </c>
      <c r="T172" s="1">
        <v>0</v>
      </c>
      <c r="U172" s="1">
        <f>IF(T172 + U171 &lt; 0, T172 + U171, 0)</f>
        <v>0</v>
      </c>
      <c r="V172" s="1">
        <v>0</v>
      </c>
      <c r="W172" s="1">
        <f>IF(V172 + W171 &lt; 0, V172 + W171, 0)</f>
        <v>0</v>
      </c>
      <c r="X172" s="1">
        <v>0</v>
      </c>
      <c r="Y172" s="1">
        <f>IF(X172 + Y171 &lt; 0, X172 + Y171, 0)</f>
        <v>0</v>
      </c>
      <c r="Z172" s="1">
        <v>0</v>
      </c>
      <c r="AA172" s="1">
        <f>IF(Z172 + AA171 &lt; 0, Z172 + AA171, 0)</f>
        <v>0</v>
      </c>
      <c r="AB172" s="1">
        <v>0</v>
      </c>
      <c r="AC172" s="1">
        <f>IF(AB172 + AC171 &lt; 0, AB172 + AC171, 0)</f>
        <v>0</v>
      </c>
      <c r="AD172" s="1">
        <v>0</v>
      </c>
      <c r="AE172" s="1">
        <f>IF(AD172 + AE171 &lt; 0, AD172 + AE171, 0)</f>
        <v>0</v>
      </c>
      <c r="AF172" s="1">
        <v>0</v>
      </c>
      <c r="AG172" s="1">
        <f>IF(AF172 + AG171 &lt; 0, AF172 + AG171, 0)</f>
        <v>0</v>
      </c>
      <c r="AH172" s="1">
        <v>0</v>
      </c>
      <c r="AI172" s="1">
        <f>IF(AH172 + AI171 &lt; 0, AH172 + AI171, 0)</f>
        <v>0</v>
      </c>
      <c r="AJ172" s="1">
        <v>0</v>
      </c>
      <c r="AK172" s="1">
        <f>IF(AJ172 + AK171 &lt; 0, AJ172 + AK171, 0)</f>
        <v>0</v>
      </c>
    </row>
    <row r="173" spans="1:37" s="1" customFormat="1">
      <c r="A173" s="3">
        <v>45546</v>
      </c>
      <c r="B173" s="2" t="s">
        <v>24</v>
      </c>
      <c r="C173" s="2">
        <v>11</v>
      </c>
      <c r="D173" s="2">
        <v>10</v>
      </c>
      <c r="E173" s="2">
        <v>14</v>
      </c>
      <c r="F173" s="2">
        <v>2</v>
      </c>
      <c r="G173" s="2">
        <v>3</v>
      </c>
      <c r="H173" s="1">
        <v>0</v>
      </c>
      <c r="I173" s="1">
        <f>IF(H173 + I172 &lt; 0, H173 + I172, 0)</f>
        <v>0</v>
      </c>
      <c r="J173" s="1">
        <v>0</v>
      </c>
      <c r="K173" s="1">
        <f>IF(J173 + K172 &lt; 0, J173 + K172, 0)</f>
        <v>0</v>
      </c>
      <c r="L173" s="1">
        <v>0</v>
      </c>
      <c r="M173" s="1">
        <f>IF(L173 + M172 &lt; 0, L173 + M172, 0)</f>
        <v>0</v>
      </c>
      <c r="N173" s="1">
        <v>0</v>
      </c>
      <c r="O173" s="1">
        <f>IF(N173 + O172 &lt; 0, N173 + O172, 0)</f>
        <v>0</v>
      </c>
      <c r="P173" s="1">
        <v>0</v>
      </c>
      <c r="Q173" s="1">
        <f>IF(P173 + Q172 &lt; 0, P173 + Q172, 0)</f>
        <v>0</v>
      </c>
      <c r="R173" s="1">
        <v>0</v>
      </c>
      <c r="S173" s="1">
        <f>IF(R173 + S172 &lt; 0, R173 + S172, 0)</f>
        <v>0</v>
      </c>
      <c r="T173" s="1">
        <v>0</v>
      </c>
      <c r="U173" s="1">
        <f>IF(T173 + U172 &lt; 0, T173 + U172, 0)</f>
        <v>0</v>
      </c>
      <c r="V173" s="1">
        <v>0</v>
      </c>
      <c r="W173" s="1">
        <f>IF(V173 + W172 &lt; 0, V173 + W172, 0)</f>
        <v>0</v>
      </c>
      <c r="X173" s="1">
        <v>0</v>
      </c>
      <c r="Y173" s="1">
        <f>IF(X173 + Y172 &lt; 0, X173 + Y172, 0)</f>
        <v>0</v>
      </c>
      <c r="Z173" s="1">
        <v>0</v>
      </c>
      <c r="AA173" s="1">
        <f>IF(Z173 + AA172 &lt; 0, Z173 + AA172, 0)</f>
        <v>0</v>
      </c>
      <c r="AB173" s="1">
        <v>0</v>
      </c>
      <c r="AC173" s="1">
        <f>IF(AB173 + AC172 &lt; 0, AB173 + AC172, 0)</f>
        <v>0</v>
      </c>
      <c r="AD173" s="1">
        <v>0</v>
      </c>
      <c r="AE173" s="1">
        <f>IF(AD173 + AE172 &lt; 0, AD173 + AE172, 0)</f>
        <v>0</v>
      </c>
      <c r="AF173" s="1">
        <v>0</v>
      </c>
      <c r="AG173" s="1">
        <f>IF(AF173 + AG172 &lt; 0, AF173 + AG172, 0)</f>
        <v>0</v>
      </c>
      <c r="AH173" s="1">
        <v>0</v>
      </c>
      <c r="AI173" s="1">
        <f>IF(AH173 + AI172 &lt; 0, AH173 + AI172, 0)</f>
        <v>0</v>
      </c>
      <c r="AJ173" s="1">
        <v>0</v>
      </c>
      <c r="AK173" s="1">
        <f>IF(AJ173 + AK172 &lt; 0, AJ173 + AK172, 0)</f>
        <v>0</v>
      </c>
    </row>
    <row r="174" spans="1:37" s="1" customFormat="1">
      <c r="A174" s="3">
        <v>45547</v>
      </c>
      <c r="B174" s="2" t="s">
        <v>25</v>
      </c>
      <c r="C174" s="2">
        <v>10</v>
      </c>
      <c r="D174" s="2">
        <v>9</v>
      </c>
      <c r="E174" s="2">
        <v>13</v>
      </c>
      <c r="F174" s="2">
        <v>1</v>
      </c>
      <c r="G174" s="2">
        <v>2</v>
      </c>
      <c r="H174" s="1">
        <v>0</v>
      </c>
      <c r="I174" s="1">
        <f>IF(H174 + I173 &lt; 0, H174 + I173, 0)</f>
        <v>0</v>
      </c>
      <c r="J174" s="1">
        <v>0</v>
      </c>
      <c r="K174" s="1">
        <f>IF(J174 + K173 &lt; 0, J174 + K173, 0)</f>
        <v>0</v>
      </c>
      <c r="L174" s="1">
        <v>0</v>
      </c>
      <c r="M174" s="1">
        <f>IF(L174 + M173 &lt; 0, L174 + M173, 0)</f>
        <v>0</v>
      </c>
      <c r="N174" s="1">
        <v>0</v>
      </c>
      <c r="O174" s="1">
        <f>IF(N174 + O173 &lt; 0, N174 + O173, 0)</f>
        <v>0</v>
      </c>
      <c r="P174" s="1">
        <v>0</v>
      </c>
      <c r="Q174" s="1">
        <f>IF(P174 + Q173 &lt; 0, P174 + Q173, 0)</f>
        <v>0</v>
      </c>
      <c r="R174" s="1">
        <v>0</v>
      </c>
      <c r="S174" s="1">
        <f>IF(R174 + S173 &lt; 0, R174 + S173, 0)</f>
        <v>0</v>
      </c>
      <c r="T174" s="1">
        <v>0</v>
      </c>
      <c r="U174" s="1">
        <f>IF(T174 + U173 &lt; 0, T174 + U173, 0)</f>
        <v>0</v>
      </c>
      <c r="V174" s="1">
        <v>0</v>
      </c>
      <c r="W174" s="1">
        <f>IF(V174 + W173 &lt; 0, V174 + W173, 0)</f>
        <v>0</v>
      </c>
      <c r="X174" s="1">
        <v>0</v>
      </c>
      <c r="Y174" s="1">
        <f>IF(X174 + Y173 &lt; 0, X174 + Y173, 0)</f>
        <v>0</v>
      </c>
      <c r="Z174" s="1">
        <v>-236171.6408776714</v>
      </c>
      <c r="AA174" s="1">
        <f>IF(Z174 + AA173 &lt; 0, Z174 + AA173, 0)</f>
        <v>0</v>
      </c>
      <c r="AB174" s="1">
        <v>-467532.1651437687</v>
      </c>
      <c r="AC174" s="1">
        <f>IF(AB174 + AC173 &lt; 0, AB174 + AC173, 0)</f>
        <v>0</v>
      </c>
      <c r="AD174" s="1">
        <v>-206955.081996473</v>
      </c>
      <c r="AE174" s="1">
        <f>IF(AD174 + AE173 &lt; 0, AD174 + AE173, 0)</f>
        <v>0</v>
      </c>
      <c r="AF174" s="1">
        <v>0</v>
      </c>
      <c r="AG174" s="1">
        <f>IF(AF174 + AG173 &lt; 0, AF174 + AG173, 0)</f>
        <v>0</v>
      </c>
      <c r="AH174" s="1">
        <v>0</v>
      </c>
      <c r="AI174" s="1">
        <f>IF(AH174 + AI173 &lt; 0, AH174 + AI173, 0)</f>
        <v>0</v>
      </c>
      <c r="AJ174" s="1">
        <v>0</v>
      </c>
      <c r="AK174" s="1">
        <f>IF(AJ174 + AK173 &lt; 0, AJ174 + AK173, 0)</f>
        <v>0</v>
      </c>
    </row>
    <row r="175" spans="1:37" s="1" customFormat="1">
      <c r="A175" s="3">
        <v>45548</v>
      </c>
      <c r="B175" s="2" t="s">
        <v>26</v>
      </c>
      <c r="C175" s="2">
        <v>9</v>
      </c>
      <c r="D175" s="2">
        <v>8</v>
      </c>
      <c r="E175" s="2">
        <v>12</v>
      </c>
      <c r="F175" s="2">
        <v>5</v>
      </c>
      <c r="G175" s="2">
        <v>1</v>
      </c>
      <c r="H175" s="1">
        <v>0</v>
      </c>
      <c r="I175" s="1">
        <f>IF(H175 + I174 &lt; 0, H175 + I174, 0)</f>
        <v>0</v>
      </c>
      <c r="J175" s="1">
        <v>0</v>
      </c>
      <c r="K175" s="1">
        <f>IF(J175 + K174 &lt; 0, J175 + K174, 0)</f>
        <v>0</v>
      </c>
      <c r="L175" s="1">
        <v>0</v>
      </c>
      <c r="M175" s="1">
        <f>IF(L175 + M174 &lt; 0, L175 + M174, 0)</f>
        <v>0</v>
      </c>
      <c r="N175" s="1">
        <v>0</v>
      </c>
      <c r="O175" s="1">
        <f>IF(N175 + O174 &lt; 0, N175 + O174, 0)</f>
        <v>0</v>
      </c>
      <c r="P175" s="1">
        <v>0</v>
      </c>
      <c r="Q175" s="1">
        <f>IF(P175 + Q174 &lt; 0, P175 + Q174, 0)</f>
        <v>0</v>
      </c>
      <c r="R175" s="1">
        <v>0</v>
      </c>
      <c r="S175" s="1">
        <f>IF(R175 + S174 &lt; 0, R175 + S174, 0)</f>
        <v>0</v>
      </c>
      <c r="T175" s="1">
        <v>0</v>
      </c>
      <c r="U175" s="1">
        <f>IF(T175 + U174 &lt; 0, T175 + U174, 0)</f>
        <v>0</v>
      </c>
      <c r="V175" s="1">
        <v>0</v>
      </c>
      <c r="W175" s="1">
        <f>IF(V175 + W174 &lt; 0, V175 + W174, 0)</f>
        <v>0</v>
      </c>
      <c r="X175" s="1">
        <v>0</v>
      </c>
      <c r="Y175" s="1">
        <f>IF(X175 + Y174 &lt; 0, X175 + Y174, 0)</f>
        <v>0</v>
      </c>
      <c r="Z175" s="1">
        <v>0</v>
      </c>
      <c r="AA175" s="1">
        <f>IF(Z175 + AA174 &lt; 0, Z175 + AA174, 0)</f>
        <v>0</v>
      </c>
      <c r="AB175" s="1">
        <v>0</v>
      </c>
      <c r="AC175" s="1">
        <f>IF(AB175 + AC174 &lt; 0, AB175 + AC174, 0)</f>
        <v>0</v>
      </c>
      <c r="AD175" s="1">
        <v>0</v>
      </c>
      <c r="AE175" s="1">
        <f>IF(AD175 + AE174 &lt; 0, AD175 + AE174, 0)</f>
        <v>0</v>
      </c>
      <c r="AF175" s="1">
        <v>6499.611367689959</v>
      </c>
      <c r="AG175" s="1">
        <f>IF(AF175 + AG174 &lt; 0, AF175 + AG174, 0)</f>
        <v>0</v>
      </c>
      <c r="AH175" s="1">
        <v>-79353.41558101616</v>
      </c>
      <c r="AI175" s="1">
        <f>IF(AH175 + AI174 &lt; 0, AH175 + AI174, 0)</f>
        <v>0</v>
      </c>
      <c r="AJ175" s="1">
        <v>20252.45926154989</v>
      </c>
      <c r="AK175" s="1">
        <f>IF(AJ175 + AK174 &lt; 0, AJ175 + AK174, 0)</f>
        <v>0</v>
      </c>
    </row>
    <row r="176" spans="1:37" s="1" customFormat="1">
      <c r="A176" s="3">
        <v>45551</v>
      </c>
      <c r="B176" s="2" t="s">
        <v>22</v>
      </c>
      <c r="C176" s="2">
        <v>8</v>
      </c>
      <c r="D176" s="2">
        <v>7</v>
      </c>
      <c r="E176" s="2">
        <v>11</v>
      </c>
      <c r="F176" s="2">
        <v>4</v>
      </c>
      <c r="G176" s="2">
        <v>5</v>
      </c>
      <c r="H176" s="1">
        <v>0</v>
      </c>
      <c r="I176" s="1">
        <f>IF(H176 + I175 &lt; 0, H176 + I175, 0)</f>
        <v>0</v>
      </c>
      <c r="J176" s="1">
        <v>0</v>
      </c>
      <c r="K176" s="1">
        <f>IF(J176 + K175 &lt; 0, J176 + K175, 0)</f>
        <v>0</v>
      </c>
      <c r="L176" s="1">
        <v>0</v>
      </c>
      <c r="M176" s="1">
        <f>IF(L176 + M175 &lt; 0, L176 + M175, 0)</f>
        <v>0</v>
      </c>
      <c r="N176" s="1">
        <v>0</v>
      </c>
      <c r="O176" s="1">
        <f>IF(N176 + O175 &lt; 0, N176 + O175, 0)</f>
        <v>0</v>
      </c>
      <c r="P176" s="1">
        <v>0</v>
      </c>
      <c r="Q176" s="1">
        <f>IF(P176 + Q175 &lt; 0, P176 + Q175, 0)</f>
        <v>0</v>
      </c>
      <c r="R176" s="1">
        <v>0</v>
      </c>
      <c r="S176" s="1">
        <f>IF(R176 + S175 &lt; 0, R176 + S175, 0)</f>
        <v>0</v>
      </c>
      <c r="T176" s="1">
        <v>0</v>
      </c>
      <c r="U176" s="1">
        <f>IF(T176 + U175 &lt; 0, T176 + U175, 0)</f>
        <v>0</v>
      </c>
      <c r="V176" s="1">
        <v>0</v>
      </c>
      <c r="W176" s="1">
        <f>IF(V176 + W175 &lt; 0, V176 + W175, 0)</f>
        <v>0</v>
      </c>
      <c r="X176" s="1">
        <v>0</v>
      </c>
      <c r="Y176" s="1">
        <f>IF(X176 + Y175 &lt; 0, X176 + Y175, 0)</f>
        <v>0</v>
      </c>
      <c r="Z176" s="1">
        <v>0</v>
      </c>
      <c r="AA176" s="1">
        <f>IF(Z176 + AA175 &lt; 0, Z176 + AA175, 0)</f>
        <v>0</v>
      </c>
      <c r="AB176" s="1">
        <v>0</v>
      </c>
      <c r="AC176" s="1">
        <f>IF(AB176 + AC175 &lt; 0, AB176 + AC175, 0)</f>
        <v>0</v>
      </c>
      <c r="AD176" s="1">
        <v>0</v>
      </c>
      <c r="AE176" s="1">
        <f>IF(AD176 + AE175 &lt; 0, AD176 + AE175, 0)</f>
        <v>0</v>
      </c>
      <c r="AF176" s="1">
        <v>0</v>
      </c>
      <c r="AG176" s="1">
        <f>IF(AF176 + AG175 &lt; 0, AF176 + AG175, 0)</f>
        <v>0</v>
      </c>
      <c r="AH176" s="1">
        <v>0</v>
      </c>
      <c r="AI176" s="1">
        <f>IF(AH176 + AI175 &lt; 0, AH176 + AI175, 0)</f>
        <v>0</v>
      </c>
      <c r="AJ176" s="1">
        <v>0</v>
      </c>
      <c r="AK176" s="1">
        <f>IF(AJ176 + AK175 &lt; 0, AJ176 + AK175, 0)</f>
        <v>0</v>
      </c>
    </row>
    <row r="177" spans="1:37" s="1" customFormat="1">
      <c r="A177" s="3">
        <v>45552</v>
      </c>
      <c r="B177" s="2" t="s">
        <v>23</v>
      </c>
      <c r="C177" s="2">
        <v>7</v>
      </c>
      <c r="D177" s="2">
        <v>6</v>
      </c>
      <c r="E177" s="2">
        <v>10</v>
      </c>
      <c r="F177" s="2">
        <v>3</v>
      </c>
      <c r="G177" s="2">
        <v>4</v>
      </c>
      <c r="H177" s="1">
        <v>0</v>
      </c>
      <c r="I177" s="1">
        <f>IF(H177 + I176 &lt; 0, H177 + I176, 0)</f>
        <v>0</v>
      </c>
      <c r="J177" s="1">
        <v>0</v>
      </c>
      <c r="K177" s="1">
        <f>IF(J177 + K176 &lt; 0, J177 + K176, 0)</f>
        <v>0</v>
      </c>
      <c r="L177" s="1">
        <v>0</v>
      </c>
      <c r="M177" s="1">
        <f>IF(L177 + M176 &lt; 0, L177 + M176, 0)</f>
        <v>0</v>
      </c>
      <c r="N177" s="1">
        <v>0</v>
      </c>
      <c r="O177" s="1">
        <f>IF(N177 + O176 &lt; 0, N177 + O176, 0)</f>
        <v>0</v>
      </c>
      <c r="P177" s="1">
        <v>0</v>
      </c>
      <c r="Q177" s="1">
        <f>IF(P177 + Q176 &lt; 0, P177 + Q176, 0)</f>
        <v>0</v>
      </c>
      <c r="R177" s="1">
        <v>0</v>
      </c>
      <c r="S177" s="1">
        <f>IF(R177 + S176 &lt; 0, R177 + S176, 0)</f>
        <v>0</v>
      </c>
      <c r="T177" s="1">
        <v>0</v>
      </c>
      <c r="U177" s="1">
        <f>IF(T177 + U176 &lt; 0, T177 + U176, 0)</f>
        <v>0</v>
      </c>
      <c r="V177" s="1">
        <v>0</v>
      </c>
      <c r="W177" s="1">
        <f>IF(V177 + W176 &lt; 0, V177 + W176, 0)</f>
        <v>0</v>
      </c>
      <c r="X177" s="1">
        <v>0</v>
      </c>
      <c r="Y177" s="1">
        <f>IF(X177 + Y176 &lt; 0, X177 + Y176, 0)</f>
        <v>0</v>
      </c>
      <c r="Z177" s="1">
        <v>0</v>
      </c>
      <c r="AA177" s="1">
        <f>IF(Z177 + AA176 &lt; 0, Z177 + AA176, 0)</f>
        <v>0</v>
      </c>
      <c r="AB177" s="1">
        <v>0</v>
      </c>
      <c r="AC177" s="1">
        <f>IF(AB177 + AC176 &lt; 0, AB177 + AC176, 0)</f>
        <v>0</v>
      </c>
      <c r="AD177" s="1">
        <v>0</v>
      </c>
      <c r="AE177" s="1">
        <f>IF(AD177 + AE176 &lt; 0, AD177 + AE176, 0)</f>
        <v>0</v>
      </c>
      <c r="AF177" s="1">
        <v>0</v>
      </c>
      <c r="AG177" s="1">
        <f>IF(AF177 + AG176 &lt; 0, AF177 + AG176, 0)</f>
        <v>0</v>
      </c>
      <c r="AH177" s="1">
        <v>0</v>
      </c>
      <c r="AI177" s="1">
        <f>IF(AH177 + AI176 &lt; 0, AH177 + AI176, 0)</f>
        <v>0</v>
      </c>
      <c r="AJ177" s="1">
        <v>0</v>
      </c>
      <c r="AK177" s="1">
        <f>IF(AJ177 + AK176 &lt; 0, AJ177 + AK176, 0)</f>
        <v>0</v>
      </c>
    </row>
    <row r="178" spans="1:37" s="1" customFormat="1">
      <c r="A178" s="3">
        <v>45553</v>
      </c>
      <c r="B178" s="2" t="s">
        <v>24</v>
      </c>
      <c r="C178" s="2">
        <v>6</v>
      </c>
      <c r="D178" s="2">
        <v>5</v>
      </c>
      <c r="E178" s="2">
        <v>9</v>
      </c>
      <c r="F178" s="2">
        <v>2</v>
      </c>
      <c r="G178" s="2">
        <v>3</v>
      </c>
      <c r="H178" s="1">
        <v>0</v>
      </c>
      <c r="I178" s="1">
        <f>IF(H178 + I177 &lt; 0, H178 + I177, 0)</f>
        <v>0</v>
      </c>
      <c r="J178" s="1">
        <v>0</v>
      </c>
      <c r="K178" s="1">
        <f>IF(J178 + K177 &lt; 0, J178 + K177, 0)</f>
        <v>0</v>
      </c>
      <c r="L178" s="1">
        <v>0</v>
      </c>
      <c r="M178" s="1">
        <f>IF(L178 + M177 &lt; 0, L178 + M177, 0)</f>
        <v>0</v>
      </c>
      <c r="N178" s="1">
        <v>0</v>
      </c>
      <c r="O178" s="1">
        <f>IF(N178 + O177 &lt; 0, N178 + O177, 0)</f>
        <v>0</v>
      </c>
      <c r="P178" s="1">
        <v>0</v>
      </c>
      <c r="Q178" s="1">
        <f>IF(P178 + Q177 &lt; 0, P178 + Q177, 0)</f>
        <v>0</v>
      </c>
      <c r="R178" s="1">
        <v>0</v>
      </c>
      <c r="S178" s="1">
        <f>IF(R178 + S177 &lt; 0, R178 + S177, 0)</f>
        <v>0</v>
      </c>
      <c r="T178" s="1">
        <v>0</v>
      </c>
      <c r="U178" s="1">
        <f>IF(T178 + U177 &lt; 0, T178 + U177, 0)</f>
        <v>0</v>
      </c>
      <c r="V178" s="1">
        <v>0</v>
      </c>
      <c r="W178" s="1">
        <f>IF(V178 + W177 &lt; 0, V178 + W177, 0)</f>
        <v>0</v>
      </c>
      <c r="X178" s="1">
        <v>0</v>
      </c>
      <c r="Y178" s="1">
        <f>IF(X178 + Y177 &lt; 0, X178 + Y177, 0)</f>
        <v>0</v>
      </c>
      <c r="Z178" s="1">
        <v>0</v>
      </c>
      <c r="AA178" s="1">
        <f>IF(Z178 + AA177 &lt; 0, Z178 + AA177, 0)</f>
        <v>0</v>
      </c>
      <c r="AB178" s="1">
        <v>0</v>
      </c>
      <c r="AC178" s="1">
        <f>IF(AB178 + AC177 &lt; 0, AB178 + AC177, 0)</f>
        <v>0</v>
      </c>
      <c r="AD178" s="1">
        <v>0</v>
      </c>
      <c r="AE178" s="1">
        <f>IF(AD178 + AE177 &lt; 0, AD178 + AE177, 0)</f>
        <v>0</v>
      </c>
      <c r="AF178" s="1">
        <v>0</v>
      </c>
      <c r="AG178" s="1">
        <f>IF(AF178 + AG177 &lt; 0, AF178 + AG177, 0)</f>
        <v>0</v>
      </c>
      <c r="AH178" s="1">
        <v>0</v>
      </c>
      <c r="AI178" s="1">
        <f>IF(AH178 + AI177 &lt; 0, AH178 + AI177, 0)</f>
        <v>0</v>
      </c>
      <c r="AJ178" s="1">
        <v>0</v>
      </c>
      <c r="AK178" s="1">
        <f>IF(AJ178 + AK177 &lt; 0, AJ178 + AK177, 0)</f>
        <v>0</v>
      </c>
    </row>
    <row r="179" spans="1:37" s="1" customFormat="1">
      <c r="A179" s="3">
        <v>45554</v>
      </c>
      <c r="B179" s="2" t="s">
        <v>25</v>
      </c>
      <c r="C179" s="2">
        <v>5</v>
      </c>
      <c r="D179" s="2">
        <v>4</v>
      </c>
      <c r="E179" s="2">
        <v>8</v>
      </c>
      <c r="F179" s="2">
        <v>1</v>
      </c>
      <c r="G179" s="2">
        <v>2</v>
      </c>
      <c r="H179" s="1">
        <v>0</v>
      </c>
      <c r="I179" s="1">
        <f>IF(H179 + I178 &lt; 0, H179 + I178, 0)</f>
        <v>0</v>
      </c>
      <c r="J179" s="1">
        <v>0</v>
      </c>
      <c r="K179" s="1">
        <f>IF(J179 + K178 &lt; 0, J179 + K178, 0)</f>
        <v>0</v>
      </c>
      <c r="L179" s="1">
        <v>0</v>
      </c>
      <c r="M179" s="1">
        <f>IF(L179 + M178 &lt; 0, L179 + M178, 0)</f>
        <v>0</v>
      </c>
      <c r="N179" s="1">
        <v>0</v>
      </c>
      <c r="O179" s="1">
        <f>IF(N179 + O178 &lt; 0, N179 + O178, 0)</f>
        <v>0</v>
      </c>
      <c r="P179" s="1">
        <v>0</v>
      </c>
      <c r="Q179" s="1">
        <f>IF(P179 + Q178 &lt; 0, P179 + Q178, 0)</f>
        <v>0</v>
      </c>
      <c r="R179" s="1">
        <v>0</v>
      </c>
      <c r="S179" s="1">
        <f>IF(R179 + S178 &lt; 0, R179 + S178, 0)</f>
        <v>0</v>
      </c>
      <c r="T179" s="1">
        <v>0</v>
      </c>
      <c r="U179" s="1">
        <f>IF(T179 + U178 &lt; 0, T179 + U178, 0)</f>
        <v>0</v>
      </c>
      <c r="V179" s="1">
        <v>0</v>
      </c>
      <c r="W179" s="1">
        <f>IF(V179 + W178 &lt; 0, V179 + W178, 0)</f>
        <v>0</v>
      </c>
      <c r="X179" s="1">
        <v>0</v>
      </c>
      <c r="Y179" s="1">
        <f>IF(X179 + Y178 &lt; 0, X179 + Y178, 0)</f>
        <v>0</v>
      </c>
      <c r="Z179" s="1">
        <v>206899.3840249528</v>
      </c>
      <c r="AA179" s="1">
        <f>IF(Z179 + AA178 &lt; 0, Z179 + AA178, 0)</f>
        <v>0</v>
      </c>
      <c r="AB179" s="1">
        <v>185261.0683500793</v>
      </c>
      <c r="AC179" s="1">
        <f>IF(AB179 + AC178 &lt; 0, AB179 + AC178, 0)</f>
        <v>0</v>
      </c>
      <c r="AD179" s="1">
        <v>-4975.328199680444</v>
      </c>
      <c r="AE179" s="1">
        <f>IF(AD179 + AE178 &lt; 0, AD179 + AE178, 0)</f>
        <v>0</v>
      </c>
      <c r="AF179" s="1">
        <v>0</v>
      </c>
      <c r="AG179" s="1">
        <f>IF(AF179 + AG178 &lt; 0, AF179 + AG178, 0)</f>
        <v>0</v>
      </c>
      <c r="AH179" s="1">
        <v>0</v>
      </c>
      <c r="AI179" s="1">
        <f>IF(AH179 + AI178 &lt; 0, AH179 + AI178, 0)</f>
        <v>0</v>
      </c>
      <c r="AJ179" s="1">
        <v>0</v>
      </c>
      <c r="AK179" s="1">
        <f>IF(AJ179 + AK178 &lt; 0, AJ179 + AK178, 0)</f>
        <v>0</v>
      </c>
    </row>
    <row r="180" spans="1:37" s="1" customFormat="1">
      <c r="A180" s="3">
        <v>45555</v>
      </c>
      <c r="B180" s="2" t="s">
        <v>26</v>
      </c>
      <c r="C180" s="2">
        <v>4</v>
      </c>
      <c r="D180" s="2">
        <v>3</v>
      </c>
      <c r="E180" s="2">
        <v>7</v>
      </c>
      <c r="F180" s="2">
        <v>5</v>
      </c>
      <c r="G180" s="2">
        <v>1</v>
      </c>
      <c r="H180" s="1">
        <v>0</v>
      </c>
      <c r="I180" s="1">
        <f>IF(H180 + I179 &lt; 0, H180 + I179, 0)</f>
        <v>0</v>
      </c>
      <c r="J180" s="1">
        <v>0</v>
      </c>
      <c r="K180" s="1">
        <f>IF(J180 + K179 &lt; 0, J180 + K179, 0)</f>
        <v>0</v>
      </c>
      <c r="L180" s="1">
        <v>0</v>
      </c>
      <c r="M180" s="1">
        <f>IF(L180 + M179 &lt; 0, L180 + M179, 0)</f>
        <v>0</v>
      </c>
      <c r="N180" s="1">
        <v>0</v>
      </c>
      <c r="O180" s="1">
        <f>IF(N180 + O179 &lt; 0, N180 + O179, 0)</f>
        <v>0</v>
      </c>
      <c r="P180" s="1">
        <v>0</v>
      </c>
      <c r="Q180" s="1">
        <f>IF(P180 + Q179 &lt; 0, P180 + Q179, 0)</f>
        <v>0</v>
      </c>
      <c r="R180" s="1">
        <v>0</v>
      </c>
      <c r="S180" s="1">
        <f>IF(R180 + S179 &lt; 0, R180 + S179, 0)</f>
        <v>0</v>
      </c>
      <c r="T180" s="1">
        <v>0</v>
      </c>
      <c r="U180" s="1">
        <f>IF(T180 + U179 &lt; 0, T180 + U179, 0)</f>
        <v>0</v>
      </c>
      <c r="V180" s="1">
        <v>0</v>
      </c>
      <c r="W180" s="1">
        <f>IF(V180 + W179 &lt; 0, V180 + W179, 0)</f>
        <v>0</v>
      </c>
      <c r="X180" s="1">
        <v>0</v>
      </c>
      <c r="Y180" s="1">
        <f>IF(X180 + Y179 &lt; 0, X180 + Y179, 0)</f>
        <v>0</v>
      </c>
      <c r="Z180" s="1">
        <v>0</v>
      </c>
      <c r="AA180" s="1">
        <f>IF(Z180 + AA179 &lt; 0, Z180 + AA179, 0)</f>
        <v>0</v>
      </c>
      <c r="AB180" s="1">
        <v>0</v>
      </c>
      <c r="AC180" s="1">
        <f>IF(AB180 + AC179 &lt; 0, AB180 + AC179, 0)</f>
        <v>0</v>
      </c>
      <c r="AD180" s="1">
        <v>0</v>
      </c>
      <c r="AE180" s="1">
        <f>IF(AD180 + AE179 &lt; 0, AD180 + AE179, 0)</f>
        <v>0</v>
      </c>
      <c r="AF180" s="1">
        <v>-142766.72747668</v>
      </c>
      <c r="AG180" s="1">
        <f>IF(AF180 + AG179 &lt; 0, AF180 + AG179, 0)</f>
        <v>0</v>
      </c>
      <c r="AH180" s="1">
        <v>-154791.7033229086</v>
      </c>
      <c r="AI180" s="1">
        <f>IF(AH180 + AI179 &lt; 0, AH180 + AI179, 0)</f>
        <v>0</v>
      </c>
      <c r="AJ180" s="1">
        <v>-302967.0354798054</v>
      </c>
      <c r="AK180" s="1">
        <f>IF(AJ180 + AK179 &lt; 0, AJ180 + AK179, 0)</f>
        <v>0</v>
      </c>
    </row>
    <row r="181" spans="1:37" s="1" customFormat="1">
      <c r="A181" s="3">
        <v>45558</v>
      </c>
      <c r="B181" s="2" t="s">
        <v>22</v>
      </c>
      <c r="C181" s="2">
        <v>3</v>
      </c>
      <c r="D181" s="2">
        <v>2</v>
      </c>
      <c r="E181" s="2">
        <v>6</v>
      </c>
      <c r="F181" s="2">
        <v>4</v>
      </c>
      <c r="G181" s="2">
        <v>5</v>
      </c>
      <c r="H181" s="1">
        <v>0</v>
      </c>
      <c r="I181" s="1">
        <f>IF(H181 + I180 &lt; 0, H181 + I180, 0)</f>
        <v>0</v>
      </c>
      <c r="J181" s="1">
        <v>0</v>
      </c>
      <c r="K181" s="1">
        <f>IF(J181 + K180 &lt; 0, J181 + K180, 0)</f>
        <v>0</v>
      </c>
      <c r="L181" s="1">
        <v>0</v>
      </c>
      <c r="M181" s="1">
        <f>IF(L181 + M180 &lt; 0, L181 + M180, 0)</f>
        <v>0</v>
      </c>
      <c r="N181" s="1">
        <v>0</v>
      </c>
      <c r="O181" s="1">
        <f>IF(N181 + O180 &lt; 0, N181 + O180, 0)</f>
        <v>0</v>
      </c>
      <c r="P181" s="1">
        <v>0</v>
      </c>
      <c r="Q181" s="1">
        <f>IF(P181 + Q180 &lt; 0, P181 + Q180, 0)</f>
        <v>0</v>
      </c>
      <c r="R181" s="1">
        <v>0</v>
      </c>
      <c r="S181" s="1">
        <f>IF(R181 + S180 &lt; 0, R181 + S180, 0)</f>
        <v>0</v>
      </c>
      <c r="T181" s="1">
        <v>0</v>
      </c>
      <c r="U181" s="1">
        <f>IF(T181 + U180 &lt; 0, T181 + U180, 0)</f>
        <v>0</v>
      </c>
      <c r="V181" s="1">
        <v>0</v>
      </c>
      <c r="W181" s="1">
        <f>IF(V181 + W180 &lt; 0, V181 + W180, 0)</f>
        <v>0</v>
      </c>
      <c r="X181" s="1">
        <v>0</v>
      </c>
      <c r="Y181" s="1">
        <f>IF(X181 + Y180 &lt; 0, X181 + Y180, 0)</f>
        <v>0</v>
      </c>
      <c r="Z181" s="1">
        <v>0</v>
      </c>
      <c r="AA181" s="1">
        <f>IF(Z181 + AA180 &lt; 0, Z181 + AA180, 0)</f>
        <v>0</v>
      </c>
      <c r="AB181" s="1">
        <v>0</v>
      </c>
      <c r="AC181" s="1">
        <f>IF(AB181 + AC180 &lt; 0, AB181 + AC180, 0)</f>
        <v>0</v>
      </c>
      <c r="AD181" s="1">
        <v>0</v>
      </c>
      <c r="AE181" s="1">
        <f>IF(AD181 + AE180 &lt; 0, AD181 + AE180, 0)</f>
        <v>0</v>
      </c>
      <c r="AF181" s="1">
        <v>0</v>
      </c>
      <c r="AG181" s="1">
        <f>IF(AF181 + AG180 &lt; 0, AF181 + AG180, 0)</f>
        <v>0</v>
      </c>
      <c r="AH181" s="1">
        <v>0</v>
      </c>
      <c r="AI181" s="1">
        <f>IF(AH181 + AI180 &lt; 0, AH181 + AI180, 0)</f>
        <v>0</v>
      </c>
      <c r="AJ181" s="1">
        <v>0</v>
      </c>
      <c r="AK181" s="1">
        <f>IF(AJ181 + AK180 &lt; 0, AJ181 + AK180, 0)</f>
        <v>0</v>
      </c>
    </row>
    <row r="182" spans="1:37" s="1" customFormat="1">
      <c r="A182" s="3">
        <v>45559</v>
      </c>
      <c r="B182" s="2" t="s">
        <v>23</v>
      </c>
      <c r="C182" s="2">
        <v>2</v>
      </c>
      <c r="D182" s="2">
        <v>1</v>
      </c>
      <c r="E182" s="2">
        <v>5</v>
      </c>
      <c r="F182" s="2">
        <v>3</v>
      </c>
      <c r="G182" s="2">
        <v>4</v>
      </c>
      <c r="H182" s="1">
        <v>0</v>
      </c>
      <c r="I182" s="1">
        <f>IF(H182 + I181 &lt; 0, H182 + I181, 0)</f>
        <v>0</v>
      </c>
      <c r="J182" s="1">
        <v>0</v>
      </c>
      <c r="K182" s="1">
        <f>IF(J182 + K181 &lt; 0, J182 + K181, 0)</f>
        <v>0</v>
      </c>
      <c r="L182" s="1">
        <v>0</v>
      </c>
      <c r="M182" s="1">
        <f>IF(L182 + M181 &lt; 0, L182 + M181, 0)</f>
        <v>0</v>
      </c>
      <c r="N182" s="1">
        <v>0</v>
      </c>
      <c r="O182" s="1">
        <f>IF(N182 + O181 &lt; 0, N182 + O181, 0)</f>
        <v>0</v>
      </c>
      <c r="P182" s="1">
        <v>0</v>
      </c>
      <c r="Q182" s="1">
        <f>IF(P182 + Q181 &lt; 0, P182 + Q181, 0)</f>
        <v>0</v>
      </c>
      <c r="R182" s="1">
        <v>0</v>
      </c>
      <c r="S182" s="1">
        <f>IF(R182 + S181 &lt; 0, R182 + S181, 0)</f>
        <v>0</v>
      </c>
      <c r="T182" s="1">
        <v>0</v>
      </c>
      <c r="U182" s="1">
        <f>IF(T182 + U181 &lt; 0, T182 + U181, 0)</f>
        <v>0</v>
      </c>
      <c r="V182" s="1">
        <v>0</v>
      </c>
      <c r="W182" s="1">
        <f>IF(V182 + W181 &lt; 0, V182 + W181, 0)</f>
        <v>0</v>
      </c>
      <c r="X182" s="1">
        <v>0</v>
      </c>
      <c r="Y182" s="1">
        <f>IF(X182 + Y181 &lt; 0, X182 + Y181, 0)</f>
        <v>0</v>
      </c>
      <c r="Z182" s="1">
        <v>0</v>
      </c>
      <c r="AA182" s="1">
        <f>IF(Z182 + AA181 &lt; 0, Z182 + AA181, 0)</f>
        <v>0</v>
      </c>
      <c r="AB182" s="1">
        <v>0</v>
      </c>
      <c r="AC182" s="1">
        <f>IF(AB182 + AC181 &lt; 0, AB182 + AC181, 0)</f>
        <v>0</v>
      </c>
      <c r="AD182" s="1">
        <v>0</v>
      </c>
      <c r="AE182" s="1">
        <f>IF(AD182 + AE181 &lt; 0, AD182 + AE181, 0)</f>
        <v>0</v>
      </c>
      <c r="AF182" s="1">
        <v>0</v>
      </c>
      <c r="AG182" s="1">
        <f>IF(AF182 + AG181 &lt; 0, AF182 + AG181, 0)</f>
        <v>0</v>
      </c>
      <c r="AH182" s="1">
        <v>0</v>
      </c>
      <c r="AI182" s="1">
        <f>IF(AH182 + AI181 &lt; 0, AH182 + AI181, 0)</f>
        <v>0</v>
      </c>
      <c r="AJ182" s="1">
        <v>0</v>
      </c>
      <c r="AK182" s="1">
        <f>IF(AJ182 + AK181 &lt; 0, AJ182 + AK181, 0)</f>
        <v>0</v>
      </c>
    </row>
    <row r="183" spans="1:37" s="1" customFormat="1">
      <c r="A183" s="3">
        <v>45560</v>
      </c>
      <c r="B183" s="2" t="s">
        <v>24</v>
      </c>
      <c r="C183" s="2">
        <v>1</v>
      </c>
      <c r="D183" s="2">
        <v>24</v>
      </c>
      <c r="E183" s="2">
        <v>4</v>
      </c>
      <c r="F183" s="2">
        <v>2</v>
      </c>
      <c r="G183" s="2">
        <v>3</v>
      </c>
      <c r="H183" s="1">
        <v>0</v>
      </c>
      <c r="I183" s="1">
        <f>IF(H183 + I182 &lt; 0, H183 + I182, 0)</f>
        <v>0</v>
      </c>
      <c r="J183" s="1">
        <v>0</v>
      </c>
      <c r="K183" s="1">
        <f>IF(J183 + K182 &lt; 0, J183 + K182, 0)</f>
        <v>0</v>
      </c>
      <c r="L183" s="1">
        <v>0</v>
      </c>
      <c r="M183" s="1">
        <f>IF(L183 + M182 &lt; 0, L183 + M182, 0)</f>
        <v>0</v>
      </c>
      <c r="N183" s="1">
        <v>0</v>
      </c>
      <c r="O183" s="1">
        <f>IF(N183 + O182 &lt; 0, N183 + O182, 0)</f>
        <v>0</v>
      </c>
      <c r="P183" s="1">
        <v>0</v>
      </c>
      <c r="Q183" s="1">
        <f>IF(P183 + Q182 &lt; 0, P183 + Q182, 0)</f>
        <v>0</v>
      </c>
      <c r="R183" s="1">
        <v>0</v>
      </c>
      <c r="S183" s="1">
        <f>IF(R183 + S182 &lt; 0, R183 + S182, 0)</f>
        <v>0</v>
      </c>
      <c r="T183" s="1">
        <v>0</v>
      </c>
      <c r="U183" s="1">
        <f>IF(T183 + U182 &lt; 0, T183 + U182, 0)</f>
        <v>0</v>
      </c>
      <c r="V183" s="1">
        <v>0</v>
      </c>
      <c r="W183" s="1">
        <f>IF(V183 + W182 &lt; 0, V183 + W182, 0)</f>
        <v>0</v>
      </c>
      <c r="X183" s="1">
        <v>0</v>
      </c>
      <c r="Y183" s="1">
        <f>IF(X183 + Y182 &lt; 0, X183 + Y182, 0)</f>
        <v>0</v>
      </c>
      <c r="Z183" s="1">
        <v>0</v>
      </c>
      <c r="AA183" s="1">
        <f>IF(Z183 + AA182 &lt; 0, Z183 + AA182, 0)</f>
        <v>0</v>
      </c>
      <c r="AB183" s="1">
        <v>0</v>
      </c>
      <c r="AC183" s="1">
        <f>IF(AB183 + AC182 &lt; 0, AB183 + AC182, 0)</f>
        <v>0</v>
      </c>
      <c r="AD183" s="1">
        <v>0</v>
      </c>
      <c r="AE183" s="1">
        <f>IF(AD183 + AE182 &lt; 0, AD183 + AE182, 0)</f>
        <v>0</v>
      </c>
      <c r="AF183" s="1">
        <v>0</v>
      </c>
      <c r="AG183" s="1">
        <f>IF(AF183 + AG182 &lt; 0, AF183 + AG182, 0)</f>
        <v>0</v>
      </c>
      <c r="AH183" s="1">
        <v>0</v>
      </c>
      <c r="AI183" s="1">
        <f>IF(AH183 + AI182 &lt; 0, AH183 + AI182, 0)</f>
        <v>0</v>
      </c>
      <c r="AJ183" s="1">
        <v>0</v>
      </c>
      <c r="AK183" s="1">
        <f>IF(AJ183 + AK182 &lt; 0, AJ183 + AK182, 0)</f>
        <v>0</v>
      </c>
    </row>
    <row r="184" spans="1:37" s="1" customFormat="1">
      <c r="A184" s="3">
        <v>45561</v>
      </c>
      <c r="B184" s="2" t="s">
        <v>25</v>
      </c>
      <c r="C184" s="2">
        <v>24</v>
      </c>
      <c r="D184" s="2">
        <v>23</v>
      </c>
      <c r="E184" s="2">
        <v>3</v>
      </c>
      <c r="F184" s="2">
        <v>1</v>
      </c>
      <c r="G184" s="2">
        <v>2</v>
      </c>
      <c r="H184" s="1">
        <v>0</v>
      </c>
      <c r="I184" s="1">
        <f>IF(H184 + I183 &lt; 0, H184 + I183, 0)</f>
        <v>0</v>
      </c>
      <c r="J184" s="1">
        <v>0</v>
      </c>
      <c r="K184" s="1">
        <f>IF(J184 + K183 &lt; 0, J184 + K183, 0)</f>
        <v>0</v>
      </c>
      <c r="L184" s="1">
        <v>0</v>
      </c>
      <c r="M184" s="1">
        <f>IF(L184 + M183 &lt; 0, L184 + M183, 0)</f>
        <v>0</v>
      </c>
      <c r="N184" s="1">
        <v>0</v>
      </c>
      <c r="O184" s="1">
        <f>IF(N184 + O183 &lt; 0, N184 + O183, 0)</f>
        <v>0</v>
      </c>
      <c r="P184" s="1">
        <v>0</v>
      </c>
      <c r="Q184" s="1">
        <f>IF(P184 + Q183 &lt; 0, P184 + Q183, 0)</f>
        <v>0</v>
      </c>
      <c r="R184" s="1">
        <v>0</v>
      </c>
      <c r="S184" s="1">
        <f>IF(R184 + S183 &lt; 0, R184 + S183, 0)</f>
        <v>0</v>
      </c>
      <c r="T184" s="1">
        <v>0</v>
      </c>
      <c r="U184" s="1">
        <f>IF(T184 + U183 &lt; 0, T184 + U183, 0)</f>
        <v>0</v>
      </c>
      <c r="V184" s="1">
        <v>0</v>
      </c>
      <c r="W184" s="1">
        <f>IF(V184 + W183 &lt; 0, V184 + W183, 0)</f>
        <v>0</v>
      </c>
      <c r="X184" s="1">
        <v>0</v>
      </c>
      <c r="Y184" s="1">
        <f>IF(X184 + Y183 &lt; 0, X184 + Y183, 0)</f>
        <v>0</v>
      </c>
      <c r="Z184" s="1">
        <v>-200993.3205038691</v>
      </c>
      <c r="AA184" s="1">
        <f>IF(Z184 + AA183 &lt; 0, Z184 + AA183, 0)</f>
        <v>0</v>
      </c>
      <c r="AB184" s="1">
        <v>227716.0891633059</v>
      </c>
      <c r="AC184" s="1">
        <f>IF(AB184 + AC183 &lt; 0, AB184 + AC183, 0)</f>
        <v>0</v>
      </c>
      <c r="AD184" s="1">
        <v>52664.00579660873</v>
      </c>
      <c r="AE184" s="1">
        <f>IF(AD184 + AE183 &lt; 0, AD184 + AE183, 0)</f>
        <v>0</v>
      </c>
      <c r="AF184" s="1">
        <v>0</v>
      </c>
      <c r="AG184" s="1">
        <f>IF(AF184 + AG183 &lt; 0, AF184 + AG183, 0)</f>
        <v>0</v>
      </c>
      <c r="AH184" s="1">
        <v>0</v>
      </c>
      <c r="AI184" s="1">
        <f>IF(AH184 + AI183 &lt; 0, AH184 + AI183, 0)</f>
        <v>0</v>
      </c>
      <c r="AJ184" s="1">
        <v>0</v>
      </c>
      <c r="AK184" s="1">
        <f>IF(AJ184 + AK183 &lt; 0, AJ184 + AK183, 0)</f>
        <v>0</v>
      </c>
    </row>
    <row r="185" spans="1:37" s="1" customFormat="1">
      <c r="A185" s="3">
        <v>45562</v>
      </c>
      <c r="B185" s="2" t="s">
        <v>26</v>
      </c>
      <c r="C185" s="2">
        <v>23</v>
      </c>
      <c r="D185" s="2">
        <v>22</v>
      </c>
      <c r="E185" s="2">
        <v>2</v>
      </c>
      <c r="F185" s="2">
        <v>4</v>
      </c>
      <c r="G185" s="2">
        <v>1</v>
      </c>
      <c r="H185" s="1">
        <v>0</v>
      </c>
      <c r="I185" s="1">
        <f>IF(H185 + I184 &lt; 0, H185 + I184, 0)</f>
        <v>0</v>
      </c>
      <c r="J185" s="1">
        <v>0</v>
      </c>
      <c r="K185" s="1">
        <f>IF(J185 + K184 &lt; 0, J185 + K184, 0)</f>
        <v>0</v>
      </c>
      <c r="L185" s="1">
        <v>0</v>
      </c>
      <c r="M185" s="1">
        <f>IF(L185 + M184 &lt; 0, L185 + M184, 0)</f>
        <v>0</v>
      </c>
      <c r="N185" s="1">
        <v>0</v>
      </c>
      <c r="O185" s="1">
        <f>IF(N185 + O184 &lt; 0, N185 + O184, 0)</f>
        <v>0</v>
      </c>
      <c r="P185" s="1">
        <v>0</v>
      </c>
      <c r="Q185" s="1">
        <f>IF(P185 + Q184 &lt; 0, P185 + Q184, 0)</f>
        <v>0</v>
      </c>
      <c r="R185" s="1">
        <v>0</v>
      </c>
      <c r="S185" s="1">
        <f>IF(R185 + S184 &lt; 0, R185 + S184, 0)</f>
        <v>0</v>
      </c>
      <c r="T185" s="1">
        <v>0</v>
      </c>
      <c r="U185" s="1">
        <f>IF(T185 + U184 &lt; 0, T185 + U184, 0)</f>
        <v>0</v>
      </c>
      <c r="V185" s="1">
        <v>0</v>
      </c>
      <c r="W185" s="1">
        <f>IF(V185 + W184 &lt; 0, V185 + W184, 0)</f>
        <v>0</v>
      </c>
      <c r="X185" s="1">
        <v>0</v>
      </c>
      <c r="Y185" s="1">
        <f>IF(X185 + Y184 &lt; 0, X185 + Y184, 0)</f>
        <v>0</v>
      </c>
      <c r="Z185" s="1">
        <v>0</v>
      </c>
      <c r="AA185" s="1">
        <f>IF(Z185 + AA184 &lt; 0, Z185 + AA184, 0)</f>
        <v>0</v>
      </c>
      <c r="AB185" s="1">
        <v>0</v>
      </c>
      <c r="AC185" s="1">
        <f>IF(AB185 + AC184 &lt; 0, AB185 + AC184, 0)</f>
        <v>0</v>
      </c>
      <c r="AD185" s="1">
        <v>0</v>
      </c>
      <c r="AE185" s="1">
        <f>IF(AD185 + AE184 &lt; 0, AD185 + AE184, 0)</f>
        <v>0</v>
      </c>
      <c r="AF185" s="1">
        <v>511701.6803155897</v>
      </c>
      <c r="AG185" s="1">
        <f>IF(AF185 + AG184 &lt; 0, AF185 + AG184, 0)</f>
        <v>0</v>
      </c>
      <c r="AH185" s="1">
        <v>453334.7531068104</v>
      </c>
      <c r="AI185" s="1">
        <f>IF(AH185 + AI184 &lt; 0, AH185 + AI184, 0)</f>
        <v>0</v>
      </c>
      <c r="AJ185" s="1">
        <v>651.3723884957037</v>
      </c>
      <c r="AK185" s="1">
        <f>IF(AJ185 + AK184 &lt; 0, AJ185 + AK184, 0)</f>
        <v>0</v>
      </c>
    </row>
    <row r="186" spans="1:37" s="1" customFormat="1">
      <c r="A186" s="3">
        <v>45565</v>
      </c>
      <c r="B186" s="2" t="s">
        <v>22</v>
      </c>
      <c r="C186" s="2">
        <v>22</v>
      </c>
      <c r="D186" s="2">
        <v>21</v>
      </c>
      <c r="E186" s="2">
        <v>1</v>
      </c>
      <c r="F186" s="2">
        <v>3</v>
      </c>
      <c r="G186" s="2">
        <v>4</v>
      </c>
      <c r="H186" s="1">
        <v>0</v>
      </c>
      <c r="I186" s="1">
        <f>IF(H186 + I185 &lt; 0, H186 + I185, 0)</f>
        <v>0</v>
      </c>
      <c r="J186" s="1">
        <v>0</v>
      </c>
      <c r="K186" s="1">
        <f>IF(J186 + K185 &lt; 0, J186 + K185, 0)</f>
        <v>0</v>
      </c>
      <c r="L186" s="1">
        <v>0</v>
      </c>
      <c r="M186" s="1">
        <f>IF(L186 + M185 &lt; 0, L186 + M185, 0)</f>
        <v>0</v>
      </c>
      <c r="N186" s="1">
        <v>0</v>
      </c>
      <c r="O186" s="1">
        <f>IF(N186 + O185 &lt; 0, N186 + O185, 0)</f>
        <v>0</v>
      </c>
      <c r="P186" s="1">
        <v>0</v>
      </c>
      <c r="Q186" s="1">
        <f>IF(P186 + Q185 &lt; 0, P186 + Q185, 0)</f>
        <v>0</v>
      </c>
      <c r="R186" s="1">
        <v>0</v>
      </c>
      <c r="S186" s="1">
        <f>IF(R186 + S185 &lt; 0, R186 + S185, 0)</f>
        <v>0</v>
      </c>
      <c r="T186" s="1">
        <v>0</v>
      </c>
      <c r="U186" s="1">
        <f>IF(T186 + U185 &lt; 0, T186 + U185, 0)</f>
        <v>0</v>
      </c>
      <c r="V186" s="1">
        <v>0</v>
      </c>
      <c r="W186" s="1">
        <f>IF(V186 + W185 &lt; 0, V186 + W185, 0)</f>
        <v>0</v>
      </c>
      <c r="X186" s="1">
        <v>0</v>
      </c>
      <c r="Y186" s="1">
        <f>IF(X186 + Y185 &lt; 0, X186 + Y185, 0)</f>
        <v>0</v>
      </c>
      <c r="Z186" s="1">
        <v>0</v>
      </c>
      <c r="AA186" s="1">
        <f>IF(Z186 + AA185 &lt; 0, Z186 + AA185, 0)</f>
        <v>0</v>
      </c>
      <c r="AB186" s="1">
        <v>0</v>
      </c>
      <c r="AC186" s="1">
        <f>IF(AB186 + AC185 &lt; 0, AB186 + AC185, 0)</f>
        <v>0</v>
      </c>
      <c r="AD186" s="1">
        <v>0</v>
      </c>
      <c r="AE186" s="1">
        <f>IF(AD186 + AE185 &lt; 0, AD186 + AE185, 0)</f>
        <v>0</v>
      </c>
      <c r="AF186" s="1">
        <v>0</v>
      </c>
      <c r="AG186" s="1">
        <f>IF(AF186 + AG185 &lt; 0, AF186 + AG185, 0)</f>
        <v>0</v>
      </c>
      <c r="AH186" s="1">
        <v>0</v>
      </c>
      <c r="AI186" s="1">
        <f>IF(AH186 + AI185 &lt; 0, AH186 + AI185, 0)</f>
        <v>0</v>
      </c>
      <c r="AJ186" s="1">
        <v>0</v>
      </c>
      <c r="AK186" s="1">
        <f>IF(AJ186 + AK185 &lt; 0, AJ186 + AK185, 0)</f>
        <v>0</v>
      </c>
    </row>
    <row r="187" spans="1:37" s="1" customFormat="1">
      <c r="A187" s="3">
        <v>45566</v>
      </c>
      <c r="B187" s="2" t="s">
        <v>23</v>
      </c>
      <c r="C187" s="2">
        <v>21</v>
      </c>
      <c r="D187" s="2">
        <v>20</v>
      </c>
      <c r="E187" s="2">
        <v>19</v>
      </c>
      <c r="F187" s="2">
        <v>2</v>
      </c>
      <c r="G187" s="2">
        <v>3</v>
      </c>
      <c r="H187" s="1">
        <v>0</v>
      </c>
      <c r="I187" s="1">
        <f>IF(H187 + I186 &lt; 0, H187 + I186, 0)</f>
        <v>0</v>
      </c>
      <c r="J187" s="1">
        <v>0</v>
      </c>
      <c r="K187" s="1">
        <f>IF(J187 + K186 &lt; 0, J187 + K186, 0)</f>
        <v>0</v>
      </c>
      <c r="L187" s="1">
        <v>0</v>
      </c>
      <c r="M187" s="1">
        <f>IF(L187 + M186 &lt; 0, L187 + M186, 0)</f>
        <v>0</v>
      </c>
      <c r="N187" s="1">
        <v>0</v>
      </c>
      <c r="O187" s="1">
        <f>IF(N187 + O186 &lt; 0, N187 + O186, 0)</f>
        <v>0</v>
      </c>
      <c r="P187" s="1">
        <v>0</v>
      </c>
      <c r="Q187" s="1">
        <f>IF(P187 + Q186 &lt; 0, P187 + Q186, 0)</f>
        <v>0</v>
      </c>
      <c r="R187" s="1">
        <v>0</v>
      </c>
      <c r="S187" s="1">
        <f>IF(R187 + S186 &lt; 0, R187 + S186, 0)</f>
        <v>0</v>
      </c>
      <c r="T187" s="1">
        <v>0</v>
      </c>
      <c r="U187" s="1">
        <f>IF(T187 + U186 &lt; 0, T187 + U186, 0)</f>
        <v>0</v>
      </c>
      <c r="V187" s="1">
        <v>0</v>
      </c>
      <c r="W187" s="1">
        <f>IF(V187 + W186 &lt; 0, V187 + W186, 0)</f>
        <v>0</v>
      </c>
      <c r="X187" s="1">
        <v>0</v>
      </c>
      <c r="Y187" s="1">
        <f>IF(X187 + Y186 &lt; 0, X187 + Y186, 0)</f>
        <v>0</v>
      </c>
      <c r="Z187" s="1">
        <v>0</v>
      </c>
      <c r="AA187" s="1">
        <f>IF(Z187 + AA186 &lt; 0, Z187 + AA186, 0)</f>
        <v>0</v>
      </c>
      <c r="AB187" s="1">
        <v>0</v>
      </c>
      <c r="AC187" s="1">
        <f>IF(AB187 + AC186 &lt; 0, AB187 + AC186, 0)</f>
        <v>0</v>
      </c>
      <c r="AD187" s="1">
        <v>0</v>
      </c>
      <c r="AE187" s="1">
        <f>IF(AD187 + AE186 &lt; 0, AD187 + AE186, 0)</f>
        <v>0</v>
      </c>
      <c r="AF187" s="1">
        <v>0</v>
      </c>
      <c r="AG187" s="1">
        <f>IF(AF187 + AG186 &lt; 0, AF187 + AG186, 0)</f>
        <v>0</v>
      </c>
      <c r="AH187" s="1">
        <v>0</v>
      </c>
      <c r="AI187" s="1">
        <f>IF(AH187 + AI186 &lt; 0, AH187 + AI186, 0)</f>
        <v>0</v>
      </c>
      <c r="AJ187" s="1">
        <v>0</v>
      </c>
      <c r="AK187" s="1">
        <f>IF(AJ187 + AK186 &lt; 0, AJ187 + AK186, 0)</f>
        <v>0</v>
      </c>
    </row>
    <row r="188" spans="1:37" s="1" customFormat="1">
      <c r="A188" s="3">
        <v>45568</v>
      </c>
      <c r="B188" s="2" t="s">
        <v>25</v>
      </c>
      <c r="C188" s="2">
        <v>20</v>
      </c>
      <c r="D188" s="2">
        <v>19</v>
      </c>
      <c r="E188" s="2">
        <v>18</v>
      </c>
      <c r="F188" s="2">
        <v>1</v>
      </c>
      <c r="G188" s="2">
        <v>2</v>
      </c>
      <c r="H188" s="1">
        <v>0</v>
      </c>
      <c r="I188" s="1">
        <f>IF(H188 + I187 &lt; 0, H188 + I187, 0)</f>
        <v>0</v>
      </c>
      <c r="J188" s="1">
        <v>0</v>
      </c>
      <c r="K188" s="1">
        <f>IF(J188 + K187 &lt; 0, J188 + K187, 0)</f>
        <v>0</v>
      </c>
      <c r="L188" s="1">
        <v>0</v>
      </c>
      <c r="M188" s="1">
        <f>IF(L188 + M187 &lt; 0, L188 + M187, 0)</f>
        <v>0</v>
      </c>
      <c r="N188" s="1">
        <v>0</v>
      </c>
      <c r="O188" s="1">
        <f>IF(N188 + O187 &lt; 0, N188 + O187, 0)</f>
        <v>0</v>
      </c>
      <c r="P188" s="1">
        <v>0</v>
      </c>
      <c r="Q188" s="1">
        <f>IF(P188 + Q187 &lt; 0, P188 + Q187, 0)</f>
        <v>0</v>
      </c>
      <c r="R188" s="1">
        <v>0</v>
      </c>
      <c r="S188" s="1">
        <f>IF(R188 + S187 &lt; 0, R188 + S187, 0)</f>
        <v>0</v>
      </c>
      <c r="T188" s="1">
        <v>0</v>
      </c>
      <c r="U188" s="1">
        <f>IF(T188 + U187 &lt; 0, T188 + U187, 0)</f>
        <v>0</v>
      </c>
      <c r="V188" s="1">
        <v>0</v>
      </c>
      <c r="W188" s="1">
        <f>IF(V188 + W187 &lt; 0, V188 + W187, 0)</f>
        <v>0</v>
      </c>
      <c r="X188" s="1">
        <v>0</v>
      </c>
      <c r="Y188" s="1">
        <f>IF(X188 + Y187 &lt; 0, X188 + Y187, 0)</f>
        <v>0</v>
      </c>
      <c r="Z188" s="1">
        <v>-594010.2175693634</v>
      </c>
      <c r="AA188" s="1">
        <f>IF(Z188 + AA187 &lt; 0, Z188 + AA187, 0)</f>
        <v>0</v>
      </c>
      <c r="AB188" s="1">
        <v>-594010.2175693634</v>
      </c>
      <c r="AC188" s="1">
        <f>IF(AB188 + AC187 &lt; 0, AB188 + AC187, 0)</f>
        <v>0</v>
      </c>
      <c r="AD188" s="1">
        <v>-410375.7371454559</v>
      </c>
      <c r="AE188" s="1">
        <f>IF(AD188 + AE187 &lt; 0, AD188 + AE187, 0)</f>
        <v>0</v>
      </c>
      <c r="AF188" s="1">
        <v>0</v>
      </c>
      <c r="AG188" s="1">
        <f>IF(AF188 + AG187 &lt; 0, AF188 + AG187, 0)</f>
        <v>0</v>
      </c>
      <c r="AH188" s="1">
        <v>0</v>
      </c>
      <c r="AI188" s="1">
        <f>IF(AH188 + AI187 &lt; 0, AH188 + AI187, 0)</f>
        <v>0</v>
      </c>
      <c r="AJ188" s="1">
        <v>0</v>
      </c>
      <c r="AK188" s="1">
        <f>IF(AJ188 + AK187 &lt; 0, AJ188 + AK187, 0)</f>
        <v>0</v>
      </c>
    </row>
    <row r="189" spans="1:37" s="1" customFormat="1">
      <c r="A189" s="3">
        <v>45569</v>
      </c>
      <c r="B189" s="2" t="s">
        <v>26</v>
      </c>
      <c r="C189" s="2">
        <v>19</v>
      </c>
      <c r="D189" s="2">
        <v>18</v>
      </c>
      <c r="E189" s="2">
        <v>17</v>
      </c>
      <c r="F189" s="2">
        <v>5</v>
      </c>
      <c r="G189" s="2">
        <v>1</v>
      </c>
      <c r="H189" s="1">
        <v>0</v>
      </c>
      <c r="I189" s="1">
        <f>IF(H189 + I188 &lt; 0, H189 + I188, 0)</f>
        <v>0</v>
      </c>
      <c r="J189" s="1">
        <v>0</v>
      </c>
      <c r="K189" s="1">
        <f>IF(J189 + K188 &lt; 0, J189 + K188, 0)</f>
        <v>0</v>
      </c>
      <c r="L189" s="1">
        <v>0</v>
      </c>
      <c r="M189" s="1">
        <f>IF(L189 + M188 &lt; 0, L189 + M188, 0)</f>
        <v>0</v>
      </c>
      <c r="N189" s="1">
        <v>0</v>
      </c>
      <c r="O189" s="1">
        <f>IF(N189 + O188 &lt; 0, N189 + O188, 0)</f>
        <v>0</v>
      </c>
      <c r="P189" s="1">
        <v>0</v>
      </c>
      <c r="Q189" s="1">
        <f>IF(P189 + Q188 &lt; 0, P189 + Q188, 0)</f>
        <v>0</v>
      </c>
      <c r="R189" s="1">
        <v>0</v>
      </c>
      <c r="S189" s="1">
        <f>IF(R189 + S188 &lt; 0, R189 + S188, 0)</f>
        <v>0</v>
      </c>
      <c r="T189" s="1">
        <v>0</v>
      </c>
      <c r="U189" s="1">
        <f>IF(T189 + U188 &lt; 0, T189 + U188, 0)</f>
        <v>0</v>
      </c>
      <c r="V189" s="1">
        <v>0</v>
      </c>
      <c r="W189" s="1">
        <f>IF(V189 + W188 &lt; 0, V189 + W188, 0)</f>
        <v>0</v>
      </c>
      <c r="X189" s="1">
        <v>0</v>
      </c>
      <c r="Y189" s="1">
        <f>IF(X189 + Y188 &lt; 0, X189 + Y188, 0)</f>
        <v>0</v>
      </c>
      <c r="Z189" s="1">
        <v>0</v>
      </c>
      <c r="AA189" s="1">
        <f>IF(Z189 + AA188 &lt; 0, Z189 + AA188, 0)</f>
        <v>0</v>
      </c>
      <c r="AB189" s="1">
        <v>0</v>
      </c>
      <c r="AC189" s="1">
        <f>IF(AB189 + AC188 &lt; 0, AB189 + AC188, 0)</f>
        <v>0</v>
      </c>
      <c r="AD189" s="1">
        <v>0</v>
      </c>
      <c r="AE189" s="1">
        <f>IF(AD189 + AE188 &lt; 0, AD189 + AE188, 0)</f>
        <v>0</v>
      </c>
      <c r="AF189" s="1">
        <v>-1012538.5584499</v>
      </c>
      <c r="AG189" s="1">
        <f>IF(AF189 + AG188 &lt; 0, AF189 + AG188, 0)</f>
        <v>0</v>
      </c>
      <c r="AH189" s="1">
        <v>-1012538.5584499</v>
      </c>
      <c r="AI189" s="1">
        <f>IF(AH189 + AI188 &lt; 0, AH189 + AI188, 0)</f>
        <v>0</v>
      </c>
      <c r="AJ189" s="1">
        <v>-972732.4660566818</v>
      </c>
      <c r="AK189" s="1">
        <f>IF(AJ189 + AK188 &lt; 0, AJ189 + AK188, 0)</f>
        <v>0</v>
      </c>
    </row>
    <row r="190" spans="1:37" s="1" customFormat="1">
      <c r="A190" s="3">
        <v>45572</v>
      </c>
      <c r="B190" s="2" t="s">
        <v>22</v>
      </c>
      <c r="C190" s="2">
        <v>18</v>
      </c>
      <c r="D190" s="2">
        <v>17</v>
      </c>
      <c r="E190" s="2">
        <v>16</v>
      </c>
      <c r="F190" s="2">
        <v>4</v>
      </c>
      <c r="G190" s="2">
        <v>5</v>
      </c>
      <c r="H190" s="1">
        <v>0</v>
      </c>
      <c r="I190" s="1">
        <f>IF(H190 + I189 &lt; 0, H190 + I189, 0)</f>
        <v>0</v>
      </c>
      <c r="J190" s="1">
        <v>0</v>
      </c>
      <c r="K190" s="1">
        <f>IF(J190 + K189 &lt; 0, J190 + K189, 0)</f>
        <v>0</v>
      </c>
      <c r="L190" s="1">
        <v>0</v>
      </c>
      <c r="M190" s="1">
        <f>IF(L190 + M189 &lt; 0, L190 + M189, 0)</f>
        <v>0</v>
      </c>
      <c r="N190" s="1">
        <v>0</v>
      </c>
      <c r="O190" s="1">
        <f>IF(N190 + O189 &lt; 0, N190 + O189, 0)</f>
        <v>0</v>
      </c>
      <c r="P190" s="1">
        <v>0</v>
      </c>
      <c r="Q190" s="1">
        <f>IF(P190 + Q189 &lt; 0, P190 + Q189, 0)</f>
        <v>0</v>
      </c>
      <c r="R190" s="1">
        <v>0</v>
      </c>
      <c r="S190" s="1">
        <f>IF(R190 + S189 &lt; 0, R190 + S189, 0)</f>
        <v>0</v>
      </c>
      <c r="T190" s="1">
        <v>0</v>
      </c>
      <c r="U190" s="1">
        <f>IF(T190 + U189 &lt; 0, T190 + U189, 0)</f>
        <v>0</v>
      </c>
      <c r="V190" s="1">
        <v>0</v>
      </c>
      <c r="W190" s="1">
        <f>IF(V190 + W189 &lt; 0, V190 + W189, 0)</f>
        <v>0</v>
      </c>
      <c r="X190" s="1">
        <v>0</v>
      </c>
      <c r="Y190" s="1">
        <f>IF(X190 + Y189 &lt; 0, X190 + Y189, 0)</f>
        <v>0</v>
      </c>
      <c r="Z190" s="1">
        <v>0</v>
      </c>
      <c r="AA190" s="1">
        <f>IF(Z190 + AA189 &lt; 0, Z190 + AA189, 0)</f>
        <v>0</v>
      </c>
      <c r="AB190" s="1">
        <v>0</v>
      </c>
      <c r="AC190" s="1">
        <f>IF(AB190 + AC189 &lt; 0, AB190 + AC189, 0)</f>
        <v>0</v>
      </c>
      <c r="AD190" s="1">
        <v>0</v>
      </c>
      <c r="AE190" s="1">
        <f>IF(AD190 + AE189 &lt; 0, AD190 + AE189, 0)</f>
        <v>0</v>
      </c>
      <c r="AF190" s="1">
        <v>0</v>
      </c>
      <c r="AG190" s="1">
        <f>IF(AF190 + AG189 &lt; 0, AF190 + AG189, 0)</f>
        <v>0</v>
      </c>
      <c r="AH190" s="1">
        <v>0</v>
      </c>
      <c r="AI190" s="1">
        <f>IF(AH190 + AI189 &lt; 0, AH190 + AI189, 0)</f>
        <v>0</v>
      </c>
      <c r="AJ190" s="1">
        <v>0</v>
      </c>
      <c r="AK190" s="1">
        <f>IF(AJ190 + AK189 &lt; 0, AJ190 + AK189, 0)</f>
        <v>0</v>
      </c>
    </row>
    <row r="191" spans="1:37" s="1" customFormat="1">
      <c r="A191" s="3">
        <v>45573</v>
      </c>
      <c r="B191" s="2" t="s">
        <v>23</v>
      </c>
      <c r="C191" s="2">
        <v>17</v>
      </c>
      <c r="D191" s="2">
        <v>16</v>
      </c>
      <c r="E191" s="2">
        <v>15</v>
      </c>
      <c r="F191" s="2">
        <v>3</v>
      </c>
      <c r="G191" s="2">
        <v>4</v>
      </c>
      <c r="H191" s="1">
        <v>0</v>
      </c>
      <c r="I191" s="1">
        <f>IF(H191 + I190 &lt; 0, H191 + I190, 0)</f>
        <v>0</v>
      </c>
      <c r="J191" s="1">
        <v>0</v>
      </c>
      <c r="K191" s="1">
        <f>IF(J191 + K190 &lt; 0, J191 + K190, 0)</f>
        <v>0</v>
      </c>
      <c r="L191" s="1">
        <v>0</v>
      </c>
      <c r="M191" s="1">
        <f>IF(L191 + M190 &lt; 0, L191 + M190, 0)</f>
        <v>0</v>
      </c>
      <c r="N191" s="1">
        <v>0</v>
      </c>
      <c r="O191" s="1">
        <f>IF(N191 + O190 &lt; 0, N191 + O190, 0)</f>
        <v>0</v>
      </c>
      <c r="P191" s="1">
        <v>0</v>
      </c>
      <c r="Q191" s="1">
        <f>IF(P191 + Q190 &lt; 0, P191 + Q190, 0)</f>
        <v>0</v>
      </c>
      <c r="R191" s="1">
        <v>0</v>
      </c>
      <c r="S191" s="1">
        <f>IF(R191 + S190 &lt; 0, R191 + S190, 0)</f>
        <v>0</v>
      </c>
      <c r="T191" s="1">
        <v>0</v>
      </c>
      <c r="U191" s="1">
        <f>IF(T191 + U190 &lt; 0, T191 + U190, 0)</f>
        <v>0</v>
      </c>
      <c r="V191" s="1">
        <v>0</v>
      </c>
      <c r="W191" s="1">
        <f>IF(V191 + W190 &lt; 0, V191 + W190, 0)</f>
        <v>0</v>
      </c>
      <c r="X191" s="1">
        <v>0</v>
      </c>
      <c r="Y191" s="1">
        <f>IF(X191 + Y190 &lt; 0, X191 + Y190, 0)</f>
        <v>0</v>
      </c>
      <c r="Z191" s="1">
        <v>0</v>
      </c>
      <c r="AA191" s="1">
        <f>IF(Z191 + AA190 &lt; 0, Z191 + AA190, 0)</f>
        <v>0</v>
      </c>
      <c r="AB191" s="1">
        <v>0</v>
      </c>
      <c r="AC191" s="1">
        <f>IF(AB191 + AC190 &lt; 0, AB191 + AC190, 0)</f>
        <v>0</v>
      </c>
      <c r="AD191" s="1">
        <v>0</v>
      </c>
      <c r="AE191" s="1">
        <f>IF(AD191 + AE190 &lt; 0, AD191 + AE190, 0)</f>
        <v>0</v>
      </c>
      <c r="AF191" s="1">
        <v>0</v>
      </c>
      <c r="AG191" s="1">
        <f>IF(AF191 + AG190 &lt; 0, AF191 + AG190, 0)</f>
        <v>0</v>
      </c>
      <c r="AH191" s="1">
        <v>0</v>
      </c>
      <c r="AI191" s="1">
        <f>IF(AH191 + AI190 &lt; 0, AH191 + AI190, 0)</f>
        <v>0</v>
      </c>
      <c r="AJ191" s="1">
        <v>0</v>
      </c>
      <c r="AK191" s="1">
        <f>IF(AJ191 + AK190 &lt; 0, AJ191 + AK190, 0)</f>
        <v>0</v>
      </c>
    </row>
    <row r="192" spans="1:37" s="1" customFormat="1">
      <c r="A192" s="3">
        <v>45574</v>
      </c>
      <c r="B192" s="2" t="s">
        <v>24</v>
      </c>
      <c r="C192" s="2">
        <v>16</v>
      </c>
      <c r="D192" s="2">
        <v>15</v>
      </c>
      <c r="E192" s="2">
        <v>14</v>
      </c>
      <c r="F192" s="2">
        <v>2</v>
      </c>
      <c r="G192" s="2">
        <v>3</v>
      </c>
      <c r="H192" s="1">
        <v>0</v>
      </c>
      <c r="I192" s="1">
        <f>IF(H192 + I191 &lt; 0, H192 + I191, 0)</f>
        <v>0</v>
      </c>
      <c r="J192" s="1">
        <v>0</v>
      </c>
      <c r="K192" s="1">
        <f>IF(J192 + K191 &lt; 0, J192 + K191, 0)</f>
        <v>0</v>
      </c>
      <c r="L192" s="1">
        <v>0</v>
      </c>
      <c r="M192" s="1">
        <f>IF(L192 + M191 &lt; 0, L192 + M191, 0)</f>
        <v>0</v>
      </c>
      <c r="N192" s="1">
        <v>0</v>
      </c>
      <c r="O192" s="1">
        <f>IF(N192 + O191 &lt; 0, N192 + O191, 0)</f>
        <v>0</v>
      </c>
      <c r="P192" s="1">
        <v>0</v>
      </c>
      <c r="Q192" s="1">
        <f>IF(P192 + Q191 &lt; 0, P192 + Q191, 0)</f>
        <v>0</v>
      </c>
      <c r="R192" s="1">
        <v>0</v>
      </c>
      <c r="S192" s="1">
        <f>IF(R192 + S191 &lt; 0, R192 + S191, 0)</f>
        <v>0</v>
      </c>
      <c r="T192" s="1">
        <v>0</v>
      </c>
      <c r="U192" s="1">
        <f>IF(T192 + U191 &lt; 0, T192 + U191, 0)</f>
        <v>0</v>
      </c>
      <c r="V192" s="1">
        <v>0</v>
      </c>
      <c r="W192" s="1">
        <f>IF(V192 + W191 &lt; 0, V192 + W191, 0)</f>
        <v>0</v>
      </c>
      <c r="X192" s="1">
        <v>0</v>
      </c>
      <c r="Y192" s="1">
        <f>IF(X192 + Y191 &lt; 0, X192 + Y191, 0)</f>
        <v>0</v>
      </c>
      <c r="Z192" s="1">
        <v>0</v>
      </c>
      <c r="AA192" s="1">
        <f>IF(Z192 + AA191 &lt; 0, Z192 + AA191, 0)</f>
        <v>0</v>
      </c>
      <c r="AB192" s="1">
        <v>0</v>
      </c>
      <c r="AC192" s="1">
        <f>IF(AB192 + AC191 &lt; 0, AB192 + AC191, 0)</f>
        <v>0</v>
      </c>
      <c r="AD192" s="1">
        <v>0</v>
      </c>
      <c r="AE192" s="1">
        <f>IF(AD192 + AE191 &lt; 0, AD192 + AE191, 0)</f>
        <v>0</v>
      </c>
      <c r="AF192" s="1">
        <v>0</v>
      </c>
      <c r="AG192" s="1">
        <f>IF(AF192 + AG191 &lt; 0, AF192 + AG191, 0)</f>
        <v>0</v>
      </c>
      <c r="AH192" s="1">
        <v>0</v>
      </c>
      <c r="AI192" s="1">
        <f>IF(AH192 + AI191 &lt; 0, AH192 + AI191, 0)</f>
        <v>0</v>
      </c>
      <c r="AJ192" s="1">
        <v>0</v>
      </c>
      <c r="AK192" s="1">
        <f>IF(AJ192 + AK191 &lt; 0, AJ192 + AK191, 0)</f>
        <v>0</v>
      </c>
    </row>
    <row r="193" spans="1:37" s="1" customFormat="1">
      <c r="A193" s="3">
        <v>45575</v>
      </c>
      <c r="B193" s="2" t="s">
        <v>25</v>
      </c>
      <c r="C193" s="2">
        <v>15</v>
      </c>
      <c r="D193" s="2">
        <v>14</v>
      </c>
      <c r="E193" s="2">
        <v>13</v>
      </c>
      <c r="F193" s="2">
        <v>1</v>
      </c>
      <c r="G193" s="2">
        <v>2</v>
      </c>
      <c r="H193" s="1">
        <v>0</v>
      </c>
      <c r="I193" s="1">
        <f>IF(H193 + I192 &lt; 0, H193 + I192, 0)</f>
        <v>0</v>
      </c>
      <c r="J193" s="1">
        <v>0</v>
      </c>
      <c r="K193" s="1">
        <f>IF(J193 + K192 &lt; 0, J193 + K192, 0)</f>
        <v>0</v>
      </c>
      <c r="L193" s="1">
        <v>0</v>
      </c>
      <c r="M193" s="1">
        <f>IF(L193 + M192 &lt; 0, L193 + M192, 0)</f>
        <v>0</v>
      </c>
      <c r="N193" s="1">
        <v>0</v>
      </c>
      <c r="O193" s="1">
        <f>IF(N193 + O192 &lt; 0, N193 + O192, 0)</f>
        <v>0</v>
      </c>
      <c r="P193" s="1">
        <v>0</v>
      </c>
      <c r="Q193" s="1">
        <f>IF(P193 + Q192 &lt; 0, P193 + Q192, 0)</f>
        <v>0</v>
      </c>
      <c r="R193" s="1">
        <v>0</v>
      </c>
      <c r="S193" s="1">
        <f>IF(R193 + S192 &lt; 0, R193 + S192, 0)</f>
        <v>0</v>
      </c>
      <c r="T193" s="1">
        <v>0</v>
      </c>
      <c r="U193" s="1">
        <f>IF(T193 + U192 &lt; 0, T193 + U192, 0)</f>
        <v>0</v>
      </c>
      <c r="V193" s="1">
        <v>0</v>
      </c>
      <c r="W193" s="1">
        <f>IF(V193 + W192 &lt; 0, V193 + W192, 0)</f>
        <v>0</v>
      </c>
      <c r="X193" s="1">
        <v>0</v>
      </c>
      <c r="Y193" s="1">
        <f>IF(X193 + Y192 &lt; 0, X193 + Y192, 0)</f>
        <v>0</v>
      </c>
      <c r="Z193" s="1">
        <v>592190.257956384</v>
      </c>
      <c r="AA193" s="1">
        <f>IF(Z193 + AA192 &lt; 0, Z193 + AA192, 0)</f>
        <v>0</v>
      </c>
      <c r="AB193" s="1">
        <v>613173.5869985105</v>
      </c>
      <c r="AC193" s="1">
        <f>IF(AB193 + AC192 &lt; 0, AB193 + AC192, 0)</f>
        <v>0</v>
      </c>
      <c r="AD193" s="1">
        <v>85345.27519879286</v>
      </c>
      <c r="AE193" s="1">
        <f>IF(AD193 + AE192 &lt; 0, AD193 + AE192, 0)</f>
        <v>0</v>
      </c>
      <c r="AF193" s="1">
        <v>0</v>
      </c>
      <c r="AG193" s="1">
        <f>IF(AF193 + AG192 &lt; 0, AF193 + AG192, 0)</f>
        <v>0</v>
      </c>
      <c r="AH193" s="1">
        <v>0</v>
      </c>
      <c r="AI193" s="1">
        <f>IF(AH193 + AI192 &lt; 0, AH193 + AI192, 0)</f>
        <v>0</v>
      </c>
      <c r="AJ193" s="1">
        <v>0</v>
      </c>
      <c r="AK193" s="1">
        <f>IF(AJ193 + AK192 &lt; 0, AJ193 + AK192, 0)</f>
        <v>0</v>
      </c>
    </row>
    <row r="194" spans="1:37" s="1" customFormat="1">
      <c r="A194" s="3">
        <v>45576</v>
      </c>
      <c r="B194" s="2" t="s">
        <v>26</v>
      </c>
      <c r="C194" s="2">
        <v>14</v>
      </c>
      <c r="D194" s="2">
        <v>13</v>
      </c>
      <c r="E194" s="2">
        <v>12</v>
      </c>
      <c r="F194" s="2">
        <v>5</v>
      </c>
      <c r="G194" s="2">
        <v>1</v>
      </c>
      <c r="H194" s="1">
        <v>0</v>
      </c>
      <c r="I194" s="1">
        <f>IF(H194 + I193 &lt; 0, H194 + I193, 0)</f>
        <v>0</v>
      </c>
      <c r="J194" s="1">
        <v>0</v>
      </c>
      <c r="K194" s="1">
        <f>IF(J194 + K193 &lt; 0, J194 + K193, 0)</f>
        <v>0</v>
      </c>
      <c r="L194" s="1">
        <v>0</v>
      </c>
      <c r="M194" s="1">
        <f>IF(L194 + M193 &lt; 0, L194 + M193, 0)</f>
        <v>0</v>
      </c>
      <c r="N194" s="1">
        <v>0</v>
      </c>
      <c r="O194" s="1">
        <f>IF(N194 + O193 &lt; 0, N194 + O193, 0)</f>
        <v>0</v>
      </c>
      <c r="P194" s="1">
        <v>0</v>
      </c>
      <c r="Q194" s="1">
        <f>IF(P194 + Q193 &lt; 0, P194 + Q193, 0)</f>
        <v>0</v>
      </c>
      <c r="R194" s="1">
        <v>0</v>
      </c>
      <c r="S194" s="1">
        <f>IF(R194 + S193 &lt; 0, R194 + S193, 0)</f>
        <v>0</v>
      </c>
      <c r="T194" s="1">
        <v>0</v>
      </c>
      <c r="U194" s="1">
        <f>IF(T194 + U193 &lt; 0, T194 + U193, 0)</f>
        <v>0</v>
      </c>
      <c r="V194" s="1">
        <v>0</v>
      </c>
      <c r="W194" s="1">
        <f>IF(V194 + W193 &lt; 0, V194 + W193, 0)</f>
        <v>0</v>
      </c>
      <c r="X194" s="1">
        <v>0</v>
      </c>
      <c r="Y194" s="1">
        <f>IF(X194 + Y193 &lt; 0, X194 + Y193, 0)</f>
        <v>0</v>
      </c>
      <c r="Z194" s="1">
        <v>0</v>
      </c>
      <c r="AA194" s="1">
        <f>IF(Z194 + AA193 &lt; 0, Z194 + AA193, 0)</f>
        <v>0</v>
      </c>
      <c r="AB194" s="1">
        <v>0</v>
      </c>
      <c r="AC194" s="1">
        <f>IF(AB194 + AC193 &lt; 0, AB194 + AC193, 0)</f>
        <v>0</v>
      </c>
      <c r="AD194" s="1">
        <v>0</v>
      </c>
      <c r="AE194" s="1">
        <f>IF(AD194 + AE193 &lt; 0, AD194 + AE193, 0)</f>
        <v>0</v>
      </c>
      <c r="AF194" s="1">
        <v>1095177.649535696</v>
      </c>
      <c r="AG194" s="1">
        <f>IF(AF194 + AG193 &lt; 0, AF194 + AG193, 0)</f>
        <v>0</v>
      </c>
      <c r="AH194" s="1">
        <v>1121657.474454081</v>
      </c>
      <c r="AI194" s="1">
        <f>IF(AH194 + AI193 &lt; 0, AH194 + AI193, 0)</f>
        <v>0</v>
      </c>
      <c r="AJ194" s="1">
        <v>785067.5114306995</v>
      </c>
      <c r="AK194" s="1">
        <f>IF(AJ194 + AK193 &lt; 0, AJ194 + AK193, 0)</f>
        <v>0</v>
      </c>
    </row>
    <row r="195" spans="1:37" s="1" customFormat="1">
      <c r="A195" s="3">
        <v>45579</v>
      </c>
      <c r="B195" s="2" t="s">
        <v>22</v>
      </c>
      <c r="C195" s="2">
        <v>13</v>
      </c>
      <c r="D195" s="2">
        <v>12</v>
      </c>
      <c r="E195" s="2">
        <v>11</v>
      </c>
      <c r="F195" s="2">
        <v>4</v>
      </c>
      <c r="G195" s="2">
        <v>5</v>
      </c>
      <c r="H195" s="1">
        <v>0</v>
      </c>
      <c r="I195" s="1">
        <f>IF(H195 + I194 &lt; 0, H195 + I194, 0)</f>
        <v>0</v>
      </c>
      <c r="J195" s="1">
        <v>0</v>
      </c>
      <c r="K195" s="1">
        <f>IF(J195 + K194 &lt; 0, J195 + K194, 0)</f>
        <v>0</v>
      </c>
      <c r="L195" s="1">
        <v>0</v>
      </c>
      <c r="M195" s="1">
        <f>IF(L195 + M194 &lt; 0, L195 + M194, 0)</f>
        <v>0</v>
      </c>
      <c r="N195" s="1">
        <v>0</v>
      </c>
      <c r="O195" s="1">
        <f>IF(N195 + O194 &lt; 0, N195 + O194, 0)</f>
        <v>0</v>
      </c>
      <c r="P195" s="1">
        <v>0</v>
      </c>
      <c r="Q195" s="1">
        <f>IF(P195 + Q194 &lt; 0, P195 + Q194, 0)</f>
        <v>0</v>
      </c>
      <c r="R195" s="1">
        <v>0</v>
      </c>
      <c r="S195" s="1">
        <f>IF(R195 + S194 &lt; 0, R195 + S194, 0)</f>
        <v>0</v>
      </c>
      <c r="T195" s="1">
        <v>0</v>
      </c>
      <c r="U195" s="1">
        <f>IF(T195 + U194 &lt; 0, T195 + U194, 0)</f>
        <v>0</v>
      </c>
      <c r="V195" s="1">
        <v>0</v>
      </c>
      <c r="W195" s="1">
        <f>IF(V195 + W194 &lt; 0, V195 + W194, 0)</f>
        <v>0</v>
      </c>
      <c r="X195" s="1">
        <v>0</v>
      </c>
      <c r="Y195" s="1">
        <f>IF(X195 + Y194 &lt; 0, X195 + Y194, 0)</f>
        <v>0</v>
      </c>
      <c r="Z195" s="1">
        <v>0</v>
      </c>
      <c r="AA195" s="1">
        <f>IF(Z195 + AA194 &lt; 0, Z195 + AA194, 0)</f>
        <v>0</v>
      </c>
      <c r="AB195" s="1">
        <v>0</v>
      </c>
      <c r="AC195" s="1">
        <f>IF(AB195 + AC194 &lt; 0, AB195 + AC194, 0)</f>
        <v>0</v>
      </c>
      <c r="AD195" s="1">
        <v>0</v>
      </c>
      <c r="AE195" s="1">
        <f>IF(AD195 + AE194 &lt; 0, AD195 + AE194, 0)</f>
        <v>0</v>
      </c>
      <c r="AF195" s="1">
        <v>0</v>
      </c>
      <c r="AG195" s="1">
        <f>IF(AF195 + AG194 &lt; 0, AF195 + AG194, 0)</f>
        <v>0</v>
      </c>
      <c r="AH195" s="1">
        <v>0</v>
      </c>
      <c r="AI195" s="1">
        <f>IF(AH195 + AI194 &lt; 0, AH195 + AI194, 0)</f>
        <v>0</v>
      </c>
      <c r="AJ195" s="1">
        <v>0</v>
      </c>
      <c r="AK195" s="1">
        <f>IF(AJ195 + AK194 &lt; 0, AJ195 + AK194, 0)</f>
        <v>0</v>
      </c>
    </row>
    <row r="196" spans="1:37" s="1" customFormat="1">
      <c r="A196" s="3">
        <v>45580</v>
      </c>
      <c r="B196" s="2" t="s">
        <v>23</v>
      </c>
      <c r="C196" s="2">
        <v>12</v>
      </c>
      <c r="D196" s="2">
        <v>11</v>
      </c>
      <c r="E196" s="2">
        <v>10</v>
      </c>
      <c r="F196" s="2">
        <v>3</v>
      </c>
      <c r="G196" s="2">
        <v>4</v>
      </c>
      <c r="H196" s="1">
        <v>0</v>
      </c>
      <c r="I196" s="1">
        <f>IF(H196 + I195 &lt; 0, H196 + I195, 0)</f>
        <v>0</v>
      </c>
      <c r="J196" s="1">
        <v>0</v>
      </c>
      <c r="K196" s="1">
        <f>IF(J196 + K195 &lt; 0, J196 + K195, 0)</f>
        <v>0</v>
      </c>
      <c r="L196" s="1">
        <v>0</v>
      </c>
      <c r="M196" s="1">
        <f>IF(L196 + M195 &lt; 0, L196 + M195, 0)</f>
        <v>0</v>
      </c>
      <c r="N196" s="1">
        <v>0</v>
      </c>
      <c r="O196" s="1">
        <f>IF(N196 + O195 &lt; 0, N196 + O195, 0)</f>
        <v>0</v>
      </c>
      <c r="P196" s="1">
        <v>0</v>
      </c>
      <c r="Q196" s="1">
        <f>IF(P196 + Q195 &lt; 0, P196 + Q195, 0)</f>
        <v>0</v>
      </c>
      <c r="R196" s="1">
        <v>0</v>
      </c>
      <c r="S196" s="1">
        <f>IF(R196 + S195 &lt; 0, R196 + S195, 0)</f>
        <v>0</v>
      </c>
      <c r="T196" s="1">
        <v>0</v>
      </c>
      <c r="U196" s="1">
        <f>IF(T196 + U195 &lt; 0, T196 + U195, 0)</f>
        <v>0</v>
      </c>
      <c r="V196" s="1">
        <v>0</v>
      </c>
      <c r="W196" s="1">
        <f>IF(V196 + W195 &lt; 0, V196 + W195, 0)</f>
        <v>0</v>
      </c>
      <c r="X196" s="1">
        <v>0</v>
      </c>
      <c r="Y196" s="1">
        <f>IF(X196 + Y195 &lt; 0, X196 + Y195, 0)</f>
        <v>0</v>
      </c>
      <c r="Z196" s="1">
        <v>0</v>
      </c>
      <c r="AA196" s="1">
        <f>IF(Z196 + AA195 &lt; 0, Z196 + AA195, 0)</f>
        <v>0</v>
      </c>
      <c r="AB196" s="1">
        <v>0</v>
      </c>
      <c r="AC196" s="1">
        <f>IF(AB196 + AC195 &lt; 0, AB196 + AC195, 0)</f>
        <v>0</v>
      </c>
      <c r="AD196" s="1">
        <v>0</v>
      </c>
      <c r="AE196" s="1">
        <f>IF(AD196 + AE195 &lt; 0, AD196 + AE195, 0)</f>
        <v>0</v>
      </c>
      <c r="AF196" s="1">
        <v>0</v>
      </c>
      <c r="AG196" s="1">
        <f>IF(AF196 + AG195 &lt; 0, AF196 + AG195, 0)</f>
        <v>0</v>
      </c>
      <c r="AH196" s="1">
        <v>0</v>
      </c>
      <c r="AI196" s="1">
        <f>IF(AH196 + AI195 &lt; 0, AH196 + AI195, 0)</f>
        <v>0</v>
      </c>
      <c r="AJ196" s="1">
        <v>0</v>
      </c>
      <c r="AK196" s="1">
        <f>IF(AJ196 + AK195 &lt; 0, AJ196 + AK195, 0)</f>
        <v>0</v>
      </c>
    </row>
    <row r="197" spans="1:37" s="1" customFormat="1">
      <c r="A197" s="3">
        <v>45581</v>
      </c>
      <c r="B197" s="2" t="s">
        <v>24</v>
      </c>
      <c r="C197" s="2">
        <v>11</v>
      </c>
      <c r="D197" s="2">
        <v>10</v>
      </c>
      <c r="E197" s="2">
        <v>9</v>
      </c>
      <c r="F197" s="2">
        <v>2</v>
      </c>
      <c r="G197" s="2">
        <v>3</v>
      </c>
      <c r="H197" s="1">
        <v>0</v>
      </c>
      <c r="I197" s="1">
        <f>IF(H197 + I196 &lt; 0, H197 + I196, 0)</f>
        <v>0</v>
      </c>
      <c r="J197" s="1">
        <v>0</v>
      </c>
      <c r="K197" s="1">
        <f>IF(J197 + K196 &lt; 0, J197 + K196, 0)</f>
        <v>0</v>
      </c>
      <c r="L197" s="1">
        <v>0</v>
      </c>
      <c r="M197" s="1">
        <f>IF(L197 + M196 &lt; 0, L197 + M196, 0)</f>
        <v>0</v>
      </c>
      <c r="N197" s="1">
        <v>0</v>
      </c>
      <c r="O197" s="1">
        <f>IF(N197 + O196 &lt; 0, N197 + O196, 0)</f>
        <v>0</v>
      </c>
      <c r="P197" s="1">
        <v>0</v>
      </c>
      <c r="Q197" s="1">
        <f>IF(P197 + Q196 &lt; 0, P197 + Q196, 0)</f>
        <v>0</v>
      </c>
      <c r="R197" s="1">
        <v>0</v>
      </c>
      <c r="S197" s="1">
        <f>IF(R197 + S196 &lt; 0, R197 + S196, 0)</f>
        <v>0</v>
      </c>
      <c r="T197" s="1">
        <v>0</v>
      </c>
      <c r="U197" s="1">
        <f>IF(T197 + U196 &lt; 0, T197 + U196, 0)</f>
        <v>0</v>
      </c>
      <c r="V197" s="1">
        <v>0</v>
      </c>
      <c r="W197" s="1">
        <f>IF(V197 + W196 &lt; 0, V197 + W196, 0)</f>
        <v>0</v>
      </c>
      <c r="X197" s="1">
        <v>0</v>
      </c>
      <c r="Y197" s="1">
        <f>IF(X197 + Y196 &lt; 0, X197 + Y196, 0)</f>
        <v>0</v>
      </c>
      <c r="Z197" s="1">
        <v>0</v>
      </c>
      <c r="AA197" s="1">
        <f>IF(Z197 + AA196 &lt; 0, Z197 + AA196, 0)</f>
        <v>0</v>
      </c>
      <c r="AB197" s="1">
        <v>0</v>
      </c>
      <c r="AC197" s="1">
        <f>IF(AB197 + AC196 &lt; 0, AB197 + AC196, 0)</f>
        <v>0</v>
      </c>
      <c r="AD197" s="1">
        <v>0</v>
      </c>
      <c r="AE197" s="1">
        <f>IF(AD197 + AE196 &lt; 0, AD197 + AE196, 0)</f>
        <v>0</v>
      </c>
      <c r="AF197" s="1">
        <v>0</v>
      </c>
      <c r="AG197" s="1">
        <f>IF(AF197 + AG196 &lt; 0, AF197 + AG196, 0)</f>
        <v>0</v>
      </c>
      <c r="AH197" s="1">
        <v>0</v>
      </c>
      <c r="AI197" s="1">
        <f>IF(AH197 + AI196 &lt; 0, AH197 + AI196, 0)</f>
        <v>0</v>
      </c>
      <c r="AJ197" s="1">
        <v>0</v>
      </c>
      <c r="AK197" s="1">
        <f>IF(AJ197 + AK196 &lt; 0, AJ197 + AK196, 0)</f>
        <v>0</v>
      </c>
    </row>
    <row r="198" spans="1:37" s="1" customFormat="1">
      <c r="A198" s="3">
        <v>45582</v>
      </c>
      <c r="B198" s="2" t="s">
        <v>25</v>
      </c>
      <c r="C198" s="2">
        <v>10</v>
      </c>
      <c r="D198" s="2">
        <v>9</v>
      </c>
      <c r="E198" s="2">
        <v>8</v>
      </c>
      <c r="F198" s="2">
        <v>1</v>
      </c>
      <c r="G198" s="2">
        <v>2</v>
      </c>
      <c r="H198" s="1">
        <v>0</v>
      </c>
      <c r="I198" s="1">
        <f>IF(H198 + I197 &lt; 0, H198 + I197, 0)</f>
        <v>0</v>
      </c>
      <c r="J198" s="1">
        <v>0</v>
      </c>
      <c r="K198" s="1">
        <f>IF(J198 + K197 &lt; 0, J198 + K197, 0)</f>
        <v>0</v>
      </c>
      <c r="L198" s="1">
        <v>0</v>
      </c>
      <c r="M198" s="1">
        <f>IF(L198 + M197 &lt; 0, L198 + M197, 0)</f>
        <v>0</v>
      </c>
      <c r="N198" s="1">
        <v>0</v>
      </c>
      <c r="O198" s="1">
        <f>IF(N198 + O197 &lt; 0, N198 + O197, 0)</f>
        <v>0</v>
      </c>
      <c r="P198" s="1">
        <v>0</v>
      </c>
      <c r="Q198" s="1">
        <f>IF(P198 + Q197 &lt; 0, P198 + Q197, 0)</f>
        <v>0</v>
      </c>
      <c r="R198" s="1">
        <v>0</v>
      </c>
      <c r="S198" s="1">
        <f>IF(R198 + S197 &lt; 0, R198 + S197, 0)</f>
        <v>0</v>
      </c>
      <c r="T198" s="1">
        <v>0</v>
      </c>
      <c r="U198" s="1">
        <f>IF(T198 + U197 &lt; 0, T198 + U197, 0)</f>
        <v>0</v>
      </c>
      <c r="V198" s="1">
        <v>0</v>
      </c>
      <c r="W198" s="1">
        <f>IF(V198 + W197 &lt; 0, V198 + W197, 0)</f>
        <v>0</v>
      </c>
      <c r="X198" s="1">
        <v>0</v>
      </c>
      <c r="Y198" s="1">
        <f>IF(X198 + Y197 &lt; 0, X198 + Y197, 0)</f>
        <v>0</v>
      </c>
      <c r="Z198" s="1">
        <v>-206397.0921044201</v>
      </c>
      <c r="AA198" s="1">
        <f>IF(Z198 + AA197 &lt; 0, Z198 + AA197, 0)</f>
        <v>0</v>
      </c>
      <c r="AB198" s="1">
        <v>232517.6275869432</v>
      </c>
      <c r="AC198" s="1">
        <f>IF(AB198 + AC197 &lt; 0, AB198 + AC197, 0)</f>
        <v>0</v>
      </c>
      <c r="AD198" s="1">
        <v>209717.147896058</v>
      </c>
      <c r="AE198" s="1">
        <f>IF(AD198 + AE197 &lt; 0, AD198 + AE197, 0)</f>
        <v>0</v>
      </c>
      <c r="AF198" s="1">
        <v>0</v>
      </c>
      <c r="AG198" s="1">
        <f>IF(AF198 + AG197 &lt; 0, AF198 + AG197, 0)</f>
        <v>0</v>
      </c>
      <c r="AH198" s="1">
        <v>0</v>
      </c>
      <c r="AI198" s="1">
        <f>IF(AH198 + AI197 &lt; 0, AH198 + AI197, 0)</f>
        <v>0</v>
      </c>
      <c r="AJ198" s="1">
        <v>0</v>
      </c>
      <c r="AK198" s="1">
        <f>IF(AJ198 + AK197 &lt; 0, AJ198 + AK197, 0)</f>
        <v>0</v>
      </c>
    </row>
    <row r="199" spans="1:37" s="1" customFormat="1">
      <c r="A199" s="3">
        <v>45583</v>
      </c>
      <c r="B199" s="2" t="s">
        <v>26</v>
      </c>
      <c r="C199" s="2">
        <v>9</v>
      </c>
      <c r="D199" s="2">
        <v>8</v>
      </c>
      <c r="E199" s="2">
        <v>7</v>
      </c>
      <c r="F199" s="2">
        <v>5</v>
      </c>
      <c r="G199" s="2">
        <v>1</v>
      </c>
      <c r="H199" s="1">
        <v>0</v>
      </c>
      <c r="I199" s="1">
        <f>IF(H199 + I198 &lt; 0, H199 + I198, 0)</f>
        <v>0</v>
      </c>
      <c r="J199" s="1">
        <v>0</v>
      </c>
      <c r="K199" s="1">
        <f>IF(J199 + K198 &lt; 0, J199 + K198, 0)</f>
        <v>0</v>
      </c>
      <c r="L199" s="1">
        <v>0</v>
      </c>
      <c r="M199" s="1">
        <f>IF(L199 + M198 &lt; 0, L199 + M198, 0)</f>
        <v>0</v>
      </c>
      <c r="N199" s="1">
        <v>0</v>
      </c>
      <c r="O199" s="1">
        <f>IF(N199 + O198 &lt; 0, N199 + O198, 0)</f>
        <v>0</v>
      </c>
      <c r="P199" s="1">
        <v>0</v>
      </c>
      <c r="Q199" s="1">
        <f>IF(P199 + Q198 &lt; 0, P199 + Q198, 0)</f>
        <v>0</v>
      </c>
      <c r="R199" s="1">
        <v>0</v>
      </c>
      <c r="S199" s="1">
        <f>IF(R199 + S198 &lt; 0, R199 + S198, 0)</f>
        <v>0</v>
      </c>
      <c r="T199" s="1">
        <v>0</v>
      </c>
      <c r="U199" s="1">
        <f>IF(T199 + U198 &lt; 0, T199 + U198, 0)</f>
        <v>0</v>
      </c>
      <c r="V199" s="1">
        <v>0</v>
      </c>
      <c r="W199" s="1">
        <f>IF(V199 + W198 &lt; 0, V199 + W198, 0)</f>
        <v>0</v>
      </c>
      <c r="X199" s="1">
        <v>0</v>
      </c>
      <c r="Y199" s="1">
        <f>IF(X199 + Y198 &lt; 0, X199 + Y198, 0)</f>
        <v>0</v>
      </c>
      <c r="Z199" s="1">
        <v>0</v>
      </c>
      <c r="AA199" s="1">
        <f>IF(Z199 + AA198 &lt; 0, Z199 + AA198, 0)</f>
        <v>0</v>
      </c>
      <c r="AB199" s="1">
        <v>0</v>
      </c>
      <c r="AC199" s="1">
        <f>IF(AB199 + AC198 &lt; 0, AB199 + AC198, 0)</f>
        <v>0</v>
      </c>
      <c r="AD199" s="1">
        <v>0</v>
      </c>
      <c r="AE199" s="1">
        <f>IF(AD199 + AE198 &lt; 0, AD199 + AE198, 0)</f>
        <v>0</v>
      </c>
      <c r="AF199" s="1">
        <v>32664.11456771245</v>
      </c>
      <c r="AG199" s="1">
        <f>IF(AF199 + AG198 &lt; 0, AF199 + AG198, 0)</f>
        <v>0</v>
      </c>
      <c r="AH199" s="1">
        <v>-23030.79973874159</v>
      </c>
      <c r="AI199" s="1">
        <f>IF(AH199 + AI198 &lt; 0, AH199 + AI198, 0)</f>
        <v>0</v>
      </c>
      <c r="AJ199" s="1">
        <v>-155208.9892029694</v>
      </c>
      <c r="AK199" s="1">
        <f>IF(AJ199 + AK198 &lt; 0, AJ199 + AK198, 0)</f>
        <v>0</v>
      </c>
    </row>
    <row r="200" spans="1:37" s="1" customFormat="1">
      <c r="A200" s="3">
        <v>45586</v>
      </c>
      <c r="B200" s="2" t="s">
        <v>22</v>
      </c>
      <c r="C200" s="2">
        <v>8</v>
      </c>
      <c r="D200" s="2">
        <v>7</v>
      </c>
      <c r="E200" s="2">
        <v>6</v>
      </c>
      <c r="F200" s="2">
        <v>4</v>
      </c>
      <c r="G200" s="2">
        <v>5</v>
      </c>
      <c r="H200" s="1">
        <v>0</v>
      </c>
      <c r="I200" s="1">
        <f>IF(H200 + I199 &lt; 0, H200 + I199, 0)</f>
        <v>0</v>
      </c>
      <c r="J200" s="1">
        <v>0</v>
      </c>
      <c r="K200" s="1">
        <f>IF(J200 + K199 &lt; 0, J200 + K199, 0)</f>
        <v>0</v>
      </c>
      <c r="L200" s="1">
        <v>0</v>
      </c>
      <c r="M200" s="1">
        <f>IF(L200 + M199 &lt; 0, L200 + M199, 0)</f>
        <v>0</v>
      </c>
      <c r="N200" s="1">
        <v>0</v>
      </c>
      <c r="O200" s="1">
        <f>IF(N200 + O199 &lt; 0, N200 + O199, 0)</f>
        <v>0</v>
      </c>
      <c r="P200" s="1">
        <v>0</v>
      </c>
      <c r="Q200" s="1">
        <f>IF(P200 + Q199 &lt; 0, P200 + Q199, 0)</f>
        <v>0</v>
      </c>
      <c r="R200" s="1">
        <v>0</v>
      </c>
      <c r="S200" s="1">
        <f>IF(R200 + S199 &lt; 0, R200 + S199, 0)</f>
        <v>0</v>
      </c>
      <c r="T200" s="1">
        <v>0</v>
      </c>
      <c r="U200" s="1">
        <f>IF(T200 + U199 &lt; 0, T200 + U199, 0)</f>
        <v>0</v>
      </c>
      <c r="V200" s="1">
        <v>0</v>
      </c>
      <c r="W200" s="1">
        <f>IF(V200 + W199 &lt; 0, V200 + W199, 0)</f>
        <v>0</v>
      </c>
      <c r="X200" s="1">
        <v>0</v>
      </c>
      <c r="Y200" s="1">
        <f>IF(X200 + Y199 &lt; 0, X200 + Y199, 0)</f>
        <v>0</v>
      </c>
      <c r="Z200" s="1">
        <v>0</v>
      </c>
      <c r="AA200" s="1">
        <f>IF(Z200 + AA199 &lt; 0, Z200 + AA199, 0)</f>
        <v>0</v>
      </c>
      <c r="AB200" s="1">
        <v>0</v>
      </c>
      <c r="AC200" s="1">
        <f>IF(AB200 + AC199 &lt; 0, AB200 + AC199, 0)</f>
        <v>0</v>
      </c>
      <c r="AD200" s="1">
        <v>0</v>
      </c>
      <c r="AE200" s="1">
        <f>IF(AD200 + AE199 &lt; 0, AD200 + AE199, 0)</f>
        <v>0</v>
      </c>
      <c r="AF200" s="1">
        <v>0</v>
      </c>
      <c r="AG200" s="1">
        <f>IF(AF200 + AG199 &lt; 0, AF200 + AG199, 0)</f>
        <v>0</v>
      </c>
      <c r="AH200" s="1">
        <v>0</v>
      </c>
      <c r="AI200" s="1">
        <f>IF(AH200 + AI199 &lt; 0, AH200 + AI199, 0)</f>
        <v>0</v>
      </c>
      <c r="AJ200" s="1">
        <v>0</v>
      </c>
      <c r="AK200" s="1">
        <f>IF(AJ200 + AK199 &lt; 0, AJ200 + AK199, 0)</f>
        <v>0</v>
      </c>
    </row>
    <row r="201" spans="1:37" s="1" customFormat="1">
      <c r="A201" s="3">
        <v>45587</v>
      </c>
      <c r="B201" s="2" t="s">
        <v>23</v>
      </c>
      <c r="C201" s="2">
        <v>7</v>
      </c>
      <c r="D201" s="2">
        <v>6</v>
      </c>
      <c r="E201" s="2">
        <v>5</v>
      </c>
      <c r="F201" s="2">
        <v>3</v>
      </c>
      <c r="G201" s="2">
        <v>4</v>
      </c>
      <c r="H201" s="1">
        <v>0</v>
      </c>
      <c r="I201" s="1">
        <f>IF(H201 + I200 &lt; 0, H201 + I200, 0)</f>
        <v>0</v>
      </c>
      <c r="J201" s="1">
        <v>0</v>
      </c>
      <c r="K201" s="1">
        <f>IF(J201 + K200 &lt; 0, J201 + K200, 0)</f>
        <v>0</v>
      </c>
      <c r="L201" s="1">
        <v>0</v>
      </c>
      <c r="M201" s="1">
        <f>IF(L201 + M200 &lt; 0, L201 + M200, 0)</f>
        <v>0</v>
      </c>
      <c r="N201" s="1">
        <v>0</v>
      </c>
      <c r="O201" s="1">
        <f>IF(N201 + O200 &lt; 0, N201 + O200, 0)</f>
        <v>0</v>
      </c>
      <c r="P201" s="1">
        <v>0</v>
      </c>
      <c r="Q201" s="1">
        <f>IF(P201 + Q200 &lt; 0, P201 + Q200, 0)</f>
        <v>0</v>
      </c>
      <c r="R201" s="1">
        <v>0</v>
      </c>
      <c r="S201" s="1">
        <f>IF(R201 + S200 &lt; 0, R201 + S200, 0)</f>
        <v>0</v>
      </c>
      <c r="T201" s="1">
        <v>0</v>
      </c>
      <c r="U201" s="1">
        <f>IF(T201 + U200 &lt; 0, T201 + U200, 0)</f>
        <v>0</v>
      </c>
      <c r="V201" s="1">
        <v>0</v>
      </c>
      <c r="W201" s="1">
        <f>IF(V201 + W200 &lt; 0, V201 + W200, 0)</f>
        <v>0</v>
      </c>
      <c r="X201" s="1">
        <v>0</v>
      </c>
      <c r="Y201" s="1">
        <f>IF(X201 + Y200 &lt; 0, X201 + Y200, 0)</f>
        <v>0</v>
      </c>
      <c r="Z201" s="1">
        <v>0</v>
      </c>
      <c r="AA201" s="1">
        <f>IF(Z201 + AA200 &lt; 0, Z201 + AA200, 0)</f>
        <v>0</v>
      </c>
      <c r="AB201" s="1">
        <v>0</v>
      </c>
      <c r="AC201" s="1">
        <f>IF(AB201 + AC200 &lt; 0, AB201 + AC200, 0)</f>
        <v>0</v>
      </c>
      <c r="AD201" s="1">
        <v>0</v>
      </c>
      <c r="AE201" s="1">
        <f>IF(AD201 + AE200 &lt; 0, AD201 + AE200, 0)</f>
        <v>0</v>
      </c>
      <c r="AF201" s="1">
        <v>0</v>
      </c>
      <c r="AG201" s="1">
        <f>IF(AF201 + AG200 &lt; 0, AF201 + AG200, 0)</f>
        <v>0</v>
      </c>
      <c r="AH201" s="1">
        <v>0</v>
      </c>
      <c r="AI201" s="1">
        <f>IF(AH201 + AI200 &lt; 0, AH201 + AI200, 0)</f>
        <v>0</v>
      </c>
      <c r="AJ201" s="1">
        <v>0</v>
      </c>
      <c r="AK201" s="1">
        <f>IF(AJ201 + AK200 &lt; 0, AJ201 + AK200, 0)</f>
        <v>0</v>
      </c>
    </row>
    <row r="202" spans="1:37" s="1" customFormat="1">
      <c r="A202" s="3">
        <v>45588</v>
      </c>
      <c r="B202" s="2" t="s">
        <v>24</v>
      </c>
      <c r="C202" s="2">
        <v>6</v>
      </c>
      <c r="D202" s="2">
        <v>5</v>
      </c>
      <c r="E202" s="2">
        <v>4</v>
      </c>
      <c r="F202" s="2">
        <v>2</v>
      </c>
      <c r="G202" s="2">
        <v>3</v>
      </c>
      <c r="H202" s="1">
        <v>0</v>
      </c>
      <c r="I202" s="1">
        <f>IF(H202 + I201 &lt; 0, H202 + I201, 0)</f>
        <v>0</v>
      </c>
      <c r="J202" s="1">
        <v>0</v>
      </c>
      <c r="K202" s="1">
        <f>IF(J202 + K201 &lt; 0, J202 + K201, 0)</f>
        <v>0</v>
      </c>
      <c r="L202" s="1">
        <v>0</v>
      </c>
      <c r="M202" s="1">
        <f>IF(L202 + M201 &lt; 0, L202 + M201, 0)</f>
        <v>0</v>
      </c>
      <c r="N202" s="1">
        <v>0</v>
      </c>
      <c r="O202" s="1">
        <f>IF(N202 + O201 &lt; 0, N202 + O201, 0)</f>
        <v>0</v>
      </c>
      <c r="P202" s="1">
        <v>0</v>
      </c>
      <c r="Q202" s="1">
        <f>IF(P202 + Q201 &lt; 0, P202 + Q201, 0)</f>
        <v>0</v>
      </c>
      <c r="R202" s="1">
        <v>0</v>
      </c>
      <c r="S202" s="1">
        <f>IF(R202 + S201 &lt; 0, R202 + S201, 0)</f>
        <v>0</v>
      </c>
      <c r="T202" s="1">
        <v>0</v>
      </c>
      <c r="U202" s="1">
        <f>IF(T202 + U201 &lt; 0, T202 + U201, 0)</f>
        <v>0</v>
      </c>
      <c r="V202" s="1">
        <v>0</v>
      </c>
      <c r="W202" s="1">
        <f>IF(V202 + W201 &lt; 0, V202 + W201, 0)</f>
        <v>0</v>
      </c>
      <c r="X202" s="1">
        <v>0</v>
      </c>
      <c r="Y202" s="1">
        <f>IF(X202 + Y201 &lt; 0, X202 + Y201, 0)</f>
        <v>0</v>
      </c>
      <c r="Z202" s="1">
        <v>0</v>
      </c>
      <c r="AA202" s="1">
        <f>IF(Z202 + AA201 &lt; 0, Z202 + AA201, 0)</f>
        <v>0</v>
      </c>
      <c r="AB202" s="1">
        <v>0</v>
      </c>
      <c r="AC202" s="1">
        <f>IF(AB202 + AC201 &lt; 0, AB202 + AC201, 0)</f>
        <v>0</v>
      </c>
      <c r="AD202" s="1">
        <v>0</v>
      </c>
      <c r="AE202" s="1">
        <f>IF(AD202 + AE201 &lt; 0, AD202 + AE201, 0)</f>
        <v>0</v>
      </c>
      <c r="AF202" s="1">
        <v>0</v>
      </c>
      <c r="AG202" s="1">
        <f>IF(AF202 + AG201 &lt; 0, AF202 + AG201, 0)</f>
        <v>0</v>
      </c>
      <c r="AH202" s="1">
        <v>0</v>
      </c>
      <c r="AI202" s="1">
        <f>IF(AH202 + AI201 &lt; 0, AH202 + AI201, 0)</f>
        <v>0</v>
      </c>
      <c r="AJ202" s="1">
        <v>0</v>
      </c>
      <c r="AK202" s="1">
        <f>IF(AJ202 + AK201 &lt; 0, AJ202 + AK201, 0)</f>
        <v>0</v>
      </c>
    </row>
    <row r="203" spans="1:37" s="1" customFormat="1">
      <c r="A203" s="3">
        <v>45589</v>
      </c>
      <c r="B203" s="2" t="s">
        <v>25</v>
      </c>
      <c r="C203" s="2">
        <v>5</v>
      </c>
      <c r="D203" s="2">
        <v>4</v>
      </c>
      <c r="E203" s="2">
        <v>3</v>
      </c>
      <c r="F203" s="2">
        <v>1</v>
      </c>
      <c r="G203" s="2">
        <v>2</v>
      </c>
      <c r="H203" s="1">
        <v>0</v>
      </c>
      <c r="I203" s="1">
        <f>IF(H203 + I202 &lt; 0, H203 + I202, 0)</f>
        <v>0</v>
      </c>
      <c r="J203" s="1">
        <v>0</v>
      </c>
      <c r="K203" s="1">
        <f>IF(J203 + K202 &lt; 0, J203 + K202, 0)</f>
        <v>0</v>
      </c>
      <c r="L203" s="1">
        <v>0</v>
      </c>
      <c r="M203" s="1">
        <f>IF(L203 + M202 &lt; 0, L203 + M202, 0)</f>
        <v>0</v>
      </c>
      <c r="N203" s="1">
        <v>0</v>
      </c>
      <c r="O203" s="1">
        <f>IF(N203 + O202 &lt; 0, N203 + O202, 0)</f>
        <v>0</v>
      </c>
      <c r="P203" s="1">
        <v>0</v>
      </c>
      <c r="Q203" s="1">
        <f>IF(P203 + Q202 &lt; 0, P203 + Q202, 0)</f>
        <v>0</v>
      </c>
      <c r="R203" s="1">
        <v>0</v>
      </c>
      <c r="S203" s="1">
        <f>IF(R203 + S202 &lt; 0, R203 + S202, 0)</f>
        <v>0</v>
      </c>
      <c r="T203" s="1">
        <v>0</v>
      </c>
      <c r="U203" s="1">
        <f>IF(T203 + U202 &lt; 0, T203 + U202, 0)</f>
        <v>0</v>
      </c>
      <c r="V203" s="1">
        <v>0</v>
      </c>
      <c r="W203" s="1">
        <f>IF(V203 + W202 &lt; 0, V203 + W202, 0)</f>
        <v>0</v>
      </c>
      <c r="X203" s="1">
        <v>0</v>
      </c>
      <c r="Y203" s="1">
        <f>IF(X203 + Y202 &lt; 0, X203 + Y202, 0)</f>
        <v>0</v>
      </c>
      <c r="Z203" s="1">
        <v>456727.3477334027</v>
      </c>
      <c r="AA203" s="1">
        <f>IF(Z203 + AA202 &lt; 0, Z203 + AA202, 0)</f>
        <v>0</v>
      </c>
      <c r="AB203" s="1">
        <v>421740.1771017166</v>
      </c>
      <c r="AC203" s="1">
        <f>IF(AB203 + AC202 &lt; 0, AB203 + AC202, 0)</f>
        <v>0</v>
      </c>
      <c r="AD203" s="1">
        <v>520400.6420268629</v>
      </c>
      <c r="AE203" s="1">
        <f>IF(AD203 + AE202 &lt; 0, AD203 + AE202, 0)</f>
        <v>0</v>
      </c>
      <c r="AF203" s="1">
        <v>0</v>
      </c>
      <c r="AG203" s="1">
        <f>IF(AF203 + AG202 &lt; 0, AF203 + AG202, 0)</f>
        <v>0</v>
      </c>
      <c r="AH203" s="1">
        <v>0</v>
      </c>
      <c r="AI203" s="1">
        <f>IF(AH203 + AI202 &lt; 0, AH203 + AI202, 0)</f>
        <v>0</v>
      </c>
      <c r="AJ203" s="1">
        <v>0</v>
      </c>
      <c r="AK203" s="1">
        <f>IF(AJ203 + AK202 &lt; 0, AJ203 + AK202, 0)</f>
        <v>0</v>
      </c>
    </row>
    <row r="204" spans="1:37" s="1" customFormat="1">
      <c r="A204" s="3">
        <v>45590</v>
      </c>
      <c r="B204" s="2" t="s">
        <v>26</v>
      </c>
      <c r="C204" s="2">
        <v>4</v>
      </c>
      <c r="D204" s="2">
        <v>3</v>
      </c>
      <c r="E204" s="2">
        <v>2</v>
      </c>
      <c r="F204" s="2">
        <v>5</v>
      </c>
      <c r="G204" s="2">
        <v>1</v>
      </c>
      <c r="H204" s="1">
        <v>0</v>
      </c>
      <c r="I204" s="1">
        <f>IF(H204 + I203 &lt; 0, H204 + I203, 0)</f>
        <v>0</v>
      </c>
      <c r="J204" s="1">
        <v>0</v>
      </c>
      <c r="K204" s="1">
        <f>IF(J204 + K203 &lt; 0, J204 + K203, 0)</f>
        <v>0</v>
      </c>
      <c r="L204" s="1">
        <v>0</v>
      </c>
      <c r="M204" s="1">
        <f>IF(L204 + M203 &lt; 0, L204 + M203, 0)</f>
        <v>0</v>
      </c>
      <c r="N204" s="1">
        <v>0</v>
      </c>
      <c r="O204" s="1">
        <f>IF(N204 + O203 &lt; 0, N204 + O203, 0)</f>
        <v>0</v>
      </c>
      <c r="P204" s="1">
        <v>0</v>
      </c>
      <c r="Q204" s="1">
        <f>IF(P204 + Q203 &lt; 0, P204 + Q203, 0)</f>
        <v>0</v>
      </c>
      <c r="R204" s="1">
        <v>0</v>
      </c>
      <c r="S204" s="1">
        <f>IF(R204 + S203 &lt; 0, R204 + S203, 0)</f>
        <v>0</v>
      </c>
      <c r="T204" s="1">
        <v>0</v>
      </c>
      <c r="U204" s="1">
        <f>IF(T204 + U203 &lt; 0, T204 + U203, 0)</f>
        <v>0</v>
      </c>
      <c r="V204" s="1">
        <v>0</v>
      </c>
      <c r="W204" s="1">
        <f>IF(V204 + W203 &lt; 0, V204 + W203, 0)</f>
        <v>0</v>
      </c>
      <c r="X204" s="1">
        <v>0</v>
      </c>
      <c r="Y204" s="1">
        <f>IF(X204 + Y203 &lt; 0, X204 + Y203, 0)</f>
        <v>0</v>
      </c>
      <c r="Z204" s="1">
        <v>0</v>
      </c>
      <c r="AA204" s="1">
        <f>IF(Z204 + AA203 &lt; 0, Z204 + AA203, 0)</f>
        <v>0</v>
      </c>
      <c r="AB204" s="1">
        <v>0</v>
      </c>
      <c r="AC204" s="1">
        <f>IF(AB204 + AC203 &lt; 0, AB204 + AC203, 0)</f>
        <v>0</v>
      </c>
      <c r="AD204" s="1">
        <v>0</v>
      </c>
      <c r="AE204" s="1">
        <f>IF(AD204 + AE203 &lt; 0, AD204 + AE203, 0)</f>
        <v>0</v>
      </c>
      <c r="AF204" s="1">
        <v>82920.13598190661</v>
      </c>
      <c r="AG204" s="1">
        <f>IF(AF204 + AG203 &lt; 0, AF204 + AG203, 0)</f>
        <v>0</v>
      </c>
      <c r="AH204" s="1">
        <v>142799.5084865607</v>
      </c>
      <c r="AI204" s="1">
        <f>IF(AH204 + AI203 &lt; 0, AH204 + AI203, 0)</f>
        <v>0</v>
      </c>
      <c r="AJ204" s="1">
        <v>370502.9846145275</v>
      </c>
      <c r="AK204" s="1">
        <f>IF(AJ204 + AK203 &lt; 0, AJ204 + AK203, 0)</f>
        <v>0</v>
      </c>
    </row>
    <row r="205" spans="1:37" s="1" customFormat="1">
      <c r="A205" s="3">
        <v>45593</v>
      </c>
      <c r="B205" s="2" t="s">
        <v>22</v>
      </c>
      <c r="C205" s="2">
        <v>3</v>
      </c>
      <c r="D205" s="2">
        <v>2</v>
      </c>
      <c r="E205" s="2">
        <v>1</v>
      </c>
      <c r="F205" s="2">
        <v>4</v>
      </c>
      <c r="G205" s="2">
        <v>4</v>
      </c>
      <c r="H205" s="1">
        <v>0</v>
      </c>
      <c r="I205" s="1">
        <f>IF(H205 + I204 &lt; 0, H205 + I204, 0)</f>
        <v>0</v>
      </c>
      <c r="J205" s="1">
        <v>0</v>
      </c>
      <c r="K205" s="1">
        <f>IF(J205 + K204 &lt; 0, J205 + K204, 0)</f>
        <v>0</v>
      </c>
      <c r="L205" s="1">
        <v>0</v>
      </c>
      <c r="M205" s="1">
        <f>IF(L205 + M204 &lt; 0, L205 + M204, 0)</f>
        <v>0</v>
      </c>
      <c r="N205" s="1">
        <v>0</v>
      </c>
      <c r="O205" s="1">
        <f>IF(N205 + O204 &lt; 0, N205 + O204, 0)</f>
        <v>0</v>
      </c>
      <c r="P205" s="1">
        <v>0</v>
      </c>
      <c r="Q205" s="1">
        <f>IF(P205 + Q204 &lt; 0, P205 + Q204, 0)</f>
        <v>0</v>
      </c>
      <c r="R205" s="1">
        <v>0</v>
      </c>
      <c r="S205" s="1">
        <f>IF(R205 + S204 &lt; 0, R205 + S204, 0)</f>
        <v>0</v>
      </c>
      <c r="T205" s="1">
        <v>0</v>
      </c>
      <c r="U205" s="1">
        <f>IF(T205 + U204 &lt; 0, T205 + U204, 0)</f>
        <v>0</v>
      </c>
      <c r="V205" s="1">
        <v>0</v>
      </c>
      <c r="W205" s="1">
        <f>IF(V205 + W204 &lt; 0, V205 + W204, 0)</f>
        <v>0</v>
      </c>
      <c r="X205" s="1">
        <v>0</v>
      </c>
      <c r="Y205" s="1">
        <f>IF(X205 + Y204 &lt; 0, X205 + Y204, 0)</f>
        <v>0</v>
      </c>
      <c r="Z205" s="1">
        <v>0</v>
      </c>
      <c r="AA205" s="1">
        <f>IF(Z205 + AA204 &lt; 0, Z205 + AA204, 0)</f>
        <v>0</v>
      </c>
      <c r="AB205" s="1">
        <v>0</v>
      </c>
      <c r="AC205" s="1">
        <f>IF(AB205 + AC204 &lt; 0, AB205 + AC204, 0)</f>
        <v>0</v>
      </c>
      <c r="AD205" s="1">
        <v>0</v>
      </c>
      <c r="AE205" s="1">
        <f>IF(AD205 + AE204 &lt; 0, AD205 + AE204, 0)</f>
        <v>0</v>
      </c>
      <c r="AF205" s="1">
        <v>0</v>
      </c>
      <c r="AG205" s="1">
        <f>IF(AF205 + AG204 &lt; 0, AF205 + AG204, 0)</f>
        <v>0</v>
      </c>
      <c r="AH205" s="1">
        <v>0</v>
      </c>
      <c r="AI205" s="1">
        <f>IF(AH205 + AI204 &lt; 0, AH205 + AI204, 0)</f>
        <v>0</v>
      </c>
      <c r="AJ205" s="1">
        <v>0</v>
      </c>
      <c r="AK205" s="1">
        <f>IF(AJ205 + AK204 &lt; 0, AJ205 + AK204, 0)</f>
        <v>0</v>
      </c>
    </row>
    <row r="206" spans="1:37" s="1" customFormat="1">
      <c r="A206" s="3">
        <v>45594</v>
      </c>
      <c r="B206" s="2" t="s">
        <v>23</v>
      </c>
      <c r="C206" s="2">
        <v>2</v>
      </c>
      <c r="D206" s="2">
        <v>1</v>
      </c>
      <c r="E206" s="2">
        <v>17</v>
      </c>
      <c r="F206" s="2">
        <v>3</v>
      </c>
      <c r="G206" s="2">
        <v>3</v>
      </c>
      <c r="H206" s="1">
        <v>0</v>
      </c>
      <c r="I206" s="1">
        <f>IF(H206 + I205 &lt; 0, H206 + I205, 0)</f>
        <v>0</v>
      </c>
      <c r="J206" s="1">
        <v>0</v>
      </c>
      <c r="K206" s="1">
        <f>IF(J206 + K205 &lt; 0, J206 + K205, 0)</f>
        <v>0</v>
      </c>
      <c r="L206" s="1">
        <v>0</v>
      </c>
      <c r="M206" s="1">
        <f>IF(L206 + M205 &lt; 0, L206 + M205, 0)</f>
        <v>0</v>
      </c>
      <c r="N206" s="1">
        <v>0</v>
      </c>
      <c r="O206" s="1">
        <f>IF(N206 + O205 &lt; 0, N206 + O205, 0)</f>
        <v>0</v>
      </c>
      <c r="P206" s="1">
        <v>0</v>
      </c>
      <c r="Q206" s="1">
        <f>IF(P206 + Q205 &lt; 0, P206 + Q205, 0)</f>
        <v>0</v>
      </c>
      <c r="R206" s="1">
        <v>0</v>
      </c>
      <c r="S206" s="1">
        <f>IF(R206 + S205 &lt; 0, R206 + S205, 0)</f>
        <v>0</v>
      </c>
      <c r="T206" s="1">
        <v>0</v>
      </c>
      <c r="U206" s="1">
        <f>IF(T206 + U205 &lt; 0, T206 + U205, 0)</f>
        <v>0</v>
      </c>
      <c r="V206" s="1">
        <v>0</v>
      </c>
      <c r="W206" s="1">
        <f>IF(V206 + W205 &lt; 0, V206 + W205, 0)</f>
        <v>0</v>
      </c>
      <c r="X206" s="1">
        <v>0</v>
      </c>
      <c r="Y206" s="1">
        <f>IF(X206 + Y205 &lt; 0, X206 + Y205, 0)</f>
        <v>0</v>
      </c>
      <c r="Z206" s="1">
        <v>0</v>
      </c>
      <c r="AA206" s="1">
        <f>IF(Z206 + AA205 &lt; 0, Z206 + AA205, 0)</f>
        <v>0</v>
      </c>
      <c r="AB206" s="1">
        <v>0</v>
      </c>
      <c r="AC206" s="1">
        <f>IF(AB206 + AC205 &lt; 0, AB206 + AC205, 0)</f>
        <v>0</v>
      </c>
      <c r="AD206" s="1">
        <v>0</v>
      </c>
      <c r="AE206" s="1">
        <f>IF(AD206 + AE205 &lt; 0, AD206 + AE205, 0)</f>
        <v>0</v>
      </c>
      <c r="AF206" s="1">
        <v>0</v>
      </c>
      <c r="AG206" s="1">
        <f>IF(AF206 + AG205 &lt; 0, AF206 + AG205, 0)</f>
        <v>0</v>
      </c>
      <c r="AH206" s="1">
        <v>0</v>
      </c>
      <c r="AI206" s="1">
        <f>IF(AH206 + AI205 &lt; 0, AH206 + AI205, 0)</f>
        <v>0</v>
      </c>
      <c r="AJ206" s="1">
        <v>0</v>
      </c>
      <c r="AK206" s="1">
        <f>IF(AJ206 + AK205 &lt; 0, AJ206 + AK205, 0)</f>
        <v>0</v>
      </c>
    </row>
    <row r="207" spans="1:37" s="1" customFormat="1">
      <c r="A207" s="3">
        <v>45595</v>
      </c>
      <c r="B207" s="2" t="s">
        <v>24</v>
      </c>
      <c r="C207" s="2">
        <v>1</v>
      </c>
      <c r="D207" s="2">
        <v>17</v>
      </c>
      <c r="E207" s="2">
        <v>16</v>
      </c>
      <c r="F207" s="2">
        <v>2</v>
      </c>
      <c r="G207" s="2">
        <v>2</v>
      </c>
      <c r="H207" s="1">
        <v>0</v>
      </c>
      <c r="I207" s="1">
        <f>IF(H207 + I206 &lt; 0, H207 + I206, 0)</f>
        <v>0</v>
      </c>
      <c r="J207" s="1">
        <v>0</v>
      </c>
      <c r="K207" s="1">
        <f>IF(J207 + K206 &lt; 0, J207 + K206, 0)</f>
        <v>0</v>
      </c>
      <c r="L207" s="1">
        <v>0</v>
      </c>
      <c r="M207" s="1">
        <f>IF(L207 + M206 &lt; 0, L207 + M206, 0)</f>
        <v>0</v>
      </c>
      <c r="N207" s="1">
        <v>0</v>
      </c>
      <c r="O207" s="1">
        <f>IF(N207 + O206 &lt; 0, N207 + O206, 0)</f>
        <v>0</v>
      </c>
      <c r="P207" s="1">
        <v>0</v>
      </c>
      <c r="Q207" s="1">
        <f>IF(P207 + Q206 &lt; 0, P207 + Q206, 0)</f>
        <v>0</v>
      </c>
      <c r="R207" s="1">
        <v>0</v>
      </c>
      <c r="S207" s="1">
        <f>IF(R207 + S206 &lt; 0, R207 + S206, 0)</f>
        <v>0</v>
      </c>
      <c r="T207" s="1">
        <v>0</v>
      </c>
      <c r="U207" s="1">
        <f>IF(T207 + U206 &lt; 0, T207 + U206, 0)</f>
        <v>0</v>
      </c>
      <c r="V207" s="1">
        <v>0</v>
      </c>
      <c r="W207" s="1">
        <f>IF(V207 + W206 &lt; 0, V207 + W206, 0)</f>
        <v>0</v>
      </c>
      <c r="X207" s="1">
        <v>0</v>
      </c>
      <c r="Y207" s="1">
        <f>IF(X207 + Y206 &lt; 0, X207 + Y206, 0)</f>
        <v>0</v>
      </c>
      <c r="Z207" s="1">
        <v>0</v>
      </c>
      <c r="AA207" s="1">
        <f>IF(Z207 + AA206 &lt; 0, Z207 + AA206, 0)</f>
        <v>0</v>
      </c>
      <c r="AB207" s="1">
        <v>0</v>
      </c>
      <c r="AC207" s="1">
        <f>IF(AB207 + AC206 &lt; 0, AB207 + AC206, 0)</f>
        <v>0</v>
      </c>
      <c r="AD207" s="1">
        <v>0</v>
      </c>
      <c r="AE207" s="1">
        <f>IF(AD207 + AE206 &lt; 0, AD207 + AE206, 0)</f>
        <v>0</v>
      </c>
      <c r="AF207" s="1">
        <v>0</v>
      </c>
      <c r="AG207" s="1">
        <f>IF(AF207 + AG206 &lt; 0, AF207 + AG206, 0)</f>
        <v>0</v>
      </c>
      <c r="AH207" s="1">
        <v>0</v>
      </c>
      <c r="AI207" s="1">
        <f>IF(AH207 + AI206 &lt; 0, AH207 + AI206, 0)</f>
        <v>0</v>
      </c>
      <c r="AJ207" s="1">
        <v>0</v>
      </c>
      <c r="AK207" s="1">
        <f>IF(AJ207 + AK206 &lt; 0, AJ207 + AK206, 0)</f>
        <v>0</v>
      </c>
    </row>
    <row r="208" spans="1:37" s="1" customFormat="1">
      <c r="A208" s="3">
        <v>45596</v>
      </c>
      <c r="B208" s="2" t="s">
        <v>25</v>
      </c>
      <c r="C208" s="2">
        <v>17</v>
      </c>
      <c r="D208" s="2">
        <v>16</v>
      </c>
      <c r="E208" s="2">
        <v>15</v>
      </c>
      <c r="F208" s="2">
        <v>1</v>
      </c>
      <c r="G208" s="2">
        <v>1</v>
      </c>
      <c r="H208" s="1">
        <v>0</v>
      </c>
      <c r="I208" s="1">
        <f>IF(H208 + I207 &lt; 0, H208 + I207, 0)</f>
        <v>0</v>
      </c>
      <c r="J208" s="1">
        <v>0</v>
      </c>
      <c r="K208" s="1">
        <f>IF(J208 + K207 &lt; 0, J208 + K207, 0)</f>
        <v>0</v>
      </c>
      <c r="L208" s="1">
        <v>0</v>
      </c>
      <c r="M208" s="1">
        <f>IF(L208 + M207 &lt; 0, L208 + M207, 0)</f>
        <v>0</v>
      </c>
      <c r="N208" s="1">
        <v>0</v>
      </c>
      <c r="O208" s="1">
        <f>IF(N208 + O207 &lt; 0, N208 + O207, 0)</f>
        <v>0</v>
      </c>
      <c r="P208" s="1">
        <v>0</v>
      </c>
      <c r="Q208" s="1">
        <f>IF(P208 + Q207 &lt; 0, P208 + Q207, 0)</f>
        <v>0</v>
      </c>
      <c r="R208" s="1">
        <v>0</v>
      </c>
      <c r="S208" s="1">
        <f>IF(R208 + S207 &lt; 0, R208 + S207, 0)</f>
        <v>0</v>
      </c>
      <c r="T208" s="1">
        <v>0</v>
      </c>
      <c r="U208" s="1">
        <f>IF(T208 + U207 &lt; 0, T208 + U207, 0)</f>
        <v>0</v>
      </c>
      <c r="V208" s="1">
        <v>0</v>
      </c>
      <c r="W208" s="1">
        <f>IF(V208 + W207 &lt; 0, V208 + W207, 0)</f>
        <v>0</v>
      </c>
      <c r="X208" s="1">
        <v>0</v>
      </c>
      <c r="Y208" s="1">
        <f>IF(X208 + Y207 &lt; 0, X208 + Y207, 0)</f>
        <v>0</v>
      </c>
      <c r="Z208" s="1">
        <v>-154639.0287209673</v>
      </c>
      <c r="AA208" s="1">
        <f>IF(Z208 + AA207 &lt; 0, Z208 + AA207, 0)</f>
        <v>0</v>
      </c>
      <c r="AB208" s="1">
        <v>-347456.0901802205</v>
      </c>
      <c r="AC208" s="1">
        <f>IF(AB208 + AC207 &lt; 0, AB208 + AC207, 0)</f>
        <v>0</v>
      </c>
      <c r="AD208" s="1">
        <v>117578.2476197381</v>
      </c>
      <c r="AE208" s="1">
        <f>IF(AD208 + AE207 &lt; 0, AD208 + AE207, 0)</f>
        <v>0</v>
      </c>
      <c r="AF208" s="1">
        <v>-355774.6225874034</v>
      </c>
      <c r="AG208" s="1">
        <f>IF(AF208 + AG207 &lt; 0, AF208 + AG207, 0)</f>
        <v>0</v>
      </c>
      <c r="AH208" s="1">
        <v>-355774.6225874034</v>
      </c>
      <c r="AI208" s="1">
        <f>IF(AH208 + AI207 &lt; 0, AH208 + AI207, 0)</f>
        <v>0</v>
      </c>
      <c r="AJ208" s="1">
        <v>38819.17814554476</v>
      </c>
      <c r="AK208" s="1">
        <f>IF(AJ208 + AK207 &lt; 0, AJ208 + AK207, 0)</f>
        <v>0</v>
      </c>
    </row>
    <row r="209" spans="1:37" s="1" customFormat="1">
      <c r="A209" s="3">
        <v>45600</v>
      </c>
      <c r="B209" s="2" t="s">
        <v>22</v>
      </c>
      <c r="C209" s="2">
        <v>16</v>
      </c>
      <c r="D209" s="2">
        <v>15</v>
      </c>
      <c r="E209" s="2">
        <v>14</v>
      </c>
      <c r="F209" s="2">
        <v>4</v>
      </c>
      <c r="G209" s="2">
        <v>5</v>
      </c>
      <c r="H209" s="1">
        <v>0</v>
      </c>
      <c r="I209" s="1">
        <f>IF(H209 + I208 &lt; 0, H209 + I208, 0)</f>
        <v>0</v>
      </c>
      <c r="J209" s="1">
        <v>0</v>
      </c>
      <c r="K209" s="1">
        <f>IF(J209 + K208 &lt; 0, J209 + K208, 0)</f>
        <v>0</v>
      </c>
      <c r="L209" s="1">
        <v>0</v>
      </c>
      <c r="M209" s="1">
        <f>IF(L209 + M208 &lt; 0, L209 + M208, 0)</f>
        <v>0</v>
      </c>
      <c r="N209" s="1">
        <v>0</v>
      </c>
      <c r="O209" s="1">
        <f>IF(N209 + O208 &lt; 0, N209 + O208, 0)</f>
        <v>0</v>
      </c>
      <c r="P209" s="1">
        <v>0</v>
      </c>
      <c r="Q209" s="1">
        <f>IF(P209 + Q208 &lt; 0, P209 + Q208, 0)</f>
        <v>0</v>
      </c>
      <c r="R209" s="1">
        <v>0</v>
      </c>
      <c r="S209" s="1">
        <f>IF(R209 + S208 &lt; 0, R209 + S208, 0)</f>
        <v>0</v>
      </c>
      <c r="T209" s="1">
        <v>0</v>
      </c>
      <c r="U209" s="1">
        <f>IF(T209 + U208 &lt; 0, T209 + U208, 0)</f>
        <v>0</v>
      </c>
      <c r="V209" s="1">
        <v>0</v>
      </c>
      <c r="W209" s="1">
        <f>IF(V209 + W208 &lt; 0, V209 + W208, 0)</f>
        <v>0</v>
      </c>
      <c r="X209" s="1">
        <v>0</v>
      </c>
      <c r="Y209" s="1">
        <f>IF(X209 + Y208 &lt; 0, X209 + Y208, 0)</f>
        <v>0</v>
      </c>
      <c r="Z209" s="1">
        <v>0</v>
      </c>
      <c r="AA209" s="1">
        <f>IF(Z209 + AA208 &lt; 0, Z209 + AA208, 0)</f>
        <v>0</v>
      </c>
      <c r="AB209" s="1">
        <v>0</v>
      </c>
      <c r="AC209" s="1">
        <f>IF(AB209 + AC208 &lt; 0, AB209 + AC208, 0)</f>
        <v>0</v>
      </c>
      <c r="AD209" s="1">
        <v>0</v>
      </c>
      <c r="AE209" s="1">
        <f>IF(AD209 + AE208 &lt; 0, AD209 + AE208, 0)</f>
        <v>0</v>
      </c>
      <c r="AF209" s="1">
        <v>0</v>
      </c>
      <c r="AG209" s="1">
        <f>IF(AF209 + AG208 &lt; 0, AF209 + AG208, 0)</f>
        <v>0</v>
      </c>
      <c r="AH209" s="1">
        <v>0</v>
      </c>
      <c r="AI209" s="1">
        <f>IF(AH209 + AI208 &lt; 0, AH209 + AI208, 0)</f>
        <v>0</v>
      </c>
      <c r="AJ209" s="1">
        <v>0</v>
      </c>
      <c r="AK209" s="1">
        <f>IF(AJ209 + AK208 &lt; 0, AJ209 + AK208, 0)</f>
        <v>0</v>
      </c>
    </row>
    <row r="210" spans="1:37" s="1" customFormat="1">
      <c r="A210" s="3">
        <v>45601</v>
      </c>
      <c r="B210" s="2" t="s">
        <v>23</v>
      </c>
      <c r="C210" s="2">
        <v>15</v>
      </c>
      <c r="D210" s="2">
        <v>14</v>
      </c>
      <c r="E210" s="2">
        <v>13</v>
      </c>
      <c r="F210" s="2">
        <v>3</v>
      </c>
      <c r="G210" s="2">
        <v>4</v>
      </c>
      <c r="H210" s="1">
        <v>0</v>
      </c>
      <c r="I210" s="1">
        <f>IF(H210 + I209 &lt; 0, H210 + I209, 0)</f>
        <v>0</v>
      </c>
      <c r="J210" s="1">
        <v>0</v>
      </c>
      <c r="K210" s="1">
        <f>IF(J210 + K209 &lt; 0, J210 + K209, 0)</f>
        <v>0</v>
      </c>
      <c r="L210" s="1">
        <v>0</v>
      </c>
      <c r="M210" s="1">
        <f>IF(L210 + M209 &lt; 0, L210 + M209, 0)</f>
        <v>0</v>
      </c>
      <c r="N210" s="1">
        <v>0</v>
      </c>
      <c r="O210" s="1">
        <f>IF(N210 + O209 &lt; 0, N210 + O209, 0)</f>
        <v>0</v>
      </c>
      <c r="P210" s="1">
        <v>0</v>
      </c>
      <c r="Q210" s="1">
        <f>IF(P210 + Q209 &lt; 0, P210 + Q209, 0)</f>
        <v>0</v>
      </c>
      <c r="R210" s="1">
        <v>0</v>
      </c>
      <c r="S210" s="1">
        <f>IF(R210 + S209 &lt; 0, R210 + S209, 0)</f>
        <v>0</v>
      </c>
      <c r="T210" s="1">
        <v>0</v>
      </c>
      <c r="U210" s="1">
        <f>IF(T210 + U209 &lt; 0, T210 + U209, 0)</f>
        <v>0</v>
      </c>
      <c r="V210" s="1">
        <v>0</v>
      </c>
      <c r="W210" s="1">
        <f>IF(V210 + W209 &lt; 0, V210 + W209, 0)</f>
        <v>0</v>
      </c>
      <c r="X210" s="1">
        <v>0</v>
      </c>
      <c r="Y210" s="1">
        <f>IF(X210 + Y209 &lt; 0, X210 + Y209, 0)</f>
        <v>0</v>
      </c>
      <c r="Z210" s="1">
        <v>0</v>
      </c>
      <c r="AA210" s="1">
        <f>IF(Z210 + AA209 &lt; 0, Z210 + AA209, 0)</f>
        <v>0</v>
      </c>
      <c r="AB210" s="1">
        <v>0</v>
      </c>
      <c r="AC210" s="1">
        <f>IF(AB210 + AC209 &lt; 0, AB210 + AC209, 0)</f>
        <v>0</v>
      </c>
      <c r="AD210" s="1">
        <v>0</v>
      </c>
      <c r="AE210" s="1">
        <f>IF(AD210 + AE209 &lt; 0, AD210 + AE209, 0)</f>
        <v>0</v>
      </c>
      <c r="AF210" s="1">
        <v>0</v>
      </c>
      <c r="AG210" s="1">
        <f>IF(AF210 + AG209 &lt; 0, AF210 + AG209, 0)</f>
        <v>0</v>
      </c>
      <c r="AH210" s="1">
        <v>0</v>
      </c>
      <c r="AI210" s="1">
        <f>IF(AH210 + AI209 &lt; 0, AH210 + AI209, 0)</f>
        <v>0</v>
      </c>
      <c r="AJ210" s="1">
        <v>0</v>
      </c>
      <c r="AK210" s="1">
        <f>IF(AJ210 + AK209 &lt; 0, AJ210 + AK209, 0)</f>
        <v>0</v>
      </c>
    </row>
    <row r="211" spans="1:37" s="1" customFormat="1">
      <c r="A211" s="3">
        <v>45602</v>
      </c>
      <c r="B211" s="2" t="s">
        <v>24</v>
      </c>
      <c r="C211" s="2">
        <v>14</v>
      </c>
      <c r="D211" s="2">
        <v>13</v>
      </c>
      <c r="E211" s="2">
        <v>12</v>
      </c>
      <c r="F211" s="2">
        <v>2</v>
      </c>
      <c r="G211" s="2">
        <v>3</v>
      </c>
      <c r="H211" s="1">
        <v>0</v>
      </c>
      <c r="I211" s="1">
        <f>IF(H211 + I210 &lt; 0, H211 + I210, 0)</f>
        <v>0</v>
      </c>
      <c r="J211" s="1">
        <v>0</v>
      </c>
      <c r="K211" s="1">
        <f>IF(J211 + K210 &lt; 0, J211 + K210, 0)</f>
        <v>0</v>
      </c>
      <c r="L211" s="1">
        <v>0</v>
      </c>
      <c r="M211" s="1">
        <f>IF(L211 + M210 &lt; 0, L211 + M210, 0)</f>
        <v>0</v>
      </c>
      <c r="N211" s="1">
        <v>0</v>
      </c>
      <c r="O211" s="1">
        <f>IF(N211 + O210 &lt; 0, N211 + O210, 0)</f>
        <v>0</v>
      </c>
      <c r="P211" s="1">
        <v>0</v>
      </c>
      <c r="Q211" s="1">
        <f>IF(P211 + Q210 &lt; 0, P211 + Q210, 0)</f>
        <v>0</v>
      </c>
      <c r="R211" s="1">
        <v>0</v>
      </c>
      <c r="S211" s="1">
        <f>IF(R211 + S210 &lt; 0, R211 + S210, 0)</f>
        <v>0</v>
      </c>
      <c r="T211" s="1">
        <v>0</v>
      </c>
      <c r="U211" s="1">
        <f>IF(T211 + U210 &lt; 0, T211 + U210, 0)</f>
        <v>0</v>
      </c>
      <c r="V211" s="1">
        <v>0</v>
      </c>
      <c r="W211" s="1">
        <f>IF(V211 + W210 &lt; 0, V211 + W210, 0)</f>
        <v>0</v>
      </c>
      <c r="X211" s="1">
        <v>0</v>
      </c>
      <c r="Y211" s="1">
        <f>IF(X211 + Y210 &lt; 0, X211 + Y210, 0)</f>
        <v>0</v>
      </c>
      <c r="Z211" s="1">
        <v>0</v>
      </c>
      <c r="AA211" s="1">
        <f>IF(Z211 + AA210 &lt; 0, Z211 + AA210, 0)</f>
        <v>0</v>
      </c>
      <c r="AB211" s="1">
        <v>0</v>
      </c>
      <c r="AC211" s="1">
        <f>IF(AB211 + AC210 &lt; 0, AB211 + AC210, 0)</f>
        <v>0</v>
      </c>
      <c r="AD211" s="1">
        <v>0</v>
      </c>
      <c r="AE211" s="1">
        <f>IF(AD211 + AE210 &lt; 0, AD211 + AE210, 0)</f>
        <v>0</v>
      </c>
      <c r="AF211" s="1">
        <v>0</v>
      </c>
      <c r="AG211" s="1">
        <f>IF(AF211 + AG210 &lt; 0, AF211 + AG210, 0)</f>
        <v>0</v>
      </c>
      <c r="AH211" s="1">
        <v>0</v>
      </c>
      <c r="AI211" s="1">
        <f>IF(AH211 + AI210 &lt; 0, AH211 + AI210, 0)</f>
        <v>0</v>
      </c>
      <c r="AJ211" s="1">
        <v>0</v>
      </c>
      <c r="AK211" s="1">
        <f>IF(AJ211 + AK210 &lt; 0, AJ211 + AK210, 0)</f>
        <v>0</v>
      </c>
    </row>
    <row r="212" spans="1:37" s="1" customFormat="1">
      <c r="A212" s="3">
        <v>45603</v>
      </c>
      <c r="B212" s="2" t="s">
        <v>25</v>
      </c>
      <c r="C212" s="2">
        <v>13</v>
      </c>
      <c r="D212" s="2">
        <v>12</v>
      </c>
      <c r="E212" s="2">
        <v>11</v>
      </c>
      <c r="F212" s="2">
        <v>1</v>
      </c>
      <c r="G212" s="2">
        <v>2</v>
      </c>
      <c r="H212" s="1">
        <v>0</v>
      </c>
      <c r="I212" s="1">
        <f>IF(H212 + I211 &lt; 0, H212 + I211, 0)</f>
        <v>0</v>
      </c>
      <c r="J212" s="1">
        <v>0</v>
      </c>
      <c r="K212" s="1">
        <f>IF(J212 + K211 &lt; 0, J212 + K211, 0)</f>
        <v>0</v>
      </c>
      <c r="L212" s="1">
        <v>0</v>
      </c>
      <c r="M212" s="1">
        <f>IF(L212 + M211 &lt; 0, L212 + M211, 0)</f>
        <v>0</v>
      </c>
      <c r="N212" s="1">
        <v>0</v>
      </c>
      <c r="O212" s="1">
        <f>IF(N212 + O211 &lt; 0, N212 + O211, 0)</f>
        <v>0</v>
      </c>
      <c r="P212" s="1">
        <v>0</v>
      </c>
      <c r="Q212" s="1">
        <f>IF(P212 + Q211 &lt; 0, P212 + Q211, 0)</f>
        <v>0</v>
      </c>
      <c r="R212" s="1">
        <v>0</v>
      </c>
      <c r="S212" s="1">
        <f>IF(R212 + S211 &lt; 0, R212 + S211, 0)</f>
        <v>0</v>
      </c>
      <c r="T212" s="1">
        <v>0</v>
      </c>
      <c r="U212" s="1">
        <f>IF(T212 + U211 &lt; 0, T212 + U211, 0)</f>
        <v>0</v>
      </c>
      <c r="V212" s="1">
        <v>0</v>
      </c>
      <c r="W212" s="1">
        <f>IF(V212 + W211 &lt; 0, V212 + W211, 0)</f>
        <v>0</v>
      </c>
      <c r="X212" s="1">
        <v>0</v>
      </c>
      <c r="Y212" s="1">
        <f>IF(X212 + Y211 &lt; 0, X212 + Y211, 0)</f>
        <v>0</v>
      </c>
      <c r="Z212" s="1">
        <v>31365.43661848221</v>
      </c>
      <c r="AA212" s="1">
        <f>IF(Z212 + AA211 &lt; 0, Z212 + AA211, 0)</f>
        <v>0</v>
      </c>
      <c r="AB212" s="1">
        <v>31365.43661848221</v>
      </c>
      <c r="AC212" s="1">
        <f>IF(AB212 + AC211 &lt; 0, AB212 + AC211, 0)</f>
        <v>0</v>
      </c>
      <c r="AD212" s="1">
        <v>72026.96985127826</v>
      </c>
      <c r="AE212" s="1">
        <f>IF(AD212 + AE211 &lt; 0, AD212 + AE211, 0)</f>
        <v>0</v>
      </c>
      <c r="AF212" s="1">
        <v>0</v>
      </c>
      <c r="AG212" s="1">
        <f>IF(AF212 + AG211 &lt; 0, AF212 + AG211, 0)</f>
        <v>0</v>
      </c>
      <c r="AH212" s="1">
        <v>0</v>
      </c>
      <c r="AI212" s="1">
        <f>IF(AH212 + AI211 &lt; 0, AH212 + AI211, 0)</f>
        <v>0</v>
      </c>
      <c r="AJ212" s="1">
        <v>0</v>
      </c>
      <c r="AK212" s="1">
        <f>IF(AJ212 + AK211 &lt; 0, AJ212 + AK211, 0)</f>
        <v>0</v>
      </c>
    </row>
    <row r="213" spans="1:37" s="1" customFormat="1">
      <c r="A213" s="3">
        <v>45604</v>
      </c>
      <c r="B213" s="2" t="s">
        <v>26</v>
      </c>
      <c r="C213" s="2">
        <v>12</v>
      </c>
      <c r="D213" s="2">
        <v>11</v>
      </c>
      <c r="E213" s="2">
        <v>10</v>
      </c>
      <c r="F213" s="2">
        <v>5</v>
      </c>
      <c r="G213" s="2">
        <v>1</v>
      </c>
      <c r="H213" s="1">
        <v>0</v>
      </c>
      <c r="I213" s="1">
        <f>IF(H213 + I212 &lt; 0, H213 + I212, 0)</f>
        <v>0</v>
      </c>
      <c r="J213" s="1">
        <v>0</v>
      </c>
      <c r="K213" s="1">
        <f>IF(J213 + K212 &lt; 0, J213 + K212, 0)</f>
        <v>0</v>
      </c>
      <c r="L213" s="1">
        <v>0</v>
      </c>
      <c r="M213" s="1">
        <f>IF(L213 + M212 &lt; 0, L213 + M212, 0)</f>
        <v>0</v>
      </c>
      <c r="N213" s="1">
        <v>0</v>
      </c>
      <c r="O213" s="1">
        <f>IF(N213 + O212 &lt; 0, N213 + O212, 0)</f>
        <v>0</v>
      </c>
      <c r="P213" s="1">
        <v>0</v>
      </c>
      <c r="Q213" s="1">
        <f>IF(P213 + Q212 &lt; 0, P213 + Q212, 0)</f>
        <v>0</v>
      </c>
      <c r="R213" s="1">
        <v>0</v>
      </c>
      <c r="S213" s="1">
        <f>IF(R213 + S212 &lt; 0, R213 + S212, 0)</f>
        <v>0</v>
      </c>
      <c r="T213" s="1">
        <v>0</v>
      </c>
      <c r="U213" s="1">
        <f>IF(T213 + U212 &lt; 0, T213 + U212, 0)</f>
        <v>0</v>
      </c>
      <c r="V213" s="1">
        <v>0</v>
      </c>
      <c r="W213" s="1">
        <f>IF(V213 + W212 &lt; 0, V213 + W212, 0)</f>
        <v>0</v>
      </c>
      <c r="X213" s="1">
        <v>0</v>
      </c>
      <c r="Y213" s="1">
        <f>IF(X213 + Y212 &lt; 0, X213 + Y212, 0)</f>
        <v>0</v>
      </c>
      <c r="Z213" s="1">
        <v>0</v>
      </c>
      <c r="AA213" s="1">
        <f>IF(Z213 + AA212 &lt; 0, Z213 + AA212, 0)</f>
        <v>0</v>
      </c>
      <c r="AB213" s="1">
        <v>0</v>
      </c>
      <c r="AC213" s="1">
        <f>IF(AB213 + AC212 &lt; 0, AB213 + AC212, 0)</f>
        <v>0</v>
      </c>
      <c r="AD213" s="1">
        <v>0</v>
      </c>
      <c r="AE213" s="1">
        <f>IF(AD213 + AE212 &lt; 0, AD213 + AE212, 0)</f>
        <v>0</v>
      </c>
      <c r="AF213" s="1">
        <v>545958.6061549491</v>
      </c>
      <c r="AG213" s="1">
        <f>IF(AF213 + AG212 &lt; 0, AF213 + AG212, 0)</f>
        <v>0</v>
      </c>
      <c r="AH213" s="1">
        <v>314886.7171431229</v>
      </c>
      <c r="AI213" s="1">
        <f>IF(AH213 + AI212 &lt; 0, AH213 + AI212, 0)</f>
        <v>0</v>
      </c>
      <c r="AJ213" s="1">
        <v>368104.8473286236</v>
      </c>
      <c r="AK213" s="1">
        <f>IF(AJ213 + AK212 &lt; 0, AJ213 + AK212, 0)</f>
        <v>0</v>
      </c>
    </row>
    <row r="214" spans="1:37" s="1" customFormat="1">
      <c r="A214" s="3">
        <v>45607</v>
      </c>
      <c r="B214" s="2" t="s">
        <v>22</v>
      </c>
      <c r="C214" s="2">
        <v>11</v>
      </c>
      <c r="D214" s="2">
        <v>10</v>
      </c>
      <c r="E214" s="2">
        <v>9</v>
      </c>
      <c r="F214" s="2">
        <v>4</v>
      </c>
      <c r="G214" s="2">
        <v>4</v>
      </c>
      <c r="H214" s="1">
        <v>0</v>
      </c>
      <c r="I214" s="1">
        <f>IF(H214 + I213 &lt; 0, H214 + I213, 0)</f>
        <v>0</v>
      </c>
      <c r="J214" s="1">
        <v>0</v>
      </c>
      <c r="K214" s="1">
        <f>IF(J214 + K213 &lt; 0, J214 + K213, 0)</f>
        <v>0</v>
      </c>
      <c r="L214" s="1">
        <v>0</v>
      </c>
      <c r="M214" s="1">
        <f>IF(L214 + M213 &lt; 0, L214 + M213, 0)</f>
        <v>0</v>
      </c>
      <c r="N214" s="1">
        <v>0</v>
      </c>
      <c r="O214" s="1">
        <f>IF(N214 + O213 &lt; 0, N214 + O213, 0)</f>
        <v>0</v>
      </c>
      <c r="P214" s="1">
        <v>0</v>
      </c>
      <c r="Q214" s="1">
        <f>IF(P214 + Q213 &lt; 0, P214 + Q213, 0)</f>
        <v>0</v>
      </c>
      <c r="R214" s="1">
        <v>0</v>
      </c>
      <c r="S214" s="1">
        <f>IF(R214 + S213 &lt; 0, R214 + S213, 0)</f>
        <v>0</v>
      </c>
      <c r="T214" s="1">
        <v>0</v>
      </c>
      <c r="U214" s="1">
        <f>IF(T214 + U213 &lt; 0, T214 + U213, 0)</f>
        <v>0</v>
      </c>
      <c r="V214" s="1">
        <v>0</v>
      </c>
      <c r="W214" s="1">
        <f>IF(V214 + W213 &lt; 0, V214 + W213, 0)</f>
        <v>0</v>
      </c>
      <c r="X214" s="1">
        <v>0</v>
      </c>
      <c r="Y214" s="1">
        <f>IF(X214 + Y213 &lt; 0, X214 + Y213, 0)</f>
        <v>0</v>
      </c>
      <c r="Z214" s="1">
        <v>0</v>
      </c>
      <c r="AA214" s="1">
        <f>IF(Z214 + AA213 &lt; 0, Z214 + AA213, 0)</f>
        <v>0</v>
      </c>
      <c r="AB214" s="1">
        <v>0</v>
      </c>
      <c r="AC214" s="1">
        <f>IF(AB214 + AC213 &lt; 0, AB214 + AC213, 0)</f>
        <v>0</v>
      </c>
      <c r="AD214" s="1">
        <v>0</v>
      </c>
      <c r="AE214" s="1">
        <f>IF(AD214 + AE213 &lt; 0, AD214 + AE213, 0)</f>
        <v>0</v>
      </c>
      <c r="AF214" s="1">
        <v>0</v>
      </c>
      <c r="AG214" s="1">
        <f>IF(AF214 + AG213 &lt; 0, AF214 + AG213, 0)</f>
        <v>0</v>
      </c>
      <c r="AH214" s="1">
        <v>0</v>
      </c>
      <c r="AI214" s="1">
        <f>IF(AH214 + AI213 &lt; 0, AH214 + AI213, 0)</f>
        <v>0</v>
      </c>
      <c r="AJ214" s="1">
        <v>0</v>
      </c>
      <c r="AK214" s="1">
        <f>IF(AJ214 + AK213 &lt; 0, AJ214 + AK213, 0)</f>
        <v>0</v>
      </c>
    </row>
    <row r="215" spans="1:37" s="1" customFormat="1">
      <c r="A215" s="3">
        <v>45608</v>
      </c>
      <c r="B215" s="2" t="s">
        <v>23</v>
      </c>
      <c r="C215" s="2">
        <v>10</v>
      </c>
      <c r="D215" s="2">
        <v>9</v>
      </c>
      <c r="E215" s="2">
        <v>8</v>
      </c>
      <c r="F215" s="2">
        <v>3</v>
      </c>
      <c r="G215" s="2">
        <v>3</v>
      </c>
      <c r="H215" s="1">
        <v>0</v>
      </c>
      <c r="I215" s="1">
        <f>IF(H215 + I214 &lt; 0, H215 + I214, 0)</f>
        <v>0</v>
      </c>
      <c r="J215" s="1">
        <v>0</v>
      </c>
      <c r="K215" s="1">
        <f>IF(J215 + K214 &lt; 0, J215 + K214, 0)</f>
        <v>0</v>
      </c>
      <c r="L215" s="1">
        <v>0</v>
      </c>
      <c r="M215" s="1">
        <f>IF(L215 + M214 &lt; 0, L215 + M214, 0)</f>
        <v>0</v>
      </c>
      <c r="N215" s="1">
        <v>0</v>
      </c>
      <c r="O215" s="1">
        <f>IF(N215 + O214 &lt; 0, N215 + O214, 0)</f>
        <v>0</v>
      </c>
      <c r="P215" s="1">
        <v>0</v>
      </c>
      <c r="Q215" s="1">
        <f>IF(P215 + Q214 &lt; 0, P215 + Q214, 0)</f>
        <v>0</v>
      </c>
      <c r="R215" s="1">
        <v>0</v>
      </c>
      <c r="S215" s="1">
        <f>IF(R215 + S214 &lt; 0, R215 + S214, 0)</f>
        <v>0</v>
      </c>
      <c r="T215" s="1">
        <v>0</v>
      </c>
      <c r="U215" s="1">
        <f>IF(T215 + U214 &lt; 0, T215 + U214, 0)</f>
        <v>0</v>
      </c>
      <c r="V215" s="1">
        <v>0</v>
      </c>
      <c r="W215" s="1">
        <f>IF(V215 + W214 &lt; 0, V215 + W214, 0)</f>
        <v>0</v>
      </c>
      <c r="X215" s="1">
        <v>0</v>
      </c>
      <c r="Y215" s="1">
        <f>IF(X215 + Y214 &lt; 0, X215 + Y214, 0)</f>
        <v>0</v>
      </c>
      <c r="Z215" s="1">
        <v>0</v>
      </c>
      <c r="AA215" s="1">
        <f>IF(Z215 + AA214 &lt; 0, Z215 + AA214, 0)</f>
        <v>0</v>
      </c>
      <c r="AB215" s="1">
        <v>0</v>
      </c>
      <c r="AC215" s="1">
        <f>IF(AB215 + AC214 &lt; 0, AB215 + AC214, 0)</f>
        <v>0</v>
      </c>
      <c r="AD215" s="1">
        <v>0</v>
      </c>
      <c r="AE215" s="1">
        <f>IF(AD215 + AE214 &lt; 0, AD215 + AE214, 0)</f>
        <v>0</v>
      </c>
      <c r="AF215" s="1">
        <v>0</v>
      </c>
      <c r="AG215" s="1">
        <f>IF(AF215 + AG214 &lt; 0, AF215 + AG214, 0)</f>
        <v>0</v>
      </c>
      <c r="AH215" s="1">
        <v>0</v>
      </c>
      <c r="AI215" s="1">
        <f>IF(AH215 + AI214 &lt; 0, AH215 + AI214, 0)</f>
        <v>0</v>
      </c>
      <c r="AJ215" s="1">
        <v>0</v>
      </c>
      <c r="AK215" s="1">
        <f>IF(AJ215 + AK214 &lt; 0, AJ215 + AK214, 0)</f>
        <v>0</v>
      </c>
    </row>
    <row r="216" spans="1:37" s="1" customFormat="1">
      <c r="A216" s="3">
        <v>45609</v>
      </c>
      <c r="B216" s="2" t="s">
        <v>24</v>
      </c>
      <c r="C216" s="2">
        <v>9</v>
      </c>
      <c r="D216" s="2">
        <v>8</v>
      </c>
      <c r="E216" s="2">
        <v>7</v>
      </c>
      <c r="F216" s="2">
        <v>2</v>
      </c>
      <c r="G216" s="2">
        <v>2</v>
      </c>
      <c r="H216" s="1">
        <v>0</v>
      </c>
      <c r="I216" s="1">
        <f>IF(H216 + I215 &lt; 0, H216 + I215, 0)</f>
        <v>0</v>
      </c>
      <c r="J216" s="1">
        <v>0</v>
      </c>
      <c r="K216" s="1">
        <f>IF(J216 + K215 &lt; 0, J216 + K215, 0)</f>
        <v>0</v>
      </c>
      <c r="L216" s="1">
        <v>0</v>
      </c>
      <c r="M216" s="1">
        <f>IF(L216 + M215 &lt; 0, L216 + M215, 0)</f>
        <v>0</v>
      </c>
      <c r="N216" s="1">
        <v>0</v>
      </c>
      <c r="O216" s="1">
        <f>IF(N216 + O215 &lt; 0, N216 + O215, 0)</f>
        <v>0</v>
      </c>
      <c r="P216" s="1">
        <v>0</v>
      </c>
      <c r="Q216" s="1">
        <f>IF(P216 + Q215 &lt; 0, P216 + Q215, 0)</f>
        <v>0</v>
      </c>
      <c r="R216" s="1">
        <v>0</v>
      </c>
      <c r="S216" s="1">
        <f>IF(R216 + S215 &lt; 0, R216 + S215, 0)</f>
        <v>0</v>
      </c>
      <c r="T216" s="1">
        <v>0</v>
      </c>
      <c r="U216" s="1">
        <f>IF(T216 + U215 &lt; 0, T216 + U215, 0)</f>
        <v>0</v>
      </c>
      <c r="V216" s="1">
        <v>0</v>
      </c>
      <c r="W216" s="1">
        <f>IF(V216 + W215 &lt; 0, V216 + W215, 0)</f>
        <v>0</v>
      </c>
      <c r="X216" s="1">
        <v>0</v>
      </c>
      <c r="Y216" s="1">
        <f>IF(X216 + Y215 &lt; 0, X216 + Y215, 0)</f>
        <v>0</v>
      </c>
      <c r="Z216" s="1">
        <v>0</v>
      </c>
      <c r="AA216" s="1">
        <f>IF(Z216 + AA215 &lt; 0, Z216 + AA215, 0)</f>
        <v>0</v>
      </c>
      <c r="AB216" s="1">
        <v>0</v>
      </c>
      <c r="AC216" s="1">
        <f>IF(AB216 + AC215 &lt; 0, AB216 + AC215, 0)</f>
        <v>0</v>
      </c>
      <c r="AD216" s="1">
        <v>0</v>
      </c>
      <c r="AE216" s="1">
        <f>IF(AD216 + AE215 &lt; 0, AD216 + AE215, 0)</f>
        <v>0</v>
      </c>
      <c r="AF216" s="1">
        <v>0</v>
      </c>
      <c r="AG216" s="1">
        <f>IF(AF216 + AG215 &lt; 0, AF216 + AG215, 0)</f>
        <v>0</v>
      </c>
      <c r="AH216" s="1">
        <v>0</v>
      </c>
      <c r="AI216" s="1">
        <f>IF(AH216 + AI215 &lt; 0, AH216 + AI215, 0)</f>
        <v>0</v>
      </c>
      <c r="AJ216" s="1">
        <v>0</v>
      </c>
      <c r="AK216" s="1">
        <f>IF(AJ216 + AK215 &lt; 0, AJ216 + AK215, 0)</f>
        <v>0</v>
      </c>
    </row>
    <row r="217" spans="1:37" s="1" customFormat="1">
      <c r="A217" s="3">
        <v>45610</v>
      </c>
      <c r="B217" s="2" t="s">
        <v>25</v>
      </c>
      <c r="C217" s="2">
        <v>8</v>
      </c>
      <c r="D217" s="2">
        <v>7</v>
      </c>
      <c r="E217" s="2">
        <v>6</v>
      </c>
      <c r="F217" s="2">
        <v>1</v>
      </c>
      <c r="G217" s="2">
        <v>1</v>
      </c>
      <c r="H217" s="1">
        <v>0</v>
      </c>
      <c r="I217" s="1">
        <f>IF(H217 + I216 &lt; 0, H217 + I216, 0)</f>
        <v>0</v>
      </c>
      <c r="J217" s="1">
        <v>0</v>
      </c>
      <c r="K217" s="1">
        <f>IF(J217 + K216 &lt; 0, J217 + K216, 0)</f>
        <v>0</v>
      </c>
      <c r="L217" s="1">
        <v>0</v>
      </c>
      <c r="M217" s="1">
        <f>IF(L217 + M216 &lt; 0, L217 + M216, 0)</f>
        <v>0</v>
      </c>
      <c r="N217" s="1">
        <v>0</v>
      </c>
      <c r="O217" s="1">
        <f>IF(N217 + O216 &lt; 0, N217 + O216, 0)</f>
        <v>0</v>
      </c>
      <c r="P217" s="1">
        <v>0</v>
      </c>
      <c r="Q217" s="1">
        <f>IF(P217 + Q216 &lt; 0, P217 + Q216, 0)</f>
        <v>0</v>
      </c>
      <c r="R217" s="1">
        <v>0</v>
      </c>
      <c r="S217" s="1">
        <f>IF(R217 + S216 &lt; 0, R217 + S216, 0)</f>
        <v>0</v>
      </c>
      <c r="T217" s="1">
        <v>0</v>
      </c>
      <c r="U217" s="1">
        <f>IF(T217 + U216 &lt; 0, T217 + U216, 0)</f>
        <v>0</v>
      </c>
      <c r="V217" s="1">
        <v>0</v>
      </c>
      <c r="W217" s="1">
        <f>IF(V217 + W216 &lt; 0, V217 + W216, 0)</f>
        <v>0</v>
      </c>
      <c r="X217" s="1">
        <v>0</v>
      </c>
      <c r="Y217" s="1">
        <f>IF(X217 + Y216 &lt; 0, X217 + Y216, 0)</f>
        <v>0</v>
      </c>
      <c r="Z217" s="1">
        <v>104687.066852029</v>
      </c>
      <c r="AA217" s="1">
        <f>IF(Z217 + AA216 &lt; 0, Z217 + AA216, 0)</f>
        <v>0</v>
      </c>
      <c r="AB217" s="1">
        <v>-266764.6324896272</v>
      </c>
      <c r="AC217" s="1">
        <f>IF(AB217 + AC216 &lt; 0, AB217 + AC216, 0)</f>
        <v>0</v>
      </c>
      <c r="AD217" s="1">
        <v>-216269.8980170186</v>
      </c>
      <c r="AE217" s="1">
        <f>IF(AD217 + AE216 &lt; 0, AD217 + AE216, 0)</f>
        <v>0</v>
      </c>
      <c r="AF217" s="1">
        <v>-232263.288487098</v>
      </c>
      <c r="AG217" s="1">
        <f>IF(AF217 + AG216 &lt; 0, AF217 + AG216, 0)</f>
        <v>0</v>
      </c>
      <c r="AH217" s="1">
        <v>-232263.288487098</v>
      </c>
      <c r="AI217" s="1">
        <f>IF(AH217 + AI216 &lt; 0, AH217 + AI216, 0)</f>
        <v>0</v>
      </c>
      <c r="AJ217" s="1">
        <v>-169034.0868218037</v>
      </c>
      <c r="AK217" s="1">
        <f>IF(AJ217 + AK216 &lt; 0, AJ217 + AK216, 0)</f>
        <v>0</v>
      </c>
    </row>
    <row r="218" spans="1:37" s="1" customFormat="1">
      <c r="A218" s="3">
        <v>45614</v>
      </c>
      <c r="B218" s="2" t="s">
        <v>22</v>
      </c>
      <c r="C218" s="2">
        <v>7</v>
      </c>
      <c r="D218" s="2">
        <v>6</v>
      </c>
      <c r="E218" s="2">
        <v>5</v>
      </c>
      <c r="F218" s="2">
        <v>3</v>
      </c>
      <c r="G218" s="2">
        <v>4</v>
      </c>
      <c r="H218" s="1">
        <v>0</v>
      </c>
      <c r="I218" s="1">
        <f>IF(H218 + I217 &lt; 0, H218 + I217, 0)</f>
        <v>0</v>
      </c>
      <c r="J218" s="1">
        <v>0</v>
      </c>
      <c r="K218" s="1">
        <f>IF(J218 + K217 &lt; 0, J218 + K217, 0)</f>
        <v>0</v>
      </c>
      <c r="L218" s="1">
        <v>0</v>
      </c>
      <c r="M218" s="1">
        <f>IF(L218 + M217 &lt; 0, L218 + M217, 0)</f>
        <v>0</v>
      </c>
      <c r="N218" s="1">
        <v>0</v>
      </c>
      <c r="O218" s="1">
        <f>IF(N218 + O217 &lt; 0, N218 + O217, 0)</f>
        <v>0</v>
      </c>
      <c r="P218" s="1">
        <v>0</v>
      </c>
      <c r="Q218" s="1">
        <f>IF(P218 + Q217 &lt; 0, P218 + Q217, 0)</f>
        <v>0</v>
      </c>
      <c r="R218" s="1">
        <v>0</v>
      </c>
      <c r="S218" s="1">
        <f>IF(R218 + S217 &lt; 0, R218 + S217, 0)</f>
        <v>0</v>
      </c>
      <c r="T218" s="1">
        <v>0</v>
      </c>
      <c r="U218" s="1">
        <f>IF(T218 + U217 &lt; 0, T218 + U217, 0)</f>
        <v>0</v>
      </c>
      <c r="V218" s="1">
        <v>0</v>
      </c>
      <c r="W218" s="1">
        <f>IF(V218 + W217 &lt; 0, V218 + W217, 0)</f>
        <v>0</v>
      </c>
      <c r="X218" s="1">
        <v>0</v>
      </c>
      <c r="Y218" s="1">
        <f>IF(X218 + Y217 &lt; 0, X218 + Y217, 0)</f>
        <v>0</v>
      </c>
      <c r="Z218" s="1">
        <v>0</v>
      </c>
      <c r="AA218" s="1">
        <f>IF(Z218 + AA217 &lt; 0, Z218 + AA217, 0)</f>
        <v>0</v>
      </c>
      <c r="AB218" s="1">
        <v>0</v>
      </c>
      <c r="AC218" s="1">
        <f>IF(AB218 + AC217 &lt; 0, AB218 + AC217, 0)</f>
        <v>0</v>
      </c>
      <c r="AD218" s="1">
        <v>0</v>
      </c>
      <c r="AE218" s="1">
        <f>IF(AD218 + AE217 &lt; 0, AD218 + AE217, 0)</f>
        <v>0</v>
      </c>
      <c r="AF218" s="1">
        <v>0</v>
      </c>
      <c r="AG218" s="1">
        <f>IF(AF218 + AG217 &lt; 0, AF218 + AG217, 0)</f>
        <v>0</v>
      </c>
      <c r="AH218" s="1">
        <v>0</v>
      </c>
      <c r="AI218" s="1">
        <f>IF(AH218 + AI217 &lt; 0, AH218 + AI217, 0)</f>
        <v>0</v>
      </c>
      <c r="AJ218" s="1">
        <v>0</v>
      </c>
      <c r="AK218" s="1">
        <f>IF(AJ218 + AK217 &lt; 0, AJ218 + AK217, 0)</f>
        <v>0</v>
      </c>
    </row>
    <row r="219" spans="1:37" s="1" customFormat="1">
      <c r="A219" s="3">
        <v>45615</v>
      </c>
      <c r="B219" s="2" t="s">
        <v>23</v>
      </c>
      <c r="C219" s="2">
        <v>6</v>
      </c>
      <c r="D219" s="2">
        <v>5</v>
      </c>
      <c r="E219" s="2">
        <v>4</v>
      </c>
      <c r="F219" s="2">
        <v>2</v>
      </c>
      <c r="G219" s="2">
        <v>3</v>
      </c>
      <c r="H219" s="1">
        <v>0</v>
      </c>
      <c r="I219" s="1">
        <f>IF(H219 + I218 &lt; 0, H219 + I218, 0)</f>
        <v>0</v>
      </c>
      <c r="J219" s="1">
        <v>0</v>
      </c>
      <c r="K219" s="1">
        <f>IF(J219 + K218 &lt; 0, J219 + K218, 0)</f>
        <v>0</v>
      </c>
      <c r="L219" s="1">
        <v>0</v>
      </c>
      <c r="M219" s="1">
        <f>IF(L219 + M218 &lt; 0, L219 + M218, 0)</f>
        <v>0</v>
      </c>
      <c r="N219" s="1">
        <v>0</v>
      </c>
      <c r="O219" s="1">
        <f>IF(N219 + O218 &lt; 0, N219 + O218, 0)</f>
        <v>0</v>
      </c>
      <c r="P219" s="1">
        <v>0</v>
      </c>
      <c r="Q219" s="1">
        <f>IF(P219 + Q218 &lt; 0, P219 + Q218, 0)</f>
        <v>0</v>
      </c>
      <c r="R219" s="1">
        <v>0</v>
      </c>
      <c r="S219" s="1">
        <f>IF(R219 + S218 &lt; 0, R219 + S218, 0)</f>
        <v>0</v>
      </c>
      <c r="T219" s="1">
        <v>0</v>
      </c>
      <c r="U219" s="1">
        <f>IF(T219 + U218 &lt; 0, T219 + U218, 0)</f>
        <v>0</v>
      </c>
      <c r="V219" s="1">
        <v>0</v>
      </c>
      <c r="W219" s="1">
        <f>IF(V219 + W218 &lt; 0, V219 + W218, 0)</f>
        <v>0</v>
      </c>
      <c r="X219" s="1">
        <v>0</v>
      </c>
      <c r="Y219" s="1">
        <f>IF(X219 + Y218 &lt; 0, X219 + Y218, 0)</f>
        <v>0</v>
      </c>
      <c r="Z219" s="1">
        <v>0</v>
      </c>
      <c r="AA219" s="1">
        <f>IF(Z219 + AA218 &lt; 0, Z219 + AA218, 0)</f>
        <v>0</v>
      </c>
      <c r="AB219" s="1">
        <v>0</v>
      </c>
      <c r="AC219" s="1">
        <f>IF(AB219 + AC218 &lt; 0, AB219 + AC218, 0)</f>
        <v>0</v>
      </c>
      <c r="AD219" s="1">
        <v>0</v>
      </c>
      <c r="AE219" s="1">
        <f>IF(AD219 + AE218 &lt; 0, AD219 + AE218, 0)</f>
        <v>0</v>
      </c>
      <c r="AF219" s="1">
        <v>0</v>
      </c>
      <c r="AG219" s="1">
        <f>IF(AF219 + AG218 &lt; 0, AF219 + AG218, 0)</f>
        <v>0</v>
      </c>
      <c r="AH219" s="1">
        <v>0</v>
      </c>
      <c r="AI219" s="1">
        <f>IF(AH219 + AI218 &lt; 0, AH219 + AI218, 0)</f>
        <v>0</v>
      </c>
      <c r="AJ219" s="1">
        <v>0</v>
      </c>
      <c r="AK219" s="1">
        <f>IF(AJ219 + AK218 &lt; 0, AJ219 + AK218, 0)</f>
        <v>0</v>
      </c>
    </row>
    <row r="220" spans="1:37" s="1" customFormat="1">
      <c r="A220" s="3">
        <v>45617</v>
      </c>
      <c r="B220" s="2" t="s">
        <v>25</v>
      </c>
      <c r="C220" s="2">
        <v>5</v>
      </c>
      <c r="D220" s="2">
        <v>4</v>
      </c>
      <c r="E220" s="2">
        <v>3</v>
      </c>
      <c r="F220" s="2">
        <v>1</v>
      </c>
      <c r="G220" s="2">
        <v>2</v>
      </c>
      <c r="H220" s="1">
        <v>0</v>
      </c>
      <c r="I220" s="1">
        <f>IF(H220 + I219 &lt; 0, H220 + I219, 0)</f>
        <v>0</v>
      </c>
      <c r="J220" s="1">
        <v>0</v>
      </c>
      <c r="K220" s="1">
        <f>IF(J220 + K219 &lt; 0, J220 + K219, 0)</f>
        <v>0</v>
      </c>
      <c r="L220" s="1">
        <v>0</v>
      </c>
      <c r="M220" s="1">
        <f>IF(L220 + M219 &lt; 0, L220 + M219, 0)</f>
        <v>0</v>
      </c>
      <c r="N220" s="1">
        <v>0</v>
      </c>
      <c r="O220" s="1">
        <f>IF(N220 + O219 &lt; 0, N220 + O219, 0)</f>
        <v>0</v>
      </c>
      <c r="P220" s="1">
        <v>0</v>
      </c>
      <c r="Q220" s="1">
        <f>IF(P220 + Q219 &lt; 0, P220 + Q219, 0)</f>
        <v>0</v>
      </c>
      <c r="R220" s="1">
        <v>0</v>
      </c>
      <c r="S220" s="1">
        <f>IF(R220 + S219 &lt; 0, R220 + S219, 0)</f>
        <v>0</v>
      </c>
      <c r="T220" s="1">
        <v>0</v>
      </c>
      <c r="U220" s="1">
        <f>IF(T220 + U219 &lt; 0, T220 + U219, 0)</f>
        <v>0</v>
      </c>
      <c r="V220" s="1">
        <v>0</v>
      </c>
      <c r="W220" s="1">
        <f>IF(V220 + W219 &lt; 0, V220 + W219, 0)</f>
        <v>0</v>
      </c>
      <c r="X220" s="1">
        <v>0</v>
      </c>
      <c r="Y220" s="1">
        <f>IF(X220 + Y219 &lt; 0, X220 + Y219, 0)</f>
        <v>0</v>
      </c>
      <c r="Z220" s="1">
        <v>-352522.6391390686</v>
      </c>
      <c r="AA220" s="1">
        <f>IF(Z220 + AA219 &lt; 0, Z220 + AA219, 0)</f>
        <v>0</v>
      </c>
      <c r="AB220" s="1">
        <v>-352522.6391390686</v>
      </c>
      <c r="AC220" s="1">
        <f>IF(AB220 + AC219 &lt; 0, AB220 + AC219, 0)</f>
        <v>0</v>
      </c>
      <c r="AD220" s="1">
        <v>-352522.6391390686</v>
      </c>
      <c r="AE220" s="1">
        <f>IF(AD220 + AE219 &lt; 0, AD220 + AE219, 0)</f>
        <v>0</v>
      </c>
      <c r="AF220" s="1">
        <v>0</v>
      </c>
      <c r="AG220" s="1">
        <f>IF(AF220 + AG219 &lt; 0, AF220 + AG219, 0)</f>
        <v>0</v>
      </c>
      <c r="AH220" s="1">
        <v>0</v>
      </c>
      <c r="AI220" s="1">
        <f>IF(AH220 + AI219 &lt; 0, AH220 + AI219, 0)</f>
        <v>0</v>
      </c>
      <c r="AJ220" s="1">
        <v>0</v>
      </c>
      <c r="AK220" s="1">
        <f>IF(AJ220 + AK219 &lt; 0, AJ220 + AK219, 0)</f>
        <v>0</v>
      </c>
    </row>
    <row r="221" spans="1:37" s="1" customFormat="1">
      <c r="A221" s="3">
        <v>45618</v>
      </c>
      <c r="B221" s="2" t="s">
        <v>26</v>
      </c>
      <c r="C221" s="2">
        <v>4</v>
      </c>
      <c r="D221" s="2">
        <v>3</v>
      </c>
      <c r="E221" s="2">
        <v>2</v>
      </c>
      <c r="F221" s="2">
        <v>5</v>
      </c>
      <c r="G221" s="2">
        <v>1</v>
      </c>
      <c r="H221" s="1">
        <v>0</v>
      </c>
      <c r="I221" s="1">
        <f>IF(H221 + I220 &lt; 0, H221 + I220, 0)</f>
        <v>0</v>
      </c>
      <c r="J221" s="1">
        <v>0</v>
      </c>
      <c r="K221" s="1">
        <f>IF(J221 + K220 &lt; 0, J221 + K220, 0)</f>
        <v>0</v>
      </c>
      <c r="L221" s="1">
        <v>0</v>
      </c>
      <c r="M221" s="1">
        <f>IF(L221 + M220 &lt; 0, L221 + M220, 0)</f>
        <v>0</v>
      </c>
      <c r="N221" s="1">
        <v>0</v>
      </c>
      <c r="O221" s="1">
        <f>IF(N221 + O220 &lt; 0, N221 + O220, 0)</f>
        <v>0</v>
      </c>
      <c r="P221" s="1">
        <v>0</v>
      </c>
      <c r="Q221" s="1">
        <f>IF(P221 + Q220 &lt; 0, P221 + Q220, 0)</f>
        <v>0</v>
      </c>
      <c r="R221" s="1">
        <v>0</v>
      </c>
      <c r="S221" s="1">
        <f>IF(R221 + S220 &lt; 0, R221 + S220, 0)</f>
        <v>0</v>
      </c>
      <c r="T221" s="1">
        <v>0</v>
      </c>
      <c r="U221" s="1">
        <f>IF(T221 + U220 &lt; 0, T221 + U220, 0)</f>
        <v>0</v>
      </c>
      <c r="V221" s="1">
        <v>0</v>
      </c>
      <c r="W221" s="1">
        <f>IF(V221 + W220 &lt; 0, V221 + W220, 0)</f>
        <v>0</v>
      </c>
      <c r="X221" s="1">
        <v>0</v>
      </c>
      <c r="Y221" s="1">
        <f>IF(X221 + Y220 &lt; 0, X221 + Y220, 0)</f>
        <v>0</v>
      </c>
      <c r="Z221" s="1">
        <v>0</v>
      </c>
      <c r="AA221" s="1">
        <f>IF(Z221 + AA220 &lt; 0, Z221 + AA220, 0)</f>
        <v>0</v>
      </c>
      <c r="AB221" s="1">
        <v>0</v>
      </c>
      <c r="AC221" s="1">
        <f>IF(AB221 + AC220 &lt; 0, AB221 + AC220, 0)</f>
        <v>0</v>
      </c>
      <c r="AD221" s="1">
        <v>0</v>
      </c>
      <c r="AE221" s="1">
        <f>IF(AD221 + AE220 &lt; 0, AD221 + AE220, 0)</f>
        <v>0</v>
      </c>
      <c r="AF221" s="1">
        <v>-861712.6132517349</v>
      </c>
      <c r="AG221" s="1">
        <f>IF(AF221 + AG220 &lt; 0, AF221 + AG220, 0)</f>
        <v>0</v>
      </c>
      <c r="AH221" s="1">
        <v>-861712.6132517349</v>
      </c>
      <c r="AI221" s="1">
        <f>IF(AH221 + AI220 &lt; 0, AH221 + AI220, 0)</f>
        <v>0</v>
      </c>
      <c r="AJ221" s="1">
        <v>-1017073.95604987</v>
      </c>
      <c r="AK221" s="1">
        <f>IF(AJ221 + AK220 &lt; 0, AJ221 + AK220, 0)</f>
        <v>0</v>
      </c>
    </row>
    <row r="222" spans="1:37" s="1" customFormat="1">
      <c r="A222" s="3">
        <v>45621</v>
      </c>
      <c r="B222" s="2" t="s">
        <v>22</v>
      </c>
      <c r="C222" s="2">
        <v>3</v>
      </c>
      <c r="D222" s="2">
        <v>2</v>
      </c>
      <c r="E222" s="2">
        <v>1</v>
      </c>
      <c r="F222" s="2">
        <v>4</v>
      </c>
      <c r="G222" s="2">
        <v>5</v>
      </c>
      <c r="H222" s="1">
        <v>0</v>
      </c>
      <c r="I222" s="1">
        <f>IF(H222 + I221 &lt; 0, H222 + I221, 0)</f>
        <v>0</v>
      </c>
      <c r="J222" s="1">
        <v>0</v>
      </c>
      <c r="K222" s="1">
        <f>IF(J222 + K221 &lt; 0, J222 + K221, 0)</f>
        <v>0</v>
      </c>
      <c r="L222" s="1">
        <v>0</v>
      </c>
      <c r="M222" s="1">
        <f>IF(L222 + M221 &lt; 0, L222 + M221, 0)</f>
        <v>0</v>
      </c>
      <c r="N222" s="1">
        <v>0</v>
      </c>
      <c r="O222" s="1">
        <f>IF(N222 + O221 &lt; 0, N222 + O221, 0)</f>
        <v>0</v>
      </c>
      <c r="P222" s="1">
        <v>0</v>
      </c>
      <c r="Q222" s="1">
        <f>IF(P222 + Q221 &lt; 0, P222 + Q221, 0)</f>
        <v>0</v>
      </c>
      <c r="R222" s="1">
        <v>0</v>
      </c>
      <c r="S222" s="1">
        <f>IF(R222 + S221 &lt; 0, R222 + S221, 0)</f>
        <v>0</v>
      </c>
      <c r="T222" s="1">
        <v>0</v>
      </c>
      <c r="U222" s="1">
        <f>IF(T222 + U221 &lt; 0, T222 + U221, 0)</f>
        <v>0</v>
      </c>
      <c r="V222" s="1">
        <v>0</v>
      </c>
      <c r="W222" s="1">
        <f>IF(V222 + W221 &lt; 0, V222 + W221, 0)</f>
        <v>0</v>
      </c>
      <c r="X222" s="1">
        <v>0</v>
      </c>
      <c r="Y222" s="1">
        <f>IF(X222 + Y221 &lt; 0, X222 + Y221, 0)</f>
        <v>0</v>
      </c>
      <c r="Z222" s="1">
        <v>0</v>
      </c>
      <c r="AA222" s="1">
        <f>IF(Z222 + AA221 &lt; 0, Z222 + AA221, 0)</f>
        <v>0</v>
      </c>
      <c r="AB222" s="1">
        <v>0</v>
      </c>
      <c r="AC222" s="1">
        <f>IF(AB222 + AC221 &lt; 0, AB222 + AC221, 0)</f>
        <v>0</v>
      </c>
      <c r="AD222" s="1">
        <v>0</v>
      </c>
      <c r="AE222" s="1">
        <f>IF(AD222 + AE221 &lt; 0, AD222 + AE221, 0)</f>
        <v>0</v>
      </c>
      <c r="AF222" s="1">
        <v>0</v>
      </c>
      <c r="AG222" s="1">
        <f>IF(AF222 + AG221 &lt; 0, AF222 + AG221, 0)</f>
        <v>0</v>
      </c>
      <c r="AH222" s="1">
        <v>0</v>
      </c>
      <c r="AI222" s="1">
        <f>IF(AH222 + AI221 &lt; 0, AH222 + AI221, 0)</f>
        <v>0</v>
      </c>
      <c r="AJ222" s="1">
        <v>0</v>
      </c>
      <c r="AK222" s="1">
        <f>IF(AJ222 + AK221 &lt; 0, AJ222 + AK221, 0)</f>
        <v>0</v>
      </c>
    </row>
    <row r="223" spans="1:37" s="1" customFormat="1">
      <c r="A223" s="3">
        <v>45622</v>
      </c>
      <c r="B223" s="2" t="s">
        <v>23</v>
      </c>
      <c r="C223" s="2">
        <v>2</v>
      </c>
      <c r="D223" s="2">
        <v>1</v>
      </c>
      <c r="E223" s="2">
        <v>24</v>
      </c>
      <c r="F223" s="2">
        <v>3</v>
      </c>
      <c r="G223" s="2">
        <v>4</v>
      </c>
      <c r="H223" s="1">
        <v>0</v>
      </c>
      <c r="I223" s="1">
        <f>IF(H223 + I222 &lt; 0, H223 + I222, 0)</f>
        <v>0</v>
      </c>
      <c r="J223" s="1">
        <v>0</v>
      </c>
      <c r="K223" s="1">
        <f>IF(J223 + K222 &lt; 0, J223 + K222, 0)</f>
        <v>0</v>
      </c>
      <c r="L223" s="1">
        <v>0</v>
      </c>
      <c r="M223" s="1">
        <f>IF(L223 + M222 &lt; 0, L223 + M222, 0)</f>
        <v>0</v>
      </c>
      <c r="N223" s="1">
        <v>0</v>
      </c>
      <c r="O223" s="1">
        <f>IF(N223 + O222 &lt; 0, N223 + O222, 0)</f>
        <v>0</v>
      </c>
      <c r="P223" s="1">
        <v>0</v>
      </c>
      <c r="Q223" s="1">
        <f>IF(P223 + Q222 &lt; 0, P223 + Q222, 0)</f>
        <v>0</v>
      </c>
      <c r="R223" s="1">
        <v>0</v>
      </c>
      <c r="S223" s="1">
        <f>IF(R223 + S222 &lt; 0, R223 + S222, 0)</f>
        <v>0</v>
      </c>
      <c r="T223" s="1">
        <v>0</v>
      </c>
      <c r="U223" s="1">
        <f>IF(T223 + U222 &lt; 0, T223 + U222, 0)</f>
        <v>0</v>
      </c>
      <c r="V223" s="1">
        <v>0</v>
      </c>
      <c r="W223" s="1">
        <f>IF(V223 + W222 &lt; 0, V223 + W222, 0)</f>
        <v>0</v>
      </c>
      <c r="X223" s="1">
        <v>0</v>
      </c>
      <c r="Y223" s="1">
        <f>IF(X223 + Y222 &lt; 0, X223 + Y222, 0)</f>
        <v>0</v>
      </c>
      <c r="Z223" s="1">
        <v>0</v>
      </c>
      <c r="AA223" s="1">
        <f>IF(Z223 + AA222 &lt; 0, Z223 + AA222, 0)</f>
        <v>0</v>
      </c>
      <c r="AB223" s="1">
        <v>0</v>
      </c>
      <c r="AC223" s="1">
        <f>IF(AB223 + AC222 &lt; 0, AB223 + AC222, 0)</f>
        <v>0</v>
      </c>
      <c r="AD223" s="1">
        <v>0</v>
      </c>
      <c r="AE223" s="1">
        <f>IF(AD223 + AE222 &lt; 0, AD223 + AE222, 0)</f>
        <v>0</v>
      </c>
      <c r="AF223" s="1">
        <v>0</v>
      </c>
      <c r="AG223" s="1">
        <f>IF(AF223 + AG222 &lt; 0, AF223 + AG222, 0)</f>
        <v>0</v>
      </c>
      <c r="AH223" s="1">
        <v>0</v>
      </c>
      <c r="AI223" s="1">
        <f>IF(AH223 + AI222 &lt; 0, AH223 + AI222, 0)</f>
        <v>0</v>
      </c>
      <c r="AJ223" s="1">
        <v>0</v>
      </c>
      <c r="AK223" s="1">
        <f>IF(AJ223 + AK222 &lt; 0, AJ223 + AK222, 0)</f>
        <v>0</v>
      </c>
    </row>
    <row r="224" spans="1:37" s="1" customFormat="1">
      <c r="A224" s="3">
        <v>45623</v>
      </c>
      <c r="B224" s="2" t="s">
        <v>24</v>
      </c>
      <c r="C224" s="2">
        <v>1</v>
      </c>
      <c r="D224" s="2">
        <v>24</v>
      </c>
      <c r="E224" s="2">
        <v>23</v>
      </c>
      <c r="F224" s="2">
        <v>2</v>
      </c>
      <c r="G224" s="2">
        <v>3</v>
      </c>
      <c r="H224" s="1">
        <v>0</v>
      </c>
      <c r="I224" s="1">
        <f>IF(H224 + I223 &lt; 0, H224 + I223, 0)</f>
        <v>0</v>
      </c>
      <c r="J224" s="1">
        <v>0</v>
      </c>
      <c r="K224" s="1">
        <f>IF(J224 + K223 &lt; 0, J224 + K223, 0)</f>
        <v>0</v>
      </c>
      <c r="L224" s="1">
        <v>0</v>
      </c>
      <c r="M224" s="1">
        <f>IF(L224 + M223 &lt; 0, L224 + M223, 0)</f>
        <v>0</v>
      </c>
      <c r="N224" s="1">
        <v>0</v>
      </c>
      <c r="O224" s="1">
        <f>IF(N224 + O223 &lt; 0, N224 + O223, 0)</f>
        <v>0</v>
      </c>
      <c r="P224" s="1">
        <v>0</v>
      </c>
      <c r="Q224" s="1">
        <f>IF(P224 + Q223 &lt; 0, P224 + Q223, 0)</f>
        <v>0</v>
      </c>
      <c r="R224" s="1">
        <v>0</v>
      </c>
      <c r="S224" s="1">
        <f>IF(R224 + S223 &lt; 0, R224 + S223, 0)</f>
        <v>0</v>
      </c>
      <c r="T224" s="1">
        <v>0</v>
      </c>
      <c r="U224" s="1">
        <f>IF(T224 + U223 &lt; 0, T224 + U223, 0)</f>
        <v>0</v>
      </c>
      <c r="V224" s="1">
        <v>0</v>
      </c>
      <c r="W224" s="1">
        <f>IF(V224 + W223 &lt; 0, V224 + W223, 0)</f>
        <v>0</v>
      </c>
      <c r="X224" s="1">
        <v>0</v>
      </c>
      <c r="Y224" s="1">
        <f>IF(X224 + Y223 &lt; 0, X224 + Y223, 0)</f>
        <v>0</v>
      </c>
      <c r="Z224" s="1">
        <v>0</v>
      </c>
      <c r="AA224" s="1">
        <f>IF(Z224 + AA223 &lt; 0, Z224 + AA223, 0)</f>
        <v>0</v>
      </c>
      <c r="AB224" s="1">
        <v>0</v>
      </c>
      <c r="AC224" s="1">
        <f>IF(AB224 + AC223 &lt; 0, AB224 + AC223, 0)</f>
        <v>0</v>
      </c>
      <c r="AD224" s="1">
        <v>0</v>
      </c>
      <c r="AE224" s="1">
        <f>IF(AD224 + AE223 &lt; 0, AD224 + AE223, 0)</f>
        <v>0</v>
      </c>
      <c r="AF224" s="1">
        <v>0</v>
      </c>
      <c r="AG224" s="1">
        <f>IF(AF224 + AG223 &lt; 0, AF224 + AG223, 0)</f>
        <v>0</v>
      </c>
      <c r="AH224" s="1">
        <v>0</v>
      </c>
      <c r="AI224" s="1">
        <f>IF(AH224 + AI223 &lt; 0, AH224 + AI223, 0)</f>
        <v>0</v>
      </c>
      <c r="AJ224" s="1">
        <v>0</v>
      </c>
      <c r="AK224" s="1">
        <f>IF(AJ224 + AK223 &lt; 0, AJ224 + AK223, 0)</f>
        <v>0</v>
      </c>
    </row>
    <row r="225" spans="1:37" s="1" customFormat="1">
      <c r="A225" s="3">
        <v>45624</v>
      </c>
      <c r="B225" s="2" t="s">
        <v>25</v>
      </c>
      <c r="C225" s="2">
        <v>19</v>
      </c>
      <c r="D225" s="2">
        <v>23</v>
      </c>
      <c r="E225" s="2">
        <v>22</v>
      </c>
      <c r="F225" s="2">
        <v>1</v>
      </c>
      <c r="G225" s="2">
        <v>2</v>
      </c>
      <c r="H225" s="1">
        <v>0</v>
      </c>
      <c r="I225" s="1">
        <f>IF(H225 + I224 &lt; 0, H225 + I224, 0)</f>
        <v>0</v>
      </c>
      <c r="J225" s="1">
        <v>0</v>
      </c>
      <c r="K225" s="1">
        <f>IF(J225 + K224 &lt; 0, J225 + K224, 0)</f>
        <v>0</v>
      </c>
      <c r="L225" s="1">
        <v>0</v>
      </c>
      <c r="M225" s="1">
        <f>IF(L225 + M224 &lt; 0, L225 + M224, 0)</f>
        <v>0</v>
      </c>
      <c r="N225" s="1">
        <v>0</v>
      </c>
      <c r="O225" s="1">
        <f>IF(N225 + O224 &lt; 0, N225 + O224, 0)</f>
        <v>0</v>
      </c>
      <c r="P225" s="1">
        <v>0</v>
      </c>
      <c r="Q225" s="1">
        <f>IF(P225 + Q224 &lt; 0, P225 + Q224, 0)</f>
        <v>0</v>
      </c>
      <c r="R225" s="1">
        <v>0</v>
      </c>
      <c r="S225" s="1">
        <f>IF(R225 + S224 &lt; 0, R225 + S224, 0)</f>
        <v>0</v>
      </c>
      <c r="T225" s="1">
        <v>0</v>
      </c>
      <c r="U225" s="1">
        <f>IF(T225 + U224 &lt; 0, T225 + U224, 0)</f>
        <v>0</v>
      </c>
      <c r="V225" s="1">
        <v>0</v>
      </c>
      <c r="W225" s="1">
        <f>IF(V225 + W224 &lt; 0, V225 + W224, 0)</f>
        <v>0</v>
      </c>
      <c r="X225" s="1">
        <v>0</v>
      </c>
      <c r="Y225" s="1">
        <f>IF(X225 + Y224 &lt; 0, X225 + Y224, 0)</f>
        <v>0</v>
      </c>
      <c r="Z225" s="1">
        <v>-1438291.545937985</v>
      </c>
      <c r="AA225" s="1">
        <f>IF(Z225 + AA224 &lt; 0, Z225 + AA224, 0)</f>
        <v>0</v>
      </c>
      <c r="AB225" s="1">
        <v>218577.594875491</v>
      </c>
      <c r="AC225" s="1">
        <f>IF(AB225 + AC224 &lt; 0, AB225 + AC224, 0)</f>
        <v>0</v>
      </c>
      <c r="AD225" s="1">
        <v>-132437.3272593537</v>
      </c>
      <c r="AE225" s="1">
        <f>IF(AD225 + AE224 &lt; 0, AD225 + AE224, 0)</f>
        <v>0</v>
      </c>
      <c r="AF225" s="1">
        <v>0</v>
      </c>
      <c r="AG225" s="1">
        <f>IF(AF225 + AG224 &lt; 0, AF225 + AG224, 0)</f>
        <v>0</v>
      </c>
      <c r="AH225" s="1">
        <v>0</v>
      </c>
      <c r="AI225" s="1">
        <f>IF(AH225 + AI224 &lt; 0, AH225 + AI224, 0)</f>
        <v>0</v>
      </c>
      <c r="AJ225" s="1">
        <v>0</v>
      </c>
      <c r="AK225" s="1">
        <f>IF(AJ225 + AK224 &lt; 0, AJ225 + AK224, 0)</f>
        <v>0</v>
      </c>
    </row>
    <row r="226" spans="1:37" s="1" customFormat="1">
      <c r="A226" s="3">
        <v>45625</v>
      </c>
      <c r="B226" s="2" t="s">
        <v>26</v>
      </c>
      <c r="C226" s="2">
        <v>18</v>
      </c>
      <c r="D226" s="2">
        <v>22</v>
      </c>
      <c r="E226" s="2">
        <v>21</v>
      </c>
      <c r="F226" s="2">
        <v>5</v>
      </c>
      <c r="G226" s="2">
        <v>1</v>
      </c>
      <c r="H226" s="1">
        <v>0</v>
      </c>
      <c r="I226" s="1">
        <f>IF(H226 + I225 &lt; 0, H226 + I225, 0)</f>
        <v>0</v>
      </c>
      <c r="J226" s="1">
        <v>0</v>
      </c>
      <c r="K226" s="1">
        <f>IF(J226 + K225 &lt; 0, J226 + K225, 0)</f>
        <v>0</v>
      </c>
      <c r="L226" s="1">
        <v>0</v>
      </c>
      <c r="M226" s="1">
        <f>IF(L226 + M225 &lt; 0, L226 + M225, 0)</f>
        <v>0</v>
      </c>
      <c r="N226" s="1">
        <v>0</v>
      </c>
      <c r="O226" s="1">
        <f>IF(N226 + O225 &lt; 0, N226 + O225, 0)</f>
        <v>0</v>
      </c>
      <c r="P226" s="1">
        <v>0</v>
      </c>
      <c r="Q226" s="1">
        <f>IF(P226 + Q225 &lt; 0, P226 + Q225, 0)</f>
        <v>0</v>
      </c>
      <c r="R226" s="1">
        <v>0</v>
      </c>
      <c r="S226" s="1">
        <f>IF(R226 + S225 &lt; 0, R226 + S225, 0)</f>
        <v>0</v>
      </c>
      <c r="T226" s="1">
        <v>0</v>
      </c>
      <c r="U226" s="1">
        <f>IF(T226 + U225 &lt; 0, T226 + U225, 0)</f>
        <v>0</v>
      </c>
      <c r="V226" s="1">
        <v>0</v>
      </c>
      <c r="W226" s="1">
        <f>IF(V226 + W225 &lt; 0, V226 + W225, 0)</f>
        <v>0</v>
      </c>
      <c r="X226" s="1">
        <v>0</v>
      </c>
      <c r="Y226" s="1">
        <f>IF(X226 + Y225 &lt; 0, X226 + Y225, 0)</f>
        <v>0</v>
      </c>
      <c r="Z226" s="1">
        <v>0</v>
      </c>
      <c r="AA226" s="1">
        <f>IF(Z226 + AA225 &lt; 0, Z226 + AA225, 0)</f>
        <v>0</v>
      </c>
      <c r="AB226" s="1">
        <v>0</v>
      </c>
      <c r="AC226" s="1">
        <f>IF(AB226 + AC225 &lt; 0, AB226 + AC225, 0)</f>
        <v>0</v>
      </c>
      <c r="AD226" s="1">
        <v>0</v>
      </c>
      <c r="AE226" s="1">
        <f>IF(AD226 + AE225 &lt; 0, AD226 + AE225, 0)</f>
        <v>0</v>
      </c>
      <c r="AF226" s="1">
        <v>499270.9649044554</v>
      </c>
      <c r="AG226" s="1">
        <f>IF(AF226 + AG225 &lt; 0, AF226 + AG225, 0)</f>
        <v>0</v>
      </c>
      <c r="AH226" s="1">
        <v>554597.5522320687</v>
      </c>
      <c r="AI226" s="1">
        <f>IF(AH226 + AI225 &lt; 0, AH226 + AI225, 0)</f>
        <v>0</v>
      </c>
      <c r="AJ226" s="1">
        <v>37273.13548160687</v>
      </c>
      <c r="AK226" s="1">
        <f>IF(AJ226 + AK225 &lt; 0, AJ226 + AK225, 0)</f>
        <v>0</v>
      </c>
    </row>
    <row r="227" spans="1:37" s="1" customFormat="1">
      <c r="A227" s="3">
        <v>45628</v>
      </c>
      <c r="B227" s="2" t="s">
        <v>22</v>
      </c>
      <c r="C227" s="2">
        <v>17</v>
      </c>
      <c r="D227" s="2">
        <v>21</v>
      </c>
      <c r="E227" s="2">
        <v>20</v>
      </c>
      <c r="F227" s="2">
        <v>4</v>
      </c>
      <c r="G227" s="2">
        <v>5</v>
      </c>
      <c r="H227" s="1">
        <v>0</v>
      </c>
      <c r="I227" s="1">
        <f>IF(H227 + I226 &lt; 0, H227 + I226, 0)</f>
        <v>0</v>
      </c>
      <c r="J227" s="1">
        <v>0</v>
      </c>
      <c r="K227" s="1">
        <f>IF(J227 + K226 &lt; 0, J227 + K226, 0)</f>
        <v>0</v>
      </c>
      <c r="L227" s="1">
        <v>0</v>
      </c>
      <c r="M227" s="1">
        <f>IF(L227 + M226 &lt; 0, L227 + M226, 0)</f>
        <v>0</v>
      </c>
      <c r="N227" s="1">
        <v>0</v>
      </c>
      <c r="O227" s="1">
        <f>IF(N227 + O226 &lt; 0, N227 + O226, 0)</f>
        <v>0</v>
      </c>
      <c r="P227" s="1">
        <v>0</v>
      </c>
      <c r="Q227" s="1">
        <f>IF(P227 + Q226 &lt; 0, P227 + Q226, 0)</f>
        <v>0</v>
      </c>
      <c r="R227" s="1">
        <v>0</v>
      </c>
      <c r="S227" s="1">
        <f>IF(R227 + S226 &lt; 0, R227 + S226, 0)</f>
        <v>0</v>
      </c>
      <c r="T227" s="1">
        <v>0</v>
      </c>
      <c r="U227" s="1">
        <f>IF(T227 + U226 &lt; 0, T227 + U226, 0)</f>
        <v>0</v>
      </c>
      <c r="V227" s="1">
        <v>0</v>
      </c>
      <c r="W227" s="1">
        <f>IF(V227 + W226 &lt; 0, V227 + W226, 0)</f>
        <v>0</v>
      </c>
      <c r="X227" s="1">
        <v>0</v>
      </c>
      <c r="Y227" s="1">
        <f>IF(X227 + Y226 &lt; 0, X227 + Y226, 0)</f>
        <v>0</v>
      </c>
      <c r="Z227" s="1">
        <v>0</v>
      </c>
      <c r="AA227" s="1">
        <f>IF(Z227 + AA226 &lt; 0, Z227 + AA226, 0)</f>
        <v>0</v>
      </c>
      <c r="AB227" s="1">
        <v>0</v>
      </c>
      <c r="AC227" s="1">
        <f>IF(AB227 + AC226 &lt; 0, AB227 + AC226, 0)</f>
        <v>0</v>
      </c>
      <c r="AD227" s="1">
        <v>0</v>
      </c>
      <c r="AE227" s="1">
        <f>IF(AD227 + AE226 &lt; 0, AD227 + AE226, 0)</f>
        <v>0</v>
      </c>
      <c r="AF227" s="1">
        <v>0</v>
      </c>
      <c r="AG227" s="1">
        <f>IF(AF227 + AG226 &lt; 0, AF227 + AG226, 0)</f>
        <v>0</v>
      </c>
      <c r="AH227" s="1">
        <v>0</v>
      </c>
      <c r="AI227" s="1">
        <f>IF(AH227 + AI226 &lt; 0, AH227 + AI226, 0)</f>
        <v>0</v>
      </c>
      <c r="AJ227" s="1">
        <v>0</v>
      </c>
      <c r="AK227" s="1">
        <f>IF(AJ227 + AK226 &lt; 0, AJ227 + AK226, 0)</f>
        <v>0</v>
      </c>
    </row>
    <row r="228" spans="1:37" s="1" customFormat="1">
      <c r="A228" s="3">
        <v>45629</v>
      </c>
      <c r="B228" s="2" t="s">
        <v>23</v>
      </c>
      <c r="C228" s="2">
        <v>16</v>
      </c>
      <c r="D228" s="2">
        <v>20</v>
      </c>
      <c r="E228" s="2">
        <v>19</v>
      </c>
      <c r="F228" s="2">
        <v>3</v>
      </c>
      <c r="G228" s="2">
        <v>4</v>
      </c>
      <c r="H228" s="1">
        <v>0</v>
      </c>
      <c r="I228" s="1">
        <f>IF(H228 + I227 &lt; 0, H228 + I227, 0)</f>
        <v>0</v>
      </c>
      <c r="J228" s="1">
        <v>0</v>
      </c>
      <c r="K228" s="1">
        <f>IF(J228 + K227 &lt; 0, J228 + K227, 0)</f>
        <v>0</v>
      </c>
      <c r="L228" s="1">
        <v>0</v>
      </c>
      <c r="M228" s="1">
        <f>IF(L228 + M227 &lt; 0, L228 + M227, 0)</f>
        <v>0</v>
      </c>
      <c r="N228" s="1">
        <v>0</v>
      </c>
      <c r="O228" s="1">
        <f>IF(N228 + O227 &lt; 0, N228 + O227, 0)</f>
        <v>0</v>
      </c>
      <c r="P228" s="1">
        <v>0</v>
      </c>
      <c r="Q228" s="1">
        <f>IF(P228 + Q227 &lt; 0, P228 + Q227, 0)</f>
        <v>0</v>
      </c>
      <c r="R228" s="1">
        <v>0</v>
      </c>
      <c r="S228" s="1">
        <f>IF(R228 + S227 &lt; 0, R228 + S227, 0)</f>
        <v>0</v>
      </c>
      <c r="T228" s="1">
        <v>0</v>
      </c>
      <c r="U228" s="1">
        <f>IF(T228 + U227 &lt; 0, T228 + U227, 0)</f>
        <v>0</v>
      </c>
      <c r="V228" s="1">
        <v>0</v>
      </c>
      <c r="W228" s="1">
        <f>IF(V228 + W227 &lt; 0, V228 + W227, 0)</f>
        <v>0</v>
      </c>
      <c r="X228" s="1">
        <v>0</v>
      </c>
      <c r="Y228" s="1">
        <f>IF(X228 + Y227 &lt; 0, X228 + Y227, 0)</f>
        <v>0</v>
      </c>
      <c r="Z228" s="1">
        <v>0</v>
      </c>
      <c r="AA228" s="1">
        <f>IF(Z228 + AA227 &lt; 0, Z228 + AA227, 0)</f>
        <v>0</v>
      </c>
      <c r="AB228" s="1">
        <v>0</v>
      </c>
      <c r="AC228" s="1">
        <f>IF(AB228 + AC227 &lt; 0, AB228 + AC227, 0)</f>
        <v>0</v>
      </c>
      <c r="AD228" s="1">
        <v>0</v>
      </c>
      <c r="AE228" s="1">
        <f>IF(AD228 + AE227 &lt; 0, AD228 + AE227, 0)</f>
        <v>0</v>
      </c>
      <c r="AF228" s="1">
        <v>0</v>
      </c>
      <c r="AG228" s="1">
        <f>IF(AF228 + AG227 &lt; 0, AF228 + AG227, 0)</f>
        <v>0</v>
      </c>
      <c r="AH228" s="1">
        <v>0</v>
      </c>
      <c r="AI228" s="1">
        <f>IF(AH228 + AI227 &lt; 0, AH228 + AI227, 0)</f>
        <v>0</v>
      </c>
      <c r="AJ228" s="1">
        <v>0</v>
      </c>
      <c r="AK228" s="1">
        <f>IF(AJ228 + AK227 &lt; 0, AJ228 + AK227, 0)</f>
        <v>0</v>
      </c>
    </row>
    <row r="229" spans="1:37" s="1" customFormat="1">
      <c r="A229" s="3">
        <v>45630</v>
      </c>
      <c r="B229" s="2" t="s">
        <v>24</v>
      </c>
      <c r="C229" s="2">
        <v>15</v>
      </c>
      <c r="D229" s="2">
        <v>19</v>
      </c>
      <c r="E229" s="2">
        <v>18</v>
      </c>
      <c r="F229" s="2">
        <v>2</v>
      </c>
      <c r="G229" s="2">
        <v>3</v>
      </c>
      <c r="H229" s="1">
        <v>0</v>
      </c>
      <c r="I229" s="1">
        <f>IF(H229 + I228 &lt; 0, H229 + I228, 0)</f>
        <v>0</v>
      </c>
      <c r="J229" s="1">
        <v>0</v>
      </c>
      <c r="K229" s="1">
        <f>IF(J229 + K228 &lt; 0, J229 + K228, 0)</f>
        <v>0</v>
      </c>
      <c r="L229" s="1">
        <v>0</v>
      </c>
      <c r="M229" s="1">
        <f>IF(L229 + M228 &lt; 0, L229 + M228, 0)</f>
        <v>0</v>
      </c>
      <c r="N229" s="1">
        <v>0</v>
      </c>
      <c r="O229" s="1">
        <f>IF(N229 + O228 &lt; 0, N229 + O228, 0)</f>
        <v>0</v>
      </c>
      <c r="P229" s="1">
        <v>0</v>
      </c>
      <c r="Q229" s="1">
        <f>IF(P229 + Q228 &lt; 0, P229 + Q228, 0)</f>
        <v>0</v>
      </c>
      <c r="R229" s="1">
        <v>0</v>
      </c>
      <c r="S229" s="1">
        <f>IF(R229 + S228 &lt; 0, R229 + S228, 0)</f>
        <v>0</v>
      </c>
      <c r="T229" s="1">
        <v>0</v>
      </c>
      <c r="U229" s="1">
        <f>IF(T229 + U228 &lt; 0, T229 + U228, 0)</f>
        <v>0</v>
      </c>
      <c r="V229" s="1">
        <v>0</v>
      </c>
      <c r="W229" s="1">
        <f>IF(V229 + W228 &lt; 0, V229 + W228, 0)</f>
        <v>0</v>
      </c>
      <c r="X229" s="1">
        <v>0</v>
      </c>
      <c r="Y229" s="1">
        <f>IF(X229 + Y228 &lt; 0, X229 + Y228, 0)</f>
        <v>0</v>
      </c>
      <c r="Z229" s="1">
        <v>0</v>
      </c>
      <c r="AA229" s="1">
        <f>IF(Z229 + AA228 &lt; 0, Z229 + AA228, 0)</f>
        <v>0</v>
      </c>
      <c r="AB229" s="1">
        <v>0</v>
      </c>
      <c r="AC229" s="1">
        <f>IF(AB229 + AC228 &lt; 0, AB229 + AC228, 0)</f>
        <v>0</v>
      </c>
      <c r="AD229" s="1">
        <v>0</v>
      </c>
      <c r="AE229" s="1">
        <f>IF(AD229 + AE228 &lt; 0, AD229 + AE228, 0)</f>
        <v>0</v>
      </c>
      <c r="AF229" s="1">
        <v>0</v>
      </c>
      <c r="AG229" s="1">
        <f>IF(AF229 + AG228 &lt; 0, AF229 + AG228, 0)</f>
        <v>0</v>
      </c>
      <c r="AH229" s="1">
        <v>0</v>
      </c>
      <c r="AI229" s="1">
        <f>IF(AH229 + AI228 &lt; 0, AH229 + AI228, 0)</f>
        <v>0</v>
      </c>
      <c r="AJ229" s="1">
        <v>0</v>
      </c>
      <c r="AK229" s="1">
        <f>IF(AJ229 + AK228 &lt; 0, AJ229 + AK228, 0)</f>
        <v>0</v>
      </c>
    </row>
    <row r="230" spans="1:37" s="1" customFormat="1">
      <c r="A230" s="3">
        <v>45631</v>
      </c>
      <c r="B230" s="2" t="s">
        <v>25</v>
      </c>
      <c r="C230" s="2">
        <v>14</v>
      </c>
      <c r="D230" s="2">
        <v>18</v>
      </c>
      <c r="E230" s="2">
        <v>17</v>
      </c>
      <c r="F230" s="2">
        <v>1</v>
      </c>
      <c r="G230" s="2">
        <v>2</v>
      </c>
      <c r="H230" s="1">
        <v>0</v>
      </c>
      <c r="I230" s="1">
        <f>IF(H230 + I229 &lt; 0, H230 + I229, 0)</f>
        <v>0</v>
      </c>
      <c r="J230" s="1">
        <v>0</v>
      </c>
      <c r="K230" s="1">
        <f>IF(J230 + K229 &lt; 0, J230 + K229, 0)</f>
        <v>0</v>
      </c>
      <c r="L230" s="1">
        <v>0</v>
      </c>
      <c r="M230" s="1">
        <f>IF(L230 + M229 &lt; 0, L230 + M229, 0)</f>
        <v>0</v>
      </c>
      <c r="N230" s="1">
        <v>0</v>
      </c>
      <c r="O230" s="1">
        <f>IF(N230 + O229 &lt; 0, N230 + O229, 0)</f>
        <v>0</v>
      </c>
      <c r="P230" s="1">
        <v>0</v>
      </c>
      <c r="Q230" s="1">
        <f>IF(P230 + Q229 &lt; 0, P230 + Q229, 0)</f>
        <v>0</v>
      </c>
      <c r="R230" s="1">
        <v>0</v>
      </c>
      <c r="S230" s="1">
        <f>IF(R230 + S229 &lt; 0, R230 + S229, 0)</f>
        <v>0</v>
      </c>
      <c r="T230" s="1">
        <v>0</v>
      </c>
      <c r="U230" s="1">
        <f>IF(T230 + U229 &lt; 0, T230 + U229, 0)</f>
        <v>0</v>
      </c>
      <c r="V230" s="1">
        <v>0</v>
      </c>
      <c r="W230" s="1">
        <f>IF(V230 + W229 &lt; 0, V230 + W229, 0)</f>
        <v>0</v>
      </c>
      <c r="X230" s="1">
        <v>0</v>
      </c>
      <c r="Y230" s="1">
        <f>IF(X230 + Y229 &lt; 0, X230 + Y229, 0)</f>
        <v>0</v>
      </c>
      <c r="Z230" s="1">
        <v>-754746.4864559333</v>
      </c>
      <c r="AA230" s="1">
        <f>IF(Z230 + AA229 &lt; 0, Z230 + AA229, 0)</f>
        <v>0</v>
      </c>
      <c r="AB230" s="1">
        <v>-958958.2558579134</v>
      </c>
      <c r="AC230" s="1">
        <f>IF(AB230 + AC229 &lt; 0, AB230 + AC229, 0)</f>
        <v>0</v>
      </c>
      <c r="AD230" s="1">
        <v>-368660.3460106761</v>
      </c>
      <c r="AE230" s="1">
        <f>IF(AD230 + AE229 &lt; 0, AD230 + AE229, 0)</f>
        <v>0</v>
      </c>
      <c r="AF230" s="1">
        <v>0</v>
      </c>
      <c r="AG230" s="1">
        <f>IF(AF230 + AG229 &lt; 0, AF230 + AG229, 0)</f>
        <v>0</v>
      </c>
      <c r="AH230" s="1">
        <v>0</v>
      </c>
      <c r="AI230" s="1">
        <f>IF(AH230 + AI229 &lt; 0, AH230 + AI229, 0)</f>
        <v>0</v>
      </c>
      <c r="AJ230" s="1">
        <v>0</v>
      </c>
      <c r="AK230" s="1">
        <f>IF(AJ230 + AK229 &lt; 0, AJ230 + AK229, 0)</f>
        <v>0</v>
      </c>
    </row>
    <row r="231" spans="1:37" s="1" customFormat="1">
      <c r="A231" s="3">
        <v>45632</v>
      </c>
      <c r="B231" s="2" t="s">
        <v>26</v>
      </c>
      <c r="C231" s="2">
        <v>13</v>
      </c>
      <c r="D231" s="2">
        <v>17</v>
      </c>
      <c r="E231" s="2">
        <v>16</v>
      </c>
      <c r="F231" s="2">
        <v>5</v>
      </c>
      <c r="G231" s="2">
        <v>1</v>
      </c>
      <c r="H231" s="1">
        <v>0</v>
      </c>
      <c r="I231" s="1">
        <f>IF(H231 + I230 &lt; 0, H231 + I230, 0)</f>
        <v>0</v>
      </c>
      <c r="J231" s="1">
        <v>0</v>
      </c>
      <c r="K231" s="1">
        <f>IF(J231 + K230 &lt; 0, J231 + K230, 0)</f>
        <v>0</v>
      </c>
      <c r="L231" s="1">
        <v>0</v>
      </c>
      <c r="M231" s="1">
        <f>IF(L231 + M230 &lt; 0, L231 + M230, 0)</f>
        <v>0</v>
      </c>
      <c r="N231" s="1">
        <v>0</v>
      </c>
      <c r="O231" s="1">
        <f>IF(N231 + O230 &lt; 0, N231 + O230, 0)</f>
        <v>0</v>
      </c>
      <c r="P231" s="1">
        <v>0</v>
      </c>
      <c r="Q231" s="1">
        <f>IF(P231 + Q230 &lt; 0, P231 + Q230, 0)</f>
        <v>0</v>
      </c>
      <c r="R231" s="1">
        <v>0</v>
      </c>
      <c r="S231" s="1">
        <f>IF(R231 + S230 &lt; 0, R231 + S230, 0)</f>
        <v>0</v>
      </c>
      <c r="T231" s="1">
        <v>0</v>
      </c>
      <c r="U231" s="1">
        <f>IF(T231 + U230 &lt; 0, T231 + U230, 0)</f>
        <v>0</v>
      </c>
      <c r="V231" s="1">
        <v>0</v>
      </c>
      <c r="W231" s="1">
        <f>IF(V231 + W230 &lt; 0, V231 + W230, 0)</f>
        <v>0</v>
      </c>
      <c r="X231" s="1">
        <v>0</v>
      </c>
      <c r="Y231" s="1">
        <f>IF(X231 + Y230 &lt; 0, X231 + Y230, 0)</f>
        <v>0</v>
      </c>
      <c r="Z231" s="1">
        <v>0</v>
      </c>
      <c r="AA231" s="1">
        <f>IF(Z231 + AA230 &lt; 0, Z231 + AA230, 0)</f>
        <v>0</v>
      </c>
      <c r="AB231" s="1">
        <v>0</v>
      </c>
      <c r="AC231" s="1">
        <f>IF(AB231 + AC230 &lt; 0, AB231 + AC230, 0)</f>
        <v>0</v>
      </c>
      <c r="AD231" s="1">
        <v>0</v>
      </c>
      <c r="AE231" s="1">
        <f>IF(AD231 + AE230 &lt; 0, AD231 + AE230, 0)</f>
        <v>0</v>
      </c>
      <c r="AF231" s="1">
        <v>276678.9610398135</v>
      </c>
      <c r="AG231" s="1">
        <f>IF(AF231 + AG230 &lt; 0, AF231 + AG230, 0)</f>
        <v>0</v>
      </c>
      <c r="AH231" s="1">
        <v>546957.9291915722</v>
      </c>
      <c r="AI231" s="1">
        <f>IF(AH231 + AI230 &lt; 0, AH231 + AI230, 0)</f>
        <v>0</v>
      </c>
      <c r="AJ231" s="1">
        <v>467200.7969951413</v>
      </c>
      <c r="AK231" s="1">
        <f>IF(AJ231 + AK230 &lt; 0, AJ231 + AK230, 0)</f>
        <v>0</v>
      </c>
    </row>
    <row r="232" spans="1:37" s="1" customFormat="1">
      <c r="A232" s="3">
        <v>45635</v>
      </c>
      <c r="B232" s="2" t="s">
        <v>22</v>
      </c>
      <c r="C232" s="2">
        <v>12</v>
      </c>
      <c r="D232" s="2">
        <v>16</v>
      </c>
      <c r="E232" s="2">
        <v>15</v>
      </c>
      <c r="F232" s="2">
        <v>4</v>
      </c>
      <c r="G232" s="2">
        <v>5</v>
      </c>
      <c r="H232" s="1">
        <v>0</v>
      </c>
      <c r="I232" s="1">
        <f>IF(H232 + I231 &lt; 0, H232 + I231, 0)</f>
        <v>0</v>
      </c>
      <c r="J232" s="1">
        <v>0</v>
      </c>
      <c r="K232" s="1">
        <f>IF(J232 + K231 &lt; 0, J232 + K231, 0)</f>
        <v>0</v>
      </c>
      <c r="L232" s="1">
        <v>0</v>
      </c>
      <c r="M232" s="1">
        <f>IF(L232 + M231 &lt; 0, L232 + M231, 0)</f>
        <v>0</v>
      </c>
      <c r="N232" s="1">
        <v>0</v>
      </c>
      <c r="O232" s="1">
        <f>IF(N232 + O231 &lt; 0, N232 + O231, 0)</f>
        <v>0</v>
      </c>
      <c r="P232" s="1">
        <v>0</v>
      </c>
      <c r="Q232" s="1">
        <f>IF(P232 + Q231 &lt; 0, P232 + Q231, 0)</f>
        <v>0</v>
      </c>
      <c r="R232" s="1">
        <v>0</v>
      </c>
      <c r="S232" s="1">
        <f>IF(R232 + S231 &lt; 0, R232 + S231, 0)</f>
        <v>0</v>
      </c>
      <c r="T232" s="1">
        <v>0</v>
      </c>
      <c r="U232" s="1">
        <f>IF(T232 + U231 &lt; 0, T232 + U231, 0)</f>
        <v>0</v>
      </c>
      <c r="V232" s="1">
        <v>0</v>
      </c>
      <c r="W232" s="1">
        <f>IF(V232 + W231 &lt; 0, V232 + W231, 0)</f>
        <v>0</v>
      </c>
      <c r="X232" s="1">
        <v>0</v>
      </c>
      <c r="Y232" s="1">
        <f>IF(X232 + Y231 &lt; 0, X232 + Y231, 0)</f>
        <v>0</v>
      </c>
      <c r="Z232" s="1">
        <v>0</v>
      </c>
      <c r="AA232" s="1">
        <f>IF(Z232 + AA231 &lt; 0, Z232 + AA231, 0)</f>
        <v>0</v>
      </c>
      <c r="AB232" s="1">
        <v>0</v>
      </c>
      <c r="AC232" s="1">
        <f>IF(AB232 + AC231 &lt; 0, AB232 + AC231, 0)</f>
        <v>0</v>
      </c>
      <c r="AD232" s="1">
        <v>0</v>
      </c>
      <c r="AE232" s="1">
        <f>IF(AD232 + AE231 &lt; 0, AD232 + AE231, 0)</f>
        <v>0</v>
      </c>
      <c r="AF232" s="1">
        <v>0</v>
      </c>
      <c r="AG232" s="1">
        <f>IF(AF232 + AG231 &lt; 0, AF232 + AG231, 0)</f>
        <v>0</v>
      </c>
      <c r="AH232" s="1">
        <v>0</v>
      </c>
      <c r="AI232" s="1">
        <f>IF(AH232 + AI231 &lt; 0, AH232 + AI231, 0)</f>
        <v>0</v>
      </c>
      <c r="AJ232" s="1">
        <v>0</v>
      </c>
      <c r="AK232" s="1">
        <f>IF(AJ232 + AK231 &lt; 0, AJ232 + AK231, 0)</f>
        <v>0</v>
      </c>
    </row>
    <row r="233" spans="1:37" s="1" customFormat="1">
      <c r="A233" s="3">
        <v>45636</v>
      </c>
      <c r="B233" s="2" t="s">
        <v>23</v>
      </c>
      <c r="C233" s="2">
        <v>11</v>
      </c>
      <c r="D233" s="2">
        <v>15</v>
      </c>
      <c r="E233" s="2">
        <v>14</v>
      </c>
      <c r="F233" s="2">
        <v>3</v>
      </c>
      <c r="G233" s="2">
        <v>4</v>
      </c>
      <c r="H233" s="1">
        <v>0</v>
      </c>
      <c r="I233" s="1">
        <f>IF(H233 + I232 &lt; 0, H233 + I232, 0)</f>
        <v>0</v>
      </c>
      <c r="J233" s="1">
        <v>0</v>
      </c>
      <c r="K233" s="1">
        <f>IF(J233 + K232 &lt; 0, J233 + K232, 0)</f>
        <v>0</v>
      </c>
      <c r="L233" s="1">
        <v>0</v>
      </c>
      <c r="M233" s="1">
        <f>IF(L233 + M232 &lt; 0, L233 + M232, 0)</f>
        <v>0</v>
      </c>
      <c r="N233" s="1">
        <v>0</v>
      </c>
      <c r="O233" s="1">
        <f>IF(N233 + O232 &lt; 0, N233 + O232, 0)</f>
        <v>0</v>
      </c>
      <c r="P233" s="1">
        <v>0</v>
      </c>
      <c r="Q233" s="1">
        <f>IF(P233 + Q232 &lt; 0, P233 + Q232, 0)</f>
        <v>0</v>
      </c>
      <c r="R233" s="1">
        <v>0</v>
      </c>
      <c r="S233" s="1">
        <f>IF(R233 + S232 &lt; 0, R233 + S232, 0)</f>
        <v>0</v>
      </c>
      <c r="T233" s="1">
        <v>0</v>
      </c>
      <c r="U233" s="1">
        <f>IF(T233 + U232 &lt; 0, T233 + U232, 0)</f>
        <v>0</v>
      </c>
      <c r="V233" s="1">
        <v>0</v>
      </c>
      <c r="W233" s="1">
        <f>IF(V233 + W232 &lt; 0, V233 + W232, 0)</f>
        <v>0</v>
      </c>
      <c r="X233" s="1">
        <v>0</v>
      </c>
      <c r="Y233" s="1">
        <f>IF(X233 + Y232 &lt; 0, X233 + Y232, 0)</f>
        <v>0</v>
      </c>
      <c r="Z233" s="1">
        <v>0</v>
      </c>
      <c r="AA233" s="1">
        <f>IF(Z233 + AA232 &lt; 0, Z233 + AA232, 0)</f>
        <v>0</v>
      </c>
      <c r="AB233" s="1">
        <v>0</v>
      </c>
      <c r="AC233" s="1">
        <f>IF(AB233 + AC232 &lt; 0, AB233 + AC232, 0)</f>
        <v>0</v>
      </c>
      <c r="AD233" s="1">
        <v>0</v>
      </c>
      <c r="AE233" s="1">
        <f>IF(AD233 + AE232 &lt; 0, AD233 + AE232, 0)</f>
        <v>0</v>
      </c>
      <c r="AF233" s="1">
        <v>0</v>
      </c>
      <c r="AG233" s="1">
        <f>IF(AF233 + AG232 &lt; 0, AF233 + AG232, 0)</f>
        <v>0</v>
      </c>
      <c r="AH233" s="1">
        <v>0</v>
      </c>
      <c r="AI233" s="1">
        <f>IF(AH233 + AI232 &lt; 0, AH233 + AI232, 0)</f>
        <v>0</v>
      </c>
      <c r="AJ233" s="1">
        <v>0</v>
      </c>
      <c r="AK233" s="1">
        <f>IF(AJ233 + AK232 &lt; 0, AJ233 + AK232, 0)</f>
        <v>0</v>
      </c>
    </row>
    <row r="234" spans="1:37" s="1" customFormat="1">
      <c r="A234" s="3">
        <v>45637</v>
      </c>
      <c r="B234" s="2" t="s">
        <v>24</v>
      </c>
      <c r="C234" s="2">
        <v>10</v>
      </c>
      <c r="D234" s="2">
        <v>14</v>
      </c>
      <c r="E234" s="2">
        <v>13</v>
      </c>
      <c r="F234" s="2">
        <v>2</v>
      </c>
      <c r="G234" s="2">
        <v>3</v>
      </c>
      <c r="H234" s="1">
        <v>0</v>
      </c>
      <c r="I234" s="1">
        <f>IF(H234 + I233 &lt; 0, H234 + I233, 0)</f>
        <v>0</v>
      </c>
      <c r="J234" s="1">
        <v>0</v>
      </c>
      <c r="K234" s="1">
        <f>IF(J234 + K233 &lt; 0, J234 + K233, 0)</f>
        <v>0</v>
      </c>
      <c r="L234" s="1">
        <v>0</v>
      </c>
      <c r="M234" s="1">
        <f>IF(L234 + M233 &lt; 0, L234 + M233, 0)</f>
        <v>0</v>
      </c>
      <c r="N234" s="1">
        <v>0</v>
      </c>
      <c r="O234" s="1">
        <f>IF(N234 + O233 &lt; 0, N234 + O233, 0)</f>
        <v>0</v>
      </c>
      <c r="P234" s="1">
        <v>0</v>
      </c>
      <c r="Q234" s="1">
        <f>IF(P234 + Q233 &lt; 0, P234 + Q233, 0)</f>
        <v>0</v>
      </c>
      <c r="R234" s="1">
        <v>0</v>
      </c>
      <c r="S234" s="1">
        <f>IF(R234 + S233 &lt; 0, R234 + S233, 0)</f>
        <v>0</v>
      </c>
      <c r="T234" s="1">
        <v>0</v>
      </c>
      <c r="U234" s="1">
        <f>IF(T234 + U233 &lt; 0, T234 + U233, 0)</f>
        <v>0</v>
      </c>
      <c r="V234" s="1">
        <v>0</v>
      </c>
      <c r="W234" s="1">
        <f>IF(V234 + W233 &lt; 0, V234 + W233, 0)</f>
        <v>0</v>
      </c>
      <c r="X234" s="1">
        <v>0</v>
      </c>
      <c r="Y234" s="1">
        <f>IF(X234 + Y233 &lt; 0, X234 + Y233, 0)</f>
        <v>0</v>
      </c>
      <c r="Z234" s="1">
        <v>0</v>
      </c>
      <c r="AA234" s="1">
        <f>IF(Z234 + AA233 &lt; 0, Z234 + AA233, 0)</f>
        <v>0</v>
      </c>
      <c r="AB234" s="1">
        <v>0</v>
      </c>
      <c r="AC234" s="1">
        <f>IF(AB234 + AC233 &lt; 0, AB234 + AC233, 0)</f>
        <v>0</v>
      </c>
      <c r="AD234" s="1">
        <v>0</v>
      </c>
      <c r="AE234" s="1">
        <f>IF(AD234 + AE233 &lt; 0, AD234 + AE233, 0)</f>
        <v>0</v>
      </c>
      <c r="AF234" s="1">
        <v>0</v>
      </c>
      <c r="AG234" s="1">
        <f>IF(AF234 + AG233 &lt; 0, AF234 + AG233, 0)</f>
        <v>0</v>
      </c>
      <c r="AH234" s="1">
        <v>0</v>
      </c>
      <c r="AI234" s="1">
        <f>IF(AH234 + AI233 &lt; 0, AH234 + AI233, 0)</f>
        <v>0</v>
      </c>
      <c r="AJ234" s="1">
        <v>0</v>
      </c>
      <c r="AK234" s="1">
        <f>IF(AJ234 + AK233 &lt; 0, AJ234 + AK233, 0)</f>
        <v>0</v>
      </c>
    </row>
    <row r="235" spans="1:37" s="1" customFormat="1">
      <c r="A235" s="3">
        <v>45638</v>
      </c>
      <c r="B235" s="2" t="s">
        <v>25</v>
      </c>
      <c r="C235" s="2">
        <v>9</v>
      </c>
      <c r="D235" s="2">
        <v>13</v>
      </c>
      <c r="E235" s="2">
        <v>12</v>
      </c>
      <c r="F235" s="2">
        <v>1</v>
      </c>
      <c r="G235" s="2">
        <v>2</v>
      </c>
      <c r="H235" s="1">
        <v>0</v>
      </c>
      <c r="I235" s="1">
        <f>IF(H235 + I234 &lt; 0, H235 + I234, 0)</f>
        <v>0</v>
      </c>
      <c r="J235" s="1">
        <v>0</v>
      </c>
      <c r="K235" s="1">
        <f>IF(J235 + K234 &lt; 0, J235 + K234, 0)</f>
        <v>0</v>
      </c>
      <c r="L235" s="1">
        <v>0</v>
      </c>
      <c r="M235" s="1">
        <f>IF(L235 + M234 &lt; 0, L235 + M234, 0)</f>
        <v>0</v>
      </c>
      <c r="N235" s="1">
        <v>0</v>
      </c>
      <c r="O235" s="1">
        <f>IF(N235 + O234 &lt; 0, N235 + O234, 0)</f>
        <v>0</v>
      </c>
      <c r="P235" s="1">
        <v>0</v>
      </c>
      <c r="Q235" s="1">
        <f>IF(P235 + Q234 &lt; 0, P235 + Q234, 0)</f>
        <v>0</v>
      </c>
      <c r="R235" s="1">
        <v>0</v>
      </c>
      <c r="S235" s="1">
        <f>IF(R235 + S234 &lt; 0, R235 + S234, 0)</f>
        <v>0</v>
      </c>
      <c r="T235" s="1">
        <v>0</v>
      </c>
      <c r="U235" s="1">
        <f>IF(T235 + U234 &lt; 0, T235 + U234, 0)</f>
        <v>0</v>
      </c>
      <c r="V235" s="1">
        <v>0</v>
      </c>
      <c r="W235" s="1">
        <f>IF(V235 + W234 &lt; 0, V235 + W234, 0)</f>
        <v>0</v>
      </c>
      <c r="X235" s="1">
        <v>0</v>
      </c>
      <c r="Y235" s="1">
        <f>IF(X235 + Y234 &lt; 0, X235 + Y234, 0)</f>
        <v>0</v>
      </c>
      <c r="Z235" s="1">
        <v>1318248.495984396</v>
      </c>
      <c r="AA235" s="1">
        <f>IF(Z235 + AA234 &lt; 0, Z235 + AA234, 0)</f>
        <v>0</v>
      </c>
      <c r="AB235" s="1">
        <v>1014945.972698077</v>
      </c>
      <c r="AC235" s="1">
        <f>IF(AB235 + AC234 &lt; 0, AB235 + AC234, 0)</f>
        <v>0</v>
      </c>
      <c r="AD235" s="1">
        <v>658930.6118797445</v>
      </c>
      <c r="AE235" s="1">
        <f>IF(AD235 + AE234 &lt; 0, AD235 + AE234, 0)</f>
        <v>0</v>
      </c>
      <c r="AF235" s="1">
        <v>0</v>
      </c>
      <c r="AG235" s="1">
        <f>IF(AF235 + AG234 &lt; 0, AF235 + AG234, 0)</f>
        <v>0</v>
      </c>
      <c r="AH235" s="1">
        <v>0</v>
      </c>
      <c r="AI235" s="1">
        <f>IF(AH235 + AI234 &lt; 0, AH235 + AI234, 0)</f>
        <v>0</v>
      </c>
      <c r="AJ235" s="1">
        <v>0</v>
      </c>
      <c r="AK235" s="1">
        <f>IF(AJ235 + AK234 &lt; 0, AJ235 + AK234, 0)</f>
        <v>0</v>
      </c>
    </row>
    <row r="236" spans="1:37" s="1" customFormat="1">
      <c r="A236" s="3">
        <v>45639</v>
      </c>
      <c r="B236" s="2" t="s">
        <v>26</v>
      </c>
      <c r="C236" s="2">
        <v>8</v>
      </c>
      <c r="D236" s="2">
        <v>12</v>
      </c>
      <c r="E236" s="2">
        <v>11</v>
      </c>
      <c r="F236" s="2">
        <v>5</v>
      </c>
      <c r="G236" s="2">
        <v>1</v>
      </c>
      <c r="H236" s="1">
        <v>0</v>
      </c>
      <c r="I236" s="1">
        <f>IF(H236 + I235 &lt; 0, H236 + I235, 0)</f>
        <v>0</v>
      </c>
      <c r="J236" s="1">
        <v>0</v>
      </c>
      <c r="K236" s="1">
        <f>IF(J236 + K235 &lt; 0, J236 + K235, 0)</f>
        <v>0</v>
      </c>
      <c r="L236" s="1">
        <v>0</v>
      </c>
      <c r="M236" s="1">
        <f>IF(L236 + M235 &lt; 0, L236 + M235, 0)</f>
        <v>0</v>
      </c>
      <c r="N236" s="1">
        <v>0</v>
      </c>
      <c r="O236" s="1">
        <f>IF(N236 + O235 &lt; 0, N236 + O235, 0)</f>
        <v>0</v>
      </c>
      <c r="P236" s="1">
        <v>0</v>
      </c>
      <c r="Q236" s="1">
        <f>IF(P236 + Q235 &lt; 0, P236 + Q235, 0)</f>
        <v>0</v>
      </c>
      <c r="R236" s="1">
        <v>0</v>
      </c>
      <c r="S236" s="1">
        <f>IF(R236 + S235 &lt; 0, R236 + S235, 0)</f>
        <v>0</v>
      </c>
      <c r="T236" s="1">
        <v>0</v>
      </c>
      <c r="U236" s="1">
        <f>IF(T236 + U235 &lt; 0, T236 + U235, 0)</f>
        <v>0</v>
      </c>
      <c r="V236" s="1">
        <v>0</v>
      </c>
      <c r="W236" s="1">
        <f>IF(V236 + W235 &lt; 0, V236 + W235, 0)</f>
        <v>0</v>
      </c>
      <c r="X236" s="1">
        <v>0</v>
      </c>
      <c r="Y236" s="1">
        <f>IF(X236 + Y235 &lt; 0, X236 + Y235, 0)</f>
        <v>0</v>
      </c>
      <c r="Z236" s="1">
        <v>0</v>
      </c>
      <c r="AA236" s="1">
        <f>IF(Z236 + AA235 &lt; 0, Z236 + AA235, 0)</f>
        <v>0</v>
      </c>
      <c r="AB236" s="1">
        <v>0</v>
      </c>
      <c r="AC236" s="1">
        <f>IF(AB236 + AC235 &lt; 0, AB236 + AC235, 0)</f>
        <v>0</v>
      </c>
      <c r="AD236" s="1">
        <v>0</v>
      </c>
      <c r="AE236" s="1">
        <f>IF(AD236 + AE235 &lt; 0, AD236 + AE235, 0)</f>
        <v>0</v>
      </c>
      <c r="AF236" s="1">
        <v>677453.8503913424</v>
      </c>
      <c r="AG236" s="1">
        <f>IF(AF236 + AG235 &lt; 0, AF236 + AG235, 0)</f>
        <v>0</v>
      </c>
      <c r="AH236" s="1">
        <v>314512.031446405</v>
      </c>
      <c r="AI236" s="1">
        <f>IF(AH236 + AI235 &lt; 0, AH236 + AI235, 0)</f>
        <v>0</v>
      </c>
      <c r="AJ236" s="1">
        <v>18609.36515608872</v>
      </c>
      <c r="AK236" s="1">
        <f>IF(AJ236 + AK235 &lt; 0, AJ236 + AK235, 0)</f>
        <v>0</v>
      </c>
    </row>
    <row r="237" spans="1:37" s="1" customFormat="1">
      <c r="A237" s="3">
        <v>45642</v>
      </c>
      <c r="B237" s="2" t="s">
        <v>22</v>
      </c>
      <c r="C237" s="2">
        <v>7</v>
      </c>
      <c r="D237" s="2">
        <v>11</v>
      </c>
      <c r="E237" s="2">
        <v>10</v>
      </c>
      <c r="F237" s="2">
        <v>4</v>
      </c>
      <c r="G237" s="2">
        <v>5</v>
      </c>
      <c r="H237" s="1">
        <v>0</v>
      </c>
      <c r="I237" s="1">
        <f>IF(H237 + I236 &lt; 0, H237 + I236, 0)</f>
        <v>0</v>
      </c>
      <c r="J237" s="1">
        <v>0</v>
      </c>
      <c r="K237" s="1">
        <f>IF(J237 + K236 &lt; 0, J237 + K236, 0)</f>
        <v>0</v>
      </c>
      <c r="L237" s="1">
        <v>0</v>
      </c>
      <c r="M237" s="1">
        <f>IF(L237 + M236 &lt; 0, L237 + M236, 0)</f>
        <v>0</v>
      </c>
      <c r="N237" s="1">
        <v>0</v>
      </c>
      <c r="O237" s="1">
        <f>IF(N237 + O236 &lt; 0, N237 + O236, 0)</f>
        <v>0</v>
      </c>
      <c r="P237" s="1">
        <v>0</v>
      </c>
      <c r="Q237" s="1">
        <f>IF(P237 + Q236 &lt; 0, P237 + Q236, 0)</f>
        <v>0</v>
      </c>
      <c r="R237" s="1">
        <v>0</v>
      </c>
      <c r="S237" s="1">
        <f>IF(R237 + S236 &lt; 0, R237 + S236, 0)</f>
        <v>0</v>
      </c>
      <c r="T237" s="1">
        <v>0</v>
      </c>
      <c r="U237" s="1">
        <f>IF(T237 + U236 &lt; 0, T237 + U236, 0)</f>
        <v>0</v>
      </c>
      <c r="V237" s="1">
        <v>0</v>
      </c>
      <c r="W237" s="1">
        <f>IF(V237 + W236 &lt; 0, V237 + W236, 0)</f>
        <v>0</v>
      </c>
      <c r="X237" s="1">
        <v>0</v>
      </c>
      <c r="Y237" s="1">
        <f>IF(X237 + Y236 &lt; 0, X237 + Y236, 0)</f>
        <v>0</v>
      </c>
      <c r="Z237" s="1">
        <v>0</v>
      </c>
      <c r="AA237" s="1">
        <f>IF(Z237 + AA236 &lt; 0, Z237 + AA236, 0)</f>
        <v>0</v>
      </c>
      <c r="AB237" s="1">
        <v>0</v>
      </c>
      <c r="AC237" s="1">
        <f>IF(AB237 + AC236 &lt; 0, AB237 + AC236, 0)</f>
        <v>0</v>
      </c>
      <c r="AD237" s="1">
        <v>0</v>
      </c>
      <c r="AE237" s="1">
        <f>IF(AD237 + AE236 &lt; 0, AD237 + AE236, 0)</f>
        <v>0</v>
      </c>
      <c r="AF237" s="1">
        <v>0</v>
      </c>
      <c r="AG237" s="1">
        <f>IF(AF237 + AG236 &lt; 0, AF237 + AG236, 0)</f>
        <v>0</v>
      </c>
      <c r="AH237" s="1">
        <v>0</v>
      </c>
      <c r="AI237" s="1">
        <f>IF(AH237 + AI236 &lt; 0, AH237 + AI236, 0)</f>
        <v>0</v>
      </c>
      <c r="AJ237" s="1">
        <v>0</v>
      </c>
      <c r="AK237" s="1">
        <f>IF(AJ237 + AK236 &lt; 0, AJ237 + AK236, 0)</f>
        <v>0</v>
      </c>
    </row>
    <row r="238" spans="1:37" s="1" customFormat="1">
      <c r="A238" s="3">
        <v>45643</v>
      </c>
      <c r="B238" s="2" t="s">
        <v>23</v>
      </c>
      <c r="C238" s="2">
        <v>6</v>
      </c>
      <c r="D238" s="2">
        <v>10</v>
      </c>
      <c r="E238" s="2">
        <v>9</v>
      </c>
      <c r="F238" s="2">
        <v>3</v>
      </c>
      <c r="G238" s="2">
        <v>4</v>
      </c>
      <c r="H238" s="1">
        <v>0</v>
      </c>
      <c r="I238" s="1">
        <f>IF(H238 + I237 &lt; 0, H238 + I237, 0)</f>
        <v>0</v>
      </c>
      <c r="J238" s="1">
        <v>0</v>
      </c>
      <c r="K238" s="1">
        <f>IF(J238 + K237 &lt; 0, J238 + K237, 0)</f>
        <v>0</v>
      </c>
      <c r="L238" s="1">
        <v>0</v>
      </c>
      <c r="M238" s="1">
        <f>IF(L238 + M237 &lt; 0, L238 + M237, 0)</f>
        <v>0</v>
      </c>
      <c r="N238" s="1">
        <v>0</v>
      </c>
      <c r="O238" s="1">
        <f>IF(N238 + O237 &lt; 0, N238 + O237, 0)</f>
        <v>0</v>
      </c>
      <c r="P238" s="1">
        <v>0</v>
      </c>
      <c r="Q238" s="1">
        <f>IF(P238 + Q237 &lt; 0, P238 + Q237, 0)</f>
        <v>0</v>
      </c>
      <c r="R238" s="1">
        <v>0</v>
      </c>
      <c r="S238" s="1">
        <f>IF(R238 + S237 &lt; 0, R238 + S237, 0)</f>
        <v>0</v>
      </c>
      <c r="T238" s="1">
        <v>0</v>
      </c>
      <c r="U238" s="1">
        <f>IF(T238 + U237 &lt; 0, T238 + U237, 0)</f>
        <v>0</v>
      </c>
      <c r="V238" s="1">
        <v>0</v>
      </c>
      <c r="W238" s="1">
        <f>IF(V238 + W237 &lt; 0, V238 + W237, 0)</f>
        <v>0</v>
      </c>
      <c r="X238" s="1">
        <v>0</v>
      </c>
      <c r="Y238" s="1">
        <f>IF(X238 + Y237 &lt; 0, X238 + Y237, 0)</f>
        <v>0</v>
      </c>
      <c r="Z238" s="1">
        <v>0</v>
      </c>
      <c r="AA238" s="1">
        <f>IF(Z238 + AA237 &lt; 0, Z238 + AA237, 0)</f>
        <v>0</v>
      </c>
      <c r="AB238" s="1">
        <v>0</v>
      </c>
      <c r="AC238" s="1">
        <f>IF(AB238 + AC237 &lt; 0, AB238 + AC237, 0)</f>
        <v>0</v>
      </c>
      <c r="AD238" s="1">
        <v>0</v>
      </c>
      <c r="AE238" s="1">
        <f>IF(AD238 + AE237 &lt; 0, AD238 + AE237, 0)</f>
        <v>0</v>
      </c>
      <c r="AF238" s="1">
        <v>0</v>
      </c>
      <c r="AG238" s="1">
        <f>IF(AF238 + AG237 &lt; 0, AF238 + AG237, 0)</f>
        <v>0</v>
      </c>
      <c r="AH238" s="1">
        <v>0</v>
      </c>
      <c r="AI238" s="1">
        <f>IF(AH238 + AI237 &lt; 0, AH238 + AI237, 0)</f>
        <v>0</v>
      </c>
      <c r="AJ238" s="1">
        <v>0</v>
      </c>
      <c r="AK238" s="1">
        <f>IF(AJ238 + AK237 &lt; 0, AJ238 + AK237, 0)</f>
        <v>0</v>
      </c>
    </row>
    <row r="239" spans="1:37" s="1" customFormat="1">
      <c r="A239" s="3">
        <v>45644</v>
      </c>
      <c r="B239" s="2" t="s">
        <v>24</v>
      </c>
      <c r="C239" s="2">
        <v>5</v>
      </c>
      <c r="D239" s="2">
        <v>9</v>
      </c>
      <c r="E239" s="2">
        <v>8</v>
      </c>
      <c r="F239" s="2">
        <v>2</v>
      </c>
      <c r="G239" s="2">
        <v>3</v>
      </c>
      <c r="H239" s="1">
        <v>0</v>
      </c>
      <c r="I239" s="1">
        <f>IF(H239 + I238 &lt; 0, H239 + I238, 0)</f>
        <v>0</v>
      </c>
      <c r="J239" s="1">
        <v>0</v>
      </c>
      <c r="K239" s="1">
        <f>IF(J239 + K238 &lt; 0, J239 + K238, 0)</f>
        <v>0</v>
      </c>
      <c r="L239" s="1">
        <v>0</v>
      </c>
      <c r="M239" s="1">
        <f>IF(L239 + M238 &lt; 0, L239 + M238, 0)</f>
        <v>0</v>
      </c>
      <c r="N239" s="1">
        <v>0</v>
      </c>
      <c r="O239" s="1">
        <f>IF(N239 + O238 &lt; 0, N239 + O238, 0)</f>
        <v>0</v>
      </c>
      <c r="P239" s="1">
        <v>0</v>
      </c>
      <c r="Q239" s="1">
        <f>IF(P239 + Q238 &lt; 0, P239 + Q238, 0)</f>
        <v>0</v>
      </c>
      <c r="R239" s="1">
        <v>0</v>
      </c>
      <c r="S239" s="1">
        <f>IF(R239 + S238 &lt; 0, R239 + S238, 0)</f>
        <v>0</v>
      </c>
      <c r="T239" s="1">
        <v>0</v>
      </c>
      <c r="U239" s="1">
        <f>IF(T239 + U238 &lt; 0, T239 + U238, 0)</f>
        <v>0</v>
      </c>
      <c r="V239" s="1">
        <v>0</v>
      </c>
      <c r="W239" s="1">
        <f>IF(V239 + W238 &lt; 0, V239 + W238, 0)</f>
        <v>0</v>
      </c>
      <c r="X239" s="1">
        <v>0</v>
      </c>
      <c r="Y239" s="1">
        <f>IF(X239 + Y238 &lt; 0, X239 + Y238, 0)</f>
        <v>0</v>
      </c>
      <c r="Z239" s="1">
        <v>0</v>
      </c>
      <c r="AA239" s="1">
        <f>IF(Z239 + AA238 &lt; 0, Z239 + AA238, 0)</f>
        <v>0</v>
      </c>
      <c r="AB239" s="1">
        <v>0</v>
      </c>
      <c r="AC239" s="1">
        <f>IF(AB239 + AC238 &lt; 0, AB239 + AC238, 0)</f>
        <v>0</v>
      </c>
      <c r="AD239" s="1">
        <v>0</v>
      </c>
      <c r="AE239" s="1">
        <f>IF(AD239 + AE238 &lt; 0, AD239 + AE238, 0)</f>
        <v>0</v>
      </c>
      <c r="AF239" s="1">
        <v>0</v>
      </c>
      <c r="AG239" s="1">
        <f>IF(AF239 + AG238 &lt; 0, AF239 + AG238, 0)</f>
        <v>0</v>
      </c>
      <c r="AH239" s="1">
        <v>0</v>
      </c>
      <c r="AI239" s="1">
        <f>IF(AH239 + AI238 &lt; 0, AH239 + AI238, 0)</f>
        <v>0</v>
      </c>
      <c r="AJ239" s="1">
        <v>0</v>
      </c>
      <c r="AK239" s="1">
        <f>IF(AJ239 + AK238 &lt; 0, AJ239 + AK238, 0)</f>
        <v>0</v>
      </c>
    </row>
    <row r="240" spans="1:37" s="1" customFormat="1">
      <c r="A240" s="3">
        <v>45645</v>
      </c>
      <c r="B240" s="2" t="s">
        <v>25</v>
      </c>
      <c r="C240" s="2">
        <v>4</v>
      </c>
      <c r="D240" s="2">
        <v>8</v>
      </c>
      <c r="E240" s="2">
        <v>7</v>
      </c>
      <c r="F240" s="2">
        <v>1</v>
      </c>
      <c r="G240" s="2">
        <v>2</v>
      </c>
      <c r="H240" s="1">
        <v>0</v>
      </c>
      <c r="I240" s="1">
        <f>IF(H240 + I239 &lt; 0, H240 + I239, 0)</f>
        <v>0</v>
      </c>
      <c r="J240" s="1">
        <v>0</v>
      </c>
      <c r="K240" s="1">
        <f>IF(J240 + K239 &lt; 0, J240 + K239, 0)</f>
        <v>0</v>
      </c>
      <c r="L240" s="1">
        <v>0</v>
      </c>
      <c r="M240" s="1">
        <f>IF(L240 + M239 &lt; 0, L240 + M239, 0)</f>
        <v>0</v>
      </c>
      <c r="N240" s="1">
        <v>0</v>
      </c>
      <c r="O240" s="1">
        <f>IF(N240 + O239 &lt; 0, N240 + O239, 0)</f>
        <v>0</v>
      </c>
      <c r="P240" s="1">
        <v>0</v>
      </c>
      <c r="Q240" s="1">
        <f>IF(P240 + Q239 &lt; 0, P240 + Q239, 0)</f>
        <v>0</v>
      </c>
      <c r="R240" s="1">
        <v>0</v>
      </c>
      <c r="S240" s="1">
        <f>IF(R240 + S239 &lt; 0, R240 + S239, 0)</f>
        <v>0</v>
      </c>
      <c r="T240" s="1">
        <v>0</v>
      </c>
      <c r="U240" s="1">
        <f>IF(T240 + U239 &lt; 0, T240 + U239, 0)</f>
        <v>0</v>
      </c>
      <c r="V240" s="1">
        <v>0</v>
      </c>
      <c r="W240" s="1">
        <f>IF(V240 + W239 &lt; 0, V240 + W239, 0)</f>
        <v>0</v>
      </c>
      <c r="X240" s="1">
        <v>0</v>
      </c>
      <c r="Y240" s="1">
        <f>IF(X240 + Y239 &lt; 0, X240 + Y239, 0)</f>
        <v>0</v>
      </c>
      <c r="Z240" s="1">
        <v>-440438.1626322572</v>
      </c>
      <c r="AA240" s="1">
        <f>IF(Z240 + AA239 &lt; 0, Z240 + AA239, 0)</f>
        <v>0</v>
      </c>
      <c r="AB240" s="1">
        <v>-82595.82891549038</v>
      </c>
      <c r="AC240" s="1">
        <f>IF(AB240 + AC239 &lt; 0, AB240 + AC239, 0)</f>
        <v>0</v>
      </c>
      <c r="AD240" s="1">
        <v>138512.5937885572</v>
      </c>
      <c r="AE240" s="1">
        <f>IF(AD240 + AE239 &lt; 0, AD240 + AE239, 0)</f>
        <v>0</v>
      </c>
      <c r="AF240" s="1">
        <v>0</v>
      </c>
      <c r="AG240" s="1">
        <f>IF(AF240 + AG239 &lt; 0, AF240 + AG239, 0)</f>
        <v>0</v>
      </c>
      <c r="AH240" s="1">
        <v>0</v>
      </c>
      <c r="AI240" s="1">
        <f>IF(AH240 + AI239 &lt; 0, AH240 + AI239, 0)</f>
        <v>0</v>
      </c>
      <c r="AJ240" s="1">
        <v>0</v>
      </c>
      <c r="AK240" s="1">
        <f>IF(AJ240 + AK239 &lt; 0, AJ240 + AK239, 0)</f>
        <v>0</v>
      </c>
    </row>
    <row r="241" spans="1:37" s="1" customFormat="1">
      <c r="A241" s="3">
        <v>45646</v>
      </c>
      <c r="B241" s="2" t="s">
        <v>26</v>
      </c>
      <c r="C241" s="2">
        <v>3</v>
      </c>
      <c r="D241" s="2">
        <v>7</v>
      </c>
      <c r="E241" s="2">
        <v>6</v>
      </c>
      <c r="F241" s="2">
        <v>4</v>
      </c>
      <c r="G241" s="2">
        <v>1</v>
      </c>
      <c r="H241" s="1">
        <v>0</v>
      </c>
      <c r="I241" s="1">
        <f>IF(H241 + I240 &lt; 0, H241 + I240, 0)</f>
        <v>0</v>
      </c>
      <c r="J241" s="1">
        <v>0</v>
      </c>
      <c r="K241" s="1">
        <f>IF(J241 + K240 &lt; 0, J241 + K240, 0)</f>
        <v>0</v>
      </c>
      <c r="L241" s="1">
        <v>0</v>
      </c>
      <c r="M241" s="1">
        <f>IF(L241 + M240 &lt; 0, L241 + M240, 0)</f>
        <v>0</v>
      </c>
      <c r="N241" s="1">
        <v>0</v>
      </c>
      <c r="O241" s="1">
        <f>IF(N241 + O240 &lt; 0, N241 + O240, 0)</f>
        <v>0</v>
      </c>
      <c r="P241" s="1">
        <v>0</v>
      </c>
      <c r="Q241" s="1">
        <f>IF(P241 + Q240 &lt; 0, P241 + Q240, 0)</f>
        <v>0</v>
      </c>
      <c r="R241" s="1">
        <v>0</v>
      </c>
      <c r="S241" s="1">
        <f>IF(R241 + S240 &lt; 0, R241 + S240, 0)</f>
        <v>0</v>
      </c>
      <c r="T241" s="1">
        <v>0</v>
      </c>
      <c r="U241" s="1">
        <f>IF(T241 + U240 &lt; 0, T241 + U240, 0)</f>
        <v>0</v>
      </c>
      <c r="V241" s="1">
        <v>0</v>
      </c>
      <c r="W241" s="1">
        <f>IF(V241 + W240 &lt; 0, V241 + W240, 0)</f>
        <v>0</v>
      </c>
      <c r="X241" s="1">
        <v>0</v>
      </c>
      <c r="Y241" s="1">
        <f>IF(X241 + Y240 &lt; 0, X241 + Y240, 0)</f>
        <v>0</v>
      </c>
      <c r="Z241" s="1">
        <v>0</v>
      </c>
      <c r="AA241" s="1">
        <f>IF(Z241 + AA240 &lt; 0, Z241 + AA240, 0)</f>
        <v>0</v>
      </c>
      <c r="AB241" s="1">
        <v>0</v>
      </c>
      <c r="AC241" s="1">
        <f>IF(AB241 + AC240 &lt; 0, AB241 + AC240, 0)</f>
        <v>0</v>
      </c>
      <c r="AD241" s="1">
        <v>0</v>
      </c>
      <c r="AE241" s="1">
        <f>IF(AD241 + AE240 &lt; 0, AD241 + AE240, 0)</f>
        <v>0</v>
      </c>
      <c r="AF241" s="1">
        <v>-1370975.724015625</v>
      </c>
      <c r="AG241" s="1">
        <f>IF(AF241 + AG240 &lt; 0, AF241 + AG240, 0)</f>
        <v>0</v>
      </c>
      <c r="AH241" s="1">
        <v>-915729.4341738297</v>
      </c>
      <c r="AI241" s="1">
        <f>IF(AH241 + AI240 &lt; 0, AH241 + AI240, 0)</f>
        <v>0</v>
      </c>
      <c r="AJ241" s="1">
        <v>-828699.3761062804</v>
      </c>
      <c r="AK241" s="1">
        <f>IF(AJ241 + AK240 &lt; 0, AJ241 + AK240, 0)</f>
        <v>0</v>
      </c>
    </row>
    <row r="242" spans="1:37" s="1" customFormat="1">
      <c r="A242" s="3">
        <v>45649</v>
      </c>
      <c r="B242" s="2" t="s">
        <v>22</v>
      </c>
      <c r="C242" s="2">
        <v>2</v>
      </c>
      <c r="D242" s="2">
        <v>6</v>
      </c>
      <c r="E242" s="2">
        <v>5</v>
      </c>
      <c r="F242" s="2">
        <v>3</v>
      </c>
      <c r="G242" s="2">
        <v>4</v>
      </c>
      <c r="H242" s="1">
        <v>0</v>
      </c>
      <c r="I242" s="1">
        <f>IF(H242 + I241 &lt; 0, H242 + I241, 0)</f>
        <v>0</v>
      </c>
      <c r="J242" s="1">
        <v>0</v>
      </c>
      <c r="K242" s="1">
        <f>IF(J242 + K241 &lt; 0, J242 + K241, 0)</f>
        <v>0</v>
      </c>
      <c r="L242" s="1">
        <v>0</v>
      </c>
      <c r="M242" s="1">
        <f>IF(L242 + M241 &lt; 0, L242 + M241, 0)</f>
        <v>0</v>
      </c>
      <c r="N242" s="1">
        <v>0</v>
      </c>
      <c r="O242" s="1">
        <f>IF(N242 + O241 &lt; 0, N242 + O241, 0)</f>
        <v>0</v>
      </c>
      <c r="P242" s="1">
        <v>0</v>
      </c>
      <c r="Q242" s="1">
        <f>IF(P242 + Q241 &lt; 0, P242 + Q241, 0)</f>
        <v>0</v>
      </c>
      <c r="R242" s="1">
        <v>0</v>
      </c>
      <c r="S242" s="1">
        <f>IF(R242 + S241 &lt; 0, R242 + S241, 0)</f>
        <v>0</v>
      </c>
      <c r="T242" s="1">
        <v>0</v>
      </c>
      <c r="U242" s="1">
        <f>IF(T242 + U241 &lt; 0, T242 + U241, 0)</f>
        <v>0</v>
      </c>
      <c r="V242" s="1">
        <v>0</v>
      </c>
      <c r="W242" s="1">
        <f>IF(V242 + W241 &lt; 0, V242 + W241, 0)</f>
        <v>0</v>
      </c>
      <c r="X242" s="1">
        <v>0</v>
      </c>
      <c r="Y242" s="1">
        <f>IF(X242 + Y241 &lt; 0, X242 + Y241, 0)</f>
        <v>0</v>
      </c>
      <c r="Z242" s="1">
        <v>0</v>
      </c>
      <c r="AA242" s="1">
        <f>IF(Z242 + AA241 &lt; 0, Z242 + AA241, 0)</f>
        <v>0</v>
      </c>
      <c r="AB242" s="1">
        <v>0</v>
      </c>
      <c r="AC242" s="1">
        <f>IF(AB242 + AC241 &lt; 0, AB242 + AC241, 0)</f>
        <v>0</v>
      </c>
      <c r="AD242" s="1">
        <v>0</v>
      </c>
      <c r="AE242" s="1">
        <f>IF(AD242 + AE241 &lt; 0, AD242 + AE241, 0)</f>
        <v>0</v>
      </c>
      <c r="AF242" s="1">
        <v>0</v>
      </c>
      <c r="AG242" s="1">
        <f>IF(AF242 + AG241 &lt; 0, AF242 + AG241, 0)</f>
        <v>0</v>
      </c>
      <c r="AH242" s="1">
        <v>0</v>
      </c>
      <c r="AI242" s="1">
        <f>IF(AH242 + AI241 &lt; 0, AH242 + AI241, 0)</f>
        <v>0</v>
      </c>
      <c r="AJ242" s="1">
        <v>0</v>
      </c>
      <c r="AK242" s="1">
        <f>IF(AJ242 + AK241 &lt; 0, AJ242 + AK241, 0)</f>
        <v>0</v>
      </c>
    </row>
    <row r="243" spans="1:37" s="1" customFormat="1">
      <c r="A243" s="3">
        <v>45650</v>
      </c>
      <c r="B243" s="2" t="s">
        <v>23</v>
      </c>
      <c r="C243" s="2">
        <v>1</v>
      </c>
      <c r="D243" s="2">
        <v>5</v>
      </c>
      <c r="E243" s="2">
        <v>4</v>
      </c>
      <c r="F243" s="2">
        <v>2</v>
      </c>
      <c r="G243" s="2">
        <v>3</v>
      </c>
      <c r="H243" s="1">
        <v>0</v>
      </c>
      <c r="I243" s="1">
        <f>IF(H243 + I242 &lt; 0, H243 + I242, 0)</f>
        <v>0</v>
      </c>
      <c r="J243" s="1">
        <v>0</v>
      </c>
      <c r="K243" s="1">
        <f>IF(J243 + K242 &lt; 0, J243 + K242, 0)</f>
        <v>0</v>
      </c>
      <c r="L243" s="1">
        <v>0</v>
      </c>
      <c r="M243" s="1">
        <f>IF(L243 + M242 &lt; 0, L243 + M242, 0)</f>
        <v>0</v>
      </c>
      <c r="N243" s="1">
        <v>0</v>
      </c>
      <c r="O243" s="1">
        <f>IF(N243 + O242 &lt; 0, N243 + O242, 0)</f>
        <v>0</v>
      </c>
      <c r="P243" s="1">
        <v>0</v>
      </c>
      <c r="Q243" s="1">
        <f>IF(P243 + Q242 &lt; 0, P243 + Q242, 0)</f>
        <v>0</v>
      </c>
      <c r="R243" s="1">
        <v>0</v>
      </c>
      <c r="S243" s="1">
        <f>IF(R243 + S242 &lt; 0, R243 + S242, 0)</f>
        <v>0</v>
      </c>
      <c r="T243" s="1">
        <v>0</v>
      </c>
      <c r="U243" s="1">
        <f>IF(T243 + U242 &lt; 0, T243 + U242, 0)</f>
        <v>0</v>
      </c>
      <c r="V243" s="1">
        <v>0</v>
      </c>
      <c r="W243" s="1">
        <f>IF(V243 + W242 &lt; 0, V243 + W242, 0)</f>
        <v>0</v>
      </c>
      <c r="X243" s="1">
        <v>0</v>
      </c>
      <c r="Y243" s="1">
        <f>IF(X243 + Y242 &lt; 0, X243 + Y242, 0)</f>
        <v>0</v>
      </c>
      <c r="Z243" s="1">
        <v>0</v>
      </c>
      <c r="AA243" s="1">
        <f>IF(Z243 + AA242 &lt; 0, Z243 + AA242, 0)</f>
        <v>0</v>
      </c>
      <c r="AB243" s="1">
        <v>0</v>
      </c>
      <c r="AC243" s="1">
        <f>IF(AB243 + AC242 &lt; 0, AB243 + AC242, 0)</f>
        <v>0</v>
      </c>
      <c r="AD243" s="1">
        <v>0</v>
      </c>
      <c r="AE243" s="1">
        <f>IF(AD243 + AE242 &lt; 0, AD243 + AE242, 0)</f>
        <v>0</v>
      </c>
      <c r="AF243" s="1">
        <v>0</v>
      </c>
      <c r="AG243" s="1">
        <f>IF(AF243 + AG242 &lt; 0, AF243 + AG242, 0)</f>
        <v>0</v>
      </c>
      <c r="AH243" s="1">
        <v>0</v>
      </c>
      <c r="AI243" s="1">
        <f>IF(AH243 + AI242 &lt; 0, AH243 + AI242, 0)</f>
        <v>0</v>
      </c>
      <c r="AJ243" s="1">
        <v>0</v>
      </c>
      <c r="AK243" s="1">
        <f>IF(AJ243 + AK242 &lt; 0, AJ243 + AK242, 0)</f>
        <v>0</v>
      </c>
    </row>
    <row r="244" spans="1:37" s="1" customFormat="1">
      <c r="A244" s="3">
        <v>45652</v>
      </c>
      <c r="B244" s="2" t="s">
        <v>25</v>
      </c>
      <c r="C244" s="2">
        <v>26</v>
      </c>
      <c r="D244" s="2">
        <v>4</v>
      </c>
      <c r="E244" s="2">
        <v>3</v>
      </c>
      <c r="F244" s="2">
        <v>1</v>
      </c>
      <c r="G244" s="2">
        <v>2</v>
      </c>
      <c r="H244" s="1">
        <v>0</v>
      </c>
      <c r="I244" s="1">
        <f>IF(H244 + I243 &lt; 0, H244 + I243, 0)</f>
        <v>0</v>
      </c>
      <c r="J244" s="1">
        <v>0</v>
      </c>
      <c r="K244" s="1">
        <f>IF(J244 + K243 &lt; 0, J244 + K243, 0)</f>
        <v>0</v>
      </c>
      <c r="L244" s="1">
        <v>0</v>
      </c>
      <c r="M244" s="1">
        <f>IF(L244 + M243 &lt; 0, L244 + M243, 0)</f>
        <v>0</v>
      </c>
      <c r="N244" s="1">
        <v>0</v>
      </c>
      <c r="O244" s="1">
        <f>IF(N244 + O243 &lt; 0, N244 + O243, 0)</f>
        <v>0</v>
      </c>
      <c r="P244" s="1">
        <v>0</v>
      </c>
      <c r="Q244" s="1">
        <f>IF(P244 + Q243 &lt; 0, P244 + Q243, 0)</f>
        <v>0</v>
      </c>
      <c r="R244" s="1">
        <v>0</v>
      </c>
      <c r="S244" s="1">
        <f>IF(R244 + S243 &lt; 0, R244 + S243, 0)</f>
        <v>0</v>
      </c>
      <c r="T244" s="1">
        <v>0</v>
      </c>
      <c r="U244" s="1">
        <f>IF(T244 + U243 &lt; 0, T244 + U243, 0)</f>
        <v>0</v>
      </c>
      <c r="V244" s="1">
        <v>0</v>
      </c>
      <c r="W244" s="1">
        <f>IF(V244 + W243 &lt; 0, V244 + W243, 0)</f>
        <v>0</v>
      </c>
      <c r="X244" s="1">
        <v>0</v>
      </c>
      <c r="Y244" s="1">
        <f>IF(X244 + Y243 &lt; 0, X244 + Y243, 0)</f>
        <v>0</v>
      </c>
      <c r="Z244" s="1">
        <v>552188.1130864453</v>
      </c>
      <c r="AA244" s="1">
        <f>IF(Z244 + AA243 &lt; 0, Z244 + AA243, 0)</f>
        <v>0</v>
      </c>
      <c r="AB244" s="1">
        <v>552188.1130864453</v>
      </c>
      <c r="AC244" s="1">
        <f>IF(AB244 + AC243 &lt; 0, AB244 + AC243, 0)</f>
        <v>0</v>
      </c>
      <c r="AD244" s="1">
        <v>416036.551626138</v>
      </c>
      <c r="AE244" s="1">
        <f>IF(AD244 + AE243 &lt; 0, AD244 + AE243, 0)</f>
        <v>0</v>
      </c>
      <c r="AF244" s="1">
        <v>0</v>
      </c>
      <c r="AG244" s="1">
        <f>IF(AF244 + AG243 &lt; 0, AF244 + AG243, 0)</f>
        <v>0</v>
      </c>
      <c r="AH244" s="1">
        <v>0</v>
      </c>
      <c r="AI244" s="1">
        <f>IF(AH244 + AI243 &lt; 0, AH244 + AI243, 0)</f>
        <v>0</v>
      </c>
      <c r="AJ244" s="1">
        <v>0</v>
      </c>
      <c r="AK244" s="1">
        <f>IF(AJ244 + AK243 &lt; 0, AJ244 + AK243, 0)</f>
        <v>0</v>
      </c>
    </row>
    <row r="245" spans="1:37" s="1" customFormat="1">
      <c r="A245" s="3">
        <v>45653</v>
      </c>
      <c r="B245" s="2" t="s">
        <v>26</v>
      </c>
      <c r="C245" s="2">
        <v>25</v>
      </c>
      <c r="D245" s="2">
        <v>3</v>
      </c>
      <c r="E245" s="2">
        <v>2</v>
      </c>
      <c r="F245" s="2">
        <v>5</v>
      </c>
      <c r="G245" s="2">
        <v>1</v>
      </c>
      <c r="H245" s="1">
        <v>0</v>
      </c>
      <c r="I245" s="1">
        <f>IF(H245 + I244 &lt; 0, H245 + I244, 0)</f>
        <v>0</v>
      </c>
      <c r="J245" s="1">
        <v>0</v>
      </c>
      <c r="K245" s="1">
        <f>IF(J245 + K244 &lt; 0, J245 + K244, 0)</f>
        <v>0</v>
      </c>
      <c r="L245" s="1">
        <v>0</v>
      </c>
      <c r="M245" s="1">
        <f>IF(L245 + M244 &lt; 0, L245 + M244, 0)</f>
        <v>0</v>
      </c>
      <c r="N245" s="1">
        <v>0</v>
      </c>
      <c r="O245" s="1">
        <f>IF(N245 + O244 &lt; 0, N245 + O244, 0)</f>
        <v>0</v>
      </c>
      <c r="P245" s="1">
        <v>0</v>
      </c>
      <c r="Q245" s="1">
        <f>IF(P245 + Q244 &lt; 0, P245 + Q244, 0)</f>
        <v>0</v>
      </c>
      <c r="R245" s="1">
        <v>0</v>
      </c>
      <c r="S245" s="1">
        <f>IF(R245 + S244 &lt; 0, R245 + S244, 0)</f>
        <v>0</v>
      </c>
      <c r="T245" s="1">
        <v>0</v>
      </c>
      <c r="U245" s="1">
        <f>IF(T245 + U244 &lt; 0, T245 + U244, 0)</f>
        <v>0</v>
      </c>
      <c r="V245" s="1">
        <v>0</v>
      </c>
      <c r="W245" s="1">
        <f>IF(V245 + W244 &lt; 0, V245 + W244, 0)</f>
        <v>0</v>
      </c>
      <c r="X245" s="1">
        <v>0</v>
      </c>
      <c r="Y245" s="1">
        <f>IF(X245 + Y244 &lt; 0, X245 + Y244, 0)</f>
        <v>0</v>
      </c>
      <c r="Z245" s="1">
        <v>0</v>
      </c>
      <c r="AA245" s="1">
        <f>IF(Z245 + AA244 &lt; 0, Z245 + AA244, 0)</f>
        <v>0</v>
      </c>
      <c r="AB245" s="1">
        <v>0</v>
      </c>
      <c r="AC245" s="1">
        <f>IF(AB245 + AC244 &lt; 0, AB245 + AC244, 0)</f>
        <v>0</v>
      </c>
      <c r="AD245" s="1">
        <v>0</v>
      </c>
      <c r="AE245" s="1">
        <f>IF(AD245 + AE244 &lt; 0, AD245 + AE244, 0)</f>
        <v>0</v>
      </c>
      <c r="AF245" s="1">
        <v>1022916.390725799</v>
      </c>
      <c r="AG245" s="1">
        <f>IF(AF245 + AG244 &lt; 0, AF245 + AG244, 0)</f>
        <v>0</v>
      </c>
      <c r="AH245" s="1">
        <v>1022916.390725799</v>
      </c>
      <c r="AI245" s="1">
        <f>IF(AH245 + AI244 &lt; 0, AH245 + AI244, 0)</f>
        <v>0</v>
      </c>
      <c r="AJ245" s="1">
        <v>822455.0891026838</v>
      </c>
      <c r="AK245" s="1">
        <f>IF(AJ245 + AK244 &lt; 0, AJ245 + AK244, 0)</f>
        <v>0</v>
      </c>
    </row>
    <row r="246" spans="1:37" s="1" customFormat="1">
      <c r="A246" s="3">
        <v>45656</v>
      </c>
      <c r="B246" s="2" t="s">
        <v>22</v>
      </c>
      <c r="C246" s="2">
        <v>24</v>
      </c>
      <c r="D246" s="2">
        <v>2</v>
      </c>
      <c r="E246" s="2">
        <v>1</v>
      </c>
      <c r="F246" s="2">
        <v>4</v>
      </c>
      <c r="G246" s="2">
        <v>5</v>
      </c>
      <c r="H246" s="1">
        <v>0</v>
      </c>
      <c r="I246" s="1">
        <f>IF(H246 + I245 &lt; 0, H246 + I245, 0)</f>
        <v>0</v>
      </c>
      <c r="J246" s="1">
        <v>0</v>
      </c>
      <c r="K246" s="1">
        <f>IF(J246 + K245 &lt; 0, J246 + K245, 0)</f>
        <v>0</v>
      </c>
      <c r="L246" s="1">
        <v>0</v>
      </c>
      <c r="M246" s="1">
        <f>IF(L246 + M245 &lt; 0, L246 + M245, 0)</f>
        <v>0</v>
      </c>
      <c r="N246" s="1">
        <v>0</v>
      </c>
      <c r="O246" s="1">
        <f>IF(N246 + O245 &lt; 0, N246 + O245, 0)</f>
        <v>0</v>
      </c>
      <c r="P246" s="1">
        <v>0</v>
      </c>
      <c r="Q246" s="1">
        <f>IF(P246 + Q245 &lt; 0, P246 + Q245, 0)</f>
        <v>0</v>
      </c>
      <c r="R246" s="1">
        <v>0</v>
      </c>
      <c r="S246" s="1">
        <f>IF(R246 + S245 &lt; 0, R246 + S245, 0)</f>
        <v>0</v>
      </c>
      <c r="T246" s="1">
        <v>0</v>
      </c>
      <c r="U246" s="1">
        <f>IF(T246 + U245 &lt; 0, T246 + U245, 0)</f>
        <v>0</v>
      </c>
      <c r="V246" s="1">
        <v>0</v>
      </c>
      <c r="W246" s="1">
        <f>IF(V246 + W245 &lt; 0, V246 + W245, 0)</f>
        <v>0</v>
      </c>
      <c r="X246" s="1">
        <v>0</v>
      </c>
      <c r="Y246" s="1">
        <f>IF(X246 + Y245 &lt; 0, X246 + Y245, 0)</f>
        <v>0</v>
      </c>
      <c r="Z246" s="1">
        <v>0</v>
      </c>
      <c r="AA246" s="1">
        <f>IF(Z246 + AA245 &lt; 0, Z246 + AA245, 0)</f>
        <v>0</v>
      </c>
      <c r="AB246" s="1">
        <v>0</v>
      </c>
      <c r="AC246" s="1">
        <f>IF(AB246 + AC245 &lt; 0, AB246 + AC245, 0)</f>
        <v>0</v>
      </c>
      <c r="AD246" s="1">
        <v>0</v>
      </c>
      <c r="AE246" s="1">
        <f>IF(AD246 + AE245 &lt; 0, AD246 + AE245, 0)</f>
        <v>0</v>
      </c>
      <c r="AF246" s="1">
        <v>0</v>
      </c>
      <c r="AG246" s="1">
        <f>IF(AF246 + AG245 &lt; 0, AF246 + AG245, 0)</f>
        <v>0</v>
      </c>
      <c r="AH246" s="1">
        <v>0</v>
      </c>
      <c r="AI246" s="1">
        <f>IF(AH246 + AI245 &lt; 0, AH246 + AI245, 0)</f>
        <v>0</v>
      </c>
      <c r="AJ246" s="1">
        <v>0</v>
      </c>
      <c r="AK246" s="1">
        <f>IF(AJ246 + AK245 &lt; 0, AJ246 + AK245, 0)</f>
        <v>0</v>
      </c>
    </row>
    <row r="247" spans="1:37" s="1" customFormat="1">
      <c r="A247" s="3">
        <v>45657</v>
      </c>
      <c r="B247" s="2" t="s">
        <v>23</v>
      </c>
      <c r="C247" s="2">
        <v>23</v>
      </c>
      <c r="D247" s="2">
        <v>1</v>
      </c>
      <c r="E247" s="2">
        <v>23</v>
      </c>
      <c r="F247" s="2">
        <v>3</v>
      </c>
      <c r="G247" s="2">
        <v>4</v>
      </c>
      <c r="H247" s="1">
        <v>0</v>
      </c>
      <c r="I247" s="1">
        <f>IF(H247 + I246 &lt; 0, H247 + I246, 0)</f>
        <v>0</v>
      </c>
      <c r="J247" s="1">
        <v>0</v>
      </c>
      <c r="K247" s="1">
        <f>IF(J247 + K246 &lt; 0, J247 + K246, 0)</f>
        <v>0</v>
      </c>
      <c r="L247" s="1">
        <v>0</v>
      </c>
      <c r="M247" s="1">
        <f>IF(L247 + M246 &lt; 0, L247 + M246, 0)</f>
        <v>0</v>
      </c>
      <c r="N247" s="1">
        <v>0</v>
      </c>
      <c r="O247" s="1">
        <f>IF(N247 + O246 &lt; 0, N247 + O246, 0)</f>
        <v>0</v>
      </c>
      <c r="P247" s="1">
        <v>0</v>
      </c>
      <c r="Q247" s="1">
        <f>IF(P247 + Q246 &lt; 0, P247 + Q246, 0)</f>
        <v>0</v>
      </c>
      <c r="R247" s="1">
        <v>0</v>
      </c>
      <c r="S247" s="1">
        <f>IF(R247 + S246 &lt; 0, R247 + S246, 0)</f>
        <v>0</v>
      </c>
      <c r="T247" s="1">
        <v>0</v>
      </c>
      <c r="U247" s="1">
        <f>IF(T247 + U246 &lt; 0, T247 + U246, 0)</f>
        <v>0</v>
      </c>
      <c r="V247" s="1">
        <v>0</v>
      </c>
      <c r="W247" s="1">
        <f>IF(V247 + W246 &lt; 0, V247 + W246, 0)</f>
        <v>0</v>
      </c>
      <c r="X247" s="1">
        <v>0</v>
      </c>
      <c r="Y247" s="1">
        <f>IF(X247 + Y246 &lt; 0, X247 + Y246, 0)</f>
        <v>0</v>
      </c>
      <c r="Z247" s="1">
        <v>0</v>
      </c>
      <c r="AA247" s="1">
        <f>IF(Z247 + AA246 &lt; 0, Z247 + AA246, 0)</f>
        <v>0</v>
      </c>
      <c r="AB247" s="1">
        <v>0</v>
      </c>
      <c r="AC247" s="1">
        <f>IF(AB247 + AC246 &lt; 0, AB247 + AC246, 0)</f>
        <v>0</v>
      </c>
      <c r="AD247" s="1">
        <v>0</v>
      </c>
      <c r="AE247" s="1">
        <f>IF(AD247 + AE246 &lt; 0, AD247 + AE246, 0)</f>
        <v>0</v>
      </c>
      <c r="AF247" s="1">
        <v>0</v>
      </c>
      <c r="AG247" s="1">
        <f>IF(AF247 + AG246 &lt; 0, AF247 + AG246, 0)</f>
        <v>0</v>
      </c>
      <c r="AH247" s="1">
        <v>0</v>
      </c>
      <c r="AI247" s="1">
        <f>IF(AH247 + AI246 &lt; 0, AH247 + AI246, 0)</f>
        <v>0</v>
      </c>
      <c r="AJ247" s="1">
        <v>0</v>
      </c>
      <c r="AK247" s="1">
        <f>IF(AJ247 + AK246 &lt; 0, AJ247 + AK246, 0)</f>
        <v>0</v>
      </c>
    </row>
    <row r="248" spans="1:37" s="1" customFormat="1">
      <c r="A248" s="3">
        <v>45658</v>
      </c>
      <c r="B248" s="2" t="s">
        <v>24</v>
      </c>
      <c r="C248" s="2">
        <v>22</v>
      </c>
      <c r="D248" s="2">
        <v>22</v>
      </c>
      <c r="E248" s="2">
        <v>22</v>
      </c>
      <c r="F248" s="2">
        <v>2</v>
      </c>
      <c r="G248" s="2">
        <v>3</v>
      </c>
      <c r="H248" s="1">
        <v>0</v>
      </c>
      <c r="I248" s="1">
        <f>IF(H248 + I247 &lt; 0, H248 + I247, 0)</f>
        <v>0</v>
      </c>
      <c r="J248" s="1">
        <v>0</v>
      </c>
      <c r="K248" s="1">
        <f>IF(J248 + K247 &lt; 0, J248 + K247, 0)</f>
        <v>0</v>
      </c>
      <c r="L248" s="1">
        <v>0</v>
      </c>
      <c r="M248" s="1">
        <f>IF(L248 + M247 &lt; 0, L248 + M247, 0)</f>
        <v>0</v>
      </c>
      <c r="N248" s="1">
        <v>0</v>
      </c>
      <c r="O248" s="1">
        <f>IF(N248 + O247 &lt; 0, N248 + O247, 0)</f>
        <v>0</v>
      </c>
      <c r="P248" s="1">
        <v>0</v>
      </c>
      <c r="Q248" s="1">
        <f>IF(P248 + Q247 &lt; 0, P248 + Q247, 0)</f>
        <v>0</v>
      </c>
      <c r="R248" s="1">
        <v>0</v>
      </c>
      <c r="S248" s="1">
        <f>IF(R248 + S247 &lt; 0, R248 + S247, 0)</f>
        <v>0</v>
      </c>
      <c r="T248" s="1">
        <v>0</v>
      </c>
      <c r="U248" s="1">
        <f>IF(T248 + U247 &lt; 0, T248 + U247, 0)</f>
        <v>0</v>
      </c>
      <c r="V248" s="1">
        <v>0</v>
      </c>
      <c r="W248" s="1">
        <f>IF(V248 + W247 &lt; 0, V248 + W247, 0)</f>
        <v>0</v>
      </c>
      <c r="X248" s="1">
        <v>0</v>
      </c>
      <c r="Y248" s="1">
        <f>IF(X248 + Y247 &lt; 0, X248 + Y247, 0)</f>
        <v>0</v>
      </c>
      <c r="Z248" s="1">
        <v>0</v>
      </c>
      <c r="AA248" s="1">
        <f>IF(Z248 + AA247 &lt; 0, Z248 + AA247, 0)</f>
        <v>0</v>
      </c>
      <c r="AB248" s="1">
        <v>0</v>
      </c>
      <c r="AC248" s="1">
        <f>IF(AB248 + AC247 &lt; 0, AB248 + AC247, 0)</f>
        <v>0</v>
      </c>
      <c r="AD248" s="1">
        <v>0</v>
      </c>
      <c r="AE248" s="1">
        <f>IF(AD248 + AE247 &lt; 0, AD248 + AE247, 0)</f>
        <v>0</v>
      </c>
      <c r="AF248" s="1">
        <v>0</v>
      </c>
      <c r="AG248" s="1">
        <f>IF(AF248 + AG247 &lt; 0, AF248 + AG247, 0)</f>
        <v>0</v>
      </c>
      <c r="AH248" s="1">
        <v>0</v>
      </c>
      <c r="AI248" s="1">
        <f>IF(AH248 + AI247 &lt; 0, AH248 + AI247, 0)</f>
        <v>0</v>
      </c>
      <c r="AJ248" s="1">
        <v>0</v>
      </c>
      <c r="AK248" s="1">
        <f>IF(AJ248 + AK247 &lt; 0, AJ248 + AK247, 0)</f>
        <v>0</v>
      </c>
    </row>
    <row r="249" spans="1:37" s="1" customFormat="1">
      <c r="A249" s="3">
        <v>45659</v>
      </c>
      <c r="B249" s="2" t="s">
        <v>25</v>
      </c>
      <c r="C249" s="2">
        <v>21</v>
      </c>
      <c r="D249" s="2">
        <v>21</v>
      </c>
      <c r="E249" s="2">
        <v>21</v>
      </c>
      <c r="F249" s="2">
        <v>1</v>
      </c>
      <c r="G249" s="2">
        <v>2</v>
      </c>
      <c r="H249" s="1">
        <v>0</v>
      </c>
      <c r="I249" s="1">
        <f>IF(H249 + I248 &lt; 0, H249 + I248, 0)</f>
        <v>0</v>
      </c>
      <c r="J249" s="1">
        <v>0</v>
      </c>
      <c r="K249" s="1">
        <f>IF(J249 + K248 &lt; 0, J249 + K248, 0)</f>
        <v>0</v>
      </c>
      <c r="L249" s="1">
        <v>0</v>
      </c>
      <c r="M249" s="1">
        <f>IF(L249 + M248 &lt; 0, L249 + M248, 0)</f>
        <v>0</v>
      </c>
      <c r="N249" s="1">
        <v>0</v>
      </c>
      <c r="O249" s="1">
        <f>IF(N249 + O248 &lt; 0, N249 + O248, 0)</f>
        <v>0</v>
      </c>
      <c r="P249" s="1">
        <v>0</v>
      </c>
      <c r="Q249" s="1">
        <f>IF(P249 + Q248 &lt; 0, P249 + Q248, 0)</f>
        <v>0</v>
      </c>
      <c r="R249" s="1">
        <v>0</v>
      </c>
      <c r="S249" s="1">
        <f>IF(R249 + S248 &lt; 0, R249 + S248, 0)</f>
        <v>0</v>
      </c>
      <c r="T249" s="1">
        <v>0</v>
      </c>
      <c r="U249" s="1">
        <f>IF(T249 + U248 &lt; 0, T249 + U248, 0)</f>
        <v>0</v>
      </c>
      <c r="V249" s="1">
        <v>0</v>
      </c>
      <c r="W249" s="1">
        <f>IF(V249 + W248 &lt; 0, V249 + W248, 0)</f>
        <v>0</v>
      </c>
      <c r="X249" s="1">
        <v>0</v>
      </c>
      <c r="Y249" s="1">
        <f>IF(X249 + Y248 &lt; 0, X249 + Y248, 0)</f>
        <v>0</v>
      </c>
      <c r="Z249" s="1">
        <v>-640076.6750995278</v>
      </c>
      <c r="AA249" s="1">
        <f>IF(Z249 + AA248 &lt; 0, Z249 + AA248, 0)</f>
        <v>0</v>
      </c>
      <c r="AB249" s="1">
        <v>-739468.2138293054</v>
      </c>
      <c r="AC249" s="1">
        <f>IF(AB249 + AC248 &lt; 0, AB249 + AC248, 0)</f>
        <v>0</v>
      </c>
      <c r="AD249" s="1">
        <v>-306327.4319602767</v>
      </c>
      <c r="AE249" s="1">
        <f>IF(AD249 + AE248 &lt; 0, AD249 + AE248, 0)</f>
        <v>0</v>
      </c>
      <c r="AF249" s="1">
        <v>0</v>
      </c>
      <c r="AG249" s="1">
        <f>IF(AF249 + AG248 &lt; 0, AF249 + AG248, 0)</f>
        <v>0</v>
      </c>
      <c r="AH249" s="1">
        <v>0</v>
      </c>
      <c r="AI249" s="1">
        <f>IF(AH249 + AI248 &lt; 0, AH249 + AI248, 0)</f>
        <v>0</v>
      </c>
      <c r="AJ249" s="1">
        <v>0</v>
      </c>
      <c r="AK249" s="1">
        <f>IF(AJ249 + AK248 &lt; 0, AJ249 + AK248, 0)</f>
        <v>0</v>
      </c>
    </row>
    <row r="250" spans="1:37" s="1" customFormat="1">
      <c r="A250" s="3">
        <v>45660</v>
      </c>
      <c r="B250" s="2" t="s">
        <v>26</v>
      </c>
      <c r="C250" s="2">
        <v>20</v>
      </c>
      <c r="D250" s="2">
        <v>20</v>
      </c>
      <c r="E250" s="2">
        <v>20</v>
      </c>
      <c r="F250" s="2">
        <v>5</v>
      </c>
      <c r="G250" s="2">
        <v>1</v>
      </c>
      <c r="H250" s="1">
        <v>0</v>
      </c>
      <c r="I250" s="1">
        <f>IF(H250 + I249 &lt; 0, H250 + I249, 0)</f>
        <v>0</v>
      </c>
      <c r="J250" s="1">
        <v>0</v>
      </c>
      <c r="K250" s="1">
        <f>IF(J250 + K249 &lt; 0, J250 + K249, 0)</f>
        <v>0</v>
      </c>
      <c r="L250" s="1">
        <v>0</v>
      </c>
      <c r="M250" s="1">
        <f>IF(L250 + M249 &lt; 0, L250 + M249, 0)</f>
        <v>0</v>
      </c>
      <c r="N250" s="1">
        <v>0</v>
      </c>
      <c r="O250" s="1">
        <f>IF(N250 + O249 &lt; 0, N250 + O249, 0)</f>
        <v>0</v>
      </c>
      <c r="P250" s="1">
        <v>0</v>
      </c>
      <c r="Q250" s="1">
        <f>IF(P250 + Q249 &lt; 0, P250 + Q249, 0)</f>
        <v>0</v>
      </c>
      <c r="R250" s="1">
        <v>0</v>
      </c>
      <c r="S250" s="1">
        <f>IF(R250 + S249 &lt; 0, R250 + S249, 0)</f>
        <v>0</v>
      </c>
      <c r="T250" s="1">
        <v>0</v>
      </c>
      <c r="U250" s="1">
        <f>IF(T250 + U249 &lt; 0, T250 + U249, 0)</f>
        <v>0</v>
      </c>
      <c r="V250" s="1">
        <v>0</v>
      </c>
      <c r="W250" s="1">
        <f>IF(V250 + W249 &lt; 0, V250 + W249, 0)</f>
        <v>0</v>
      </c>
      <c r="X250" s="1">
        <v>0</v>
      </c>
      <c r="Y250" s="1">
        <f>IF(X250 + Y249 &lt; 0, X250 + Y249, 0)</f>
        <v>0</v>
      </c>
      <c r="Z250" s="1">
        <v>0</v>
      </c>
      <c r="AA250" s="1">
        <f>IF(Z250 + AA249 &lt; 0, Z250 + AA249, 0)</f>
        <v>0</v>
      </c>
      <c r="AB250" s="1">
        <v>0</v>
      </c>
      <c r="AC250" s="1">
        <f>IF(AB250 + AC249 &lt; 0, AB250 + AC249, 0)</f>
        <v>0</v>
      </c>
      <c r="AD250" s="1">
        <v>0</v>
      </c>
      <c r="AE250" s="1">
        <f>IF(AD250 + AE249 &lt; 0, AD250 + AE249, 0)</f>
        <v>0</v>
      </c>
      <c r="AF250" s="1">
        <v>190743.0634449697</v>
      </c>
      <c r="AG250" s="1">
        <f>IF(AF250 + AG249 &lt; 0, AF250 + AG249, 0)</f>
        <v>0</v>
      </c>
      <c r="AH250" s="1">
        <v>-280747.439132017</v>
      </c>
      <c r="AI250" s="1">
        <f>IF(AH250 + AI249 &lt; 0, AH250 + AI249, 0)</f>
        <v>0</v>
      </c>
      <c r="AJ250" s="1">
        <v>368954.3587384206</v>
      </c>
      <c r="AK250" s="1">
        <f>IF(AJ250 + AK249 &lt; 0, AJ250 + AK249, 0)</f>
        <v>0</v>
      </c>
    </row>
    <row r="251" spans="1:37" s="1" customFormat="1">
      <c r="A251" s="3">
        <v>45663</v>
      </c>
      <c r="B251" s="2" t="s">
        <v>22</v>
      </c>
      <c r="C251" s="2">
        <v>19</v>
      </c>
      <c r="D251" s="2">
        <v>19</v>
      </c>
      <c r="E251" s="2">
        <v>19</v>
      </c>
      <c r="F251" s="2">
        <v>4</v>
      </c>
      <c r="G251" s="2">
        <v>2</v>
      </c>
      <c r="H251" s="1">
        <v>0</v>
      </c>
      <c r="I251" s="1">
        <f>IF(H251 + I250 &lt; 0, H251 + I250, 0)</f>
        <v>0</v>
      </c>
      <c r="J251" s="1">
        <v>0</v>
      </c>
      <c r="K251" s="1">
        <f>IF(J251 + K250 &lt; 0, J251 + K250, 0)</f>
        <v>0</v>
      </c>
      <c r="L251" s="1">
        <v>0</v>
      </c>
      <c r="M251" s="1">
        <f>IF(L251 + M250 &lt; 0, L251 + M250, 0)</f>
        <v>0</v>
      </c>
      <c r="N251" s="1">
        <v>0</v>
      </c>
      <c r="O251" s="1">
        <f>IF(N251 + O250 &lt; 0, N251 + O250, 0)</f>
        <v>0</v>
      </c>
      <c r="P251" s="1">
        <v>0</v>
      </c>
      <c r="Q251" s="1">
        <f>IF(P251 + Q250 &lt; 0, P251 + Q250, 0)</f>
        <v>0</v>
      </c>
      <c r="R251" s="1">
        <v>0</v>
      </c>
      <c r="S251" s="1">
        <f>IF(R251 + S250 &lt; 0, R251 + S250, 0)</f>
        <v>0</v>
      </c>
      <c r="T251" s="1">
        <v>0</v>
      </c>
      <c r="U251" s="1">
        <f>IF(T251 + U250 &lt; 0, T251 + U250, 0)</f>
        <v>0</v>
      </c>
      <c r="V251" s="1">
        <v>0</v>
      </c>
      <c r="W251" s="1">
        <f>IF(V251 + W250 &lt; 0, V251 + W250, 0)</f>
        <v>0</v>
      </c>
      <c r="X251" s="1">
        <v>0</v>
      </c>
      <c r="Y251" s="1">
        <f>IF(X251 + Y250 &lt; 0, X251 + Y250, 0)</f>
        <v>0</v>
      </c>
      <c r="Z251" s="1">
        <v>0</v>
      </c>
      <c r="AA251" s="1">
        <f>IF(Z251 + AA250 &lt; 0, Z251 + AA250, 0)</f>
        <v>0</v>
      </c>
      <c r="AB251" s="1">
        <v>0</v>
      </c>
      <c r="AC251" s="1">
        <f>IF(AB251 + AC250 &lt; 0, AB251 + AC250, 0)</f>
        <v>0</v>
      </c>
      <c r="AD251" s="1">
        <v>0</v>
      </c>
      <c r="AE251" s="1">
        <f>IF(AD251 + AE250 &lt; 0, AD251 + AE250, 0)</f>
        <v>0</v>
      </c>
      <c r="AF251" s="1">
        <v>0</v>
      </c>
      <c r="AG251" s="1">
        <f>IF(AF251 + AG250 &lt; 0, AF251 + AG250, 0)</f>
        <v>0</v>
      </c>
      <c r="AH251" s="1">
        <v>0</v>
      </c>
      <c r="AI251" s="1">
        <f>IF(AH251 + AI250 &lt; 0, AH251 + AI250, 0)</f>
        <v>0</v>
      </c>
      <c r="AJ251" s="1">
        <v>0</v>
      </c>
      <c r="AK251" s="1">
        <f>IF(AJ251 + AK250 &lt; 0, AJ251 + AK250, 0)</f>
        <v>0</v>
      </c>
    </row>
    <row r="252" spans="1:37" s="1" customFormat="1">
      <c r="A252" s="3">
        <v>45664</v>
      </c>
      <c r="B252" s="2" t="s">
        <v>23</v>
      </c>
      <c r="C252" s="2">
        <v>18</v>
      </c>
      <c r="D252" s="2">
        <v>18</v>
      </c>
      <c r="E252" s="2">
        <v>18</v>
      </c>
      <c r="F252" s="2">
        <v>3</v>
      </c>
      <c r="G252" s="2">
        <v>1</v>
      </c>
      <c r="H252" s="1">
        <v>0</v>
      </c>
      <c r="I252" s="1">
        <f>IF(H252 + I251 &lt; 0, H252 + I251, 0)</f>
        <v>0</v>
      </c>
      <c r="J252" s="1">
        <v>0</v>
      </c>
      <c r="K252" s="1">
        <f>IF(J252 + K251 &lt; 0, J252 + K251, 0)</f>
        <v>0</v>
      </c>
      <c r="L252" s="1">
        <v>0</v>
      </c>
      <c r="M252" s="1">
        <f>IF(L252 + M251 &lt; 0, L252 + M251, 0)</f>
        <v>0</v>
      </c>
      <c r="N252" s="1">
        <v>0</v>
      </c>
      <c r="O252" s="1">
        <f>IF(N252 + O251 &lt; 0, N252 + O251, 0)</f>
        <v>0</v>
      </c>
      <c r="P252" s="1">
        <v>0</v>
      </c>
      <c r="Q252" s="1">
        <f>IF(P252 + Q251 &lt; 0, P252 + Q251, 0)</f>
        <v>0</v>
      </c>
      <c r="R252" s="1">
        <v>0</v>
      </c>
      <c r="S252" s="1">
        <f>IF(R252 + S251 &lt; 0, R252 + S251, 0)</f>
        <v>0</v>
      </c>
      <c r="T252" s="1">
        <v>0</v>
      </c>
      <c r="U252" s="1">
        <f>IF(T252 + U251 &lt; 0, T252 + U251, 0)</f>
        <v>0</v>
      </c>
      <c r="V252" s="1">
        <v>0</v>
      </c>
      <c r="W252" s="1">
        <f>IF(V252 + W251 &lt; 0, V252 + W251, 0)</f>
        <v>0</v>
      </c>
      <c r="X252" s="1">
        <v>0</v>
      </c>
      <c r="Y252" s="1">
        <f>IF(X252 + Y251 &lt; 0, X252 + Y251, 0)</f>
        <v>0</v>
      </c>
      <c r="Z252" s="1">
        <v>0</v>
      </c>
      <c r="AA252" s="1">
        <f>IF(Z252 + AA251 &lt; 0, Z252 + AA251, 0)</f>
        <v>0</v>
      </c>
      <c r="AB252" s="1">
        <v>0</v>
      </c>
      <c r="AC252" s="1">
        <f>IF(AB252 + AC251 &lt; 0, AB252 + AC251, 0)</f>
        <v>0</v>
      </c>
      <c r="AD252" s="1">
        <v>0</v>
      </c>
      <c r="AE252" s="1">
        <f>IF(AD252 + AE251 &lt; 0, AD252 + AE251, 0)</f>
        <v>0</v>
      </c>
      <c r="AF252" s="1">
        <v>675145.6691621613</v>
      </c>
      <c r="AG252" s="1">
        <f>IF(AF252 + AG251 &lt; 0, AF252 + AG251, 0)</f>
        <v>0</v>
      </c>
      <c r="AH252" s="1">
        <v>675145.6691621613</v>
      </c>
      <c r="AI252" s="1">
        <f>IF(AH252 + AI251 &lt; 0, AH252 + AI251, 0)</f>
        <v>0</v>
      </c>
      <c r="AJ252" s="1">
        <v>675145.6691621613</v>
      </c>
      <c r="AK252" s="1">
        <f>IF(AJ252 + AK251 &lt; 0, AJ252 + AK251, 0)</f>
        <v>0</v>
      </c>
    </row>
    <row r="253" spans="1:37" s="1" customFormat="1">
      <c r="A253" s="3">
        <v>45665</v>
      </c>
      <c r="B253" s="2" t="s">
        <v>24</v>
      </c>
      <c r="C253" s="2">
        <v>17</v>
      </c>
      <c r="D253" s="2">
        <v>17</v>
      </c>
      <c r="E253" s="2">
        <v>17</v>
      </c>
      <c r="F253" s="2">
        <v>2</v>
      </c>
      <c r="G253" s="2">
        <v>5</v>
      </c>
      <c r="H253" s="1">
        <v>0</v>
      </c>
      <c r="I253" s="1">
        <f>IF(H253 + I252 &lt; 0, H253 + I252, 0)</f>
        <v>0</v>
      </c>
      <c r="J253" s="1">
        <v>0</v>
      </c>
      <c r="K253" s="1">
        <f>IF(J253 + K252 &lt; 0, J253 + K252, 0)</f>
        <v>0</v>
      </c>
      <c r="L253" s="1">
        <v>0</v>
      </c>
      <c r="M253" s="1">
        <f>IF(L253 + M252 &lt; 0, L253 + M252, 0)</f>
        <v>0</v>
      </c>
      <c r="N253" s="1">
        <v>0</v>
      </c>
      <c r="O253" s="1">
        <f>IF(N253 + O252 &lt; 0, N253 + O252, 0)</f>
        <v>0</v>
      </c>
      <c r="P253" s="1">
        <v>0</v>
      </c>
      <c r="Q253" s="1">
        <f>IF(P253 + Q252 &lt; 0, P253 + Q252, 0)</f>
        <v>0</v>
      </c>
      <c r="R253" s="1">
        <v>0</v>
      </c>
      <c r="S253" s="1">
        <f>IF(R253 + S252 &lt; 0, R253 + S252, 0)</f>
        <v>0</v>
      </c>
      <c r="T253" s="1">
        <v>0</v>
      </c>
      <c r="U253" s="1">
        <f>IF(T253 + U252 &lt; 0, T253 + U252, 0)</f>
        <v>0</v>
      </c>
      <c r="V253" s="1">
        <v>0</v>
      </c>
      <c r="W253" s="1">
        <f>IF(V253 + W252 &lt; 0, V253 + W252, 0)</f>
        <v>0</v>
      </c>
      <c r="X253" s="1">
        <v>0</v>
      </c>
      <c r="Y253" s="1">
        <f>IF(X253 + Y252 &lt; 0, X253 + Y252, 0)</f>
        <v>0</v>
      </c>
      <c r="Z253" s="1">
        <v>0</v>
      </c>
      <c r="AA253" s="1">
        <f>IF(Z253 + AA252 &lt; 0, Z253 + AA252, 0)</f>
        <v>0</v>
      </c>
      <c r="AB253" s="1">
        <v>0</v>
      </c>
      <c r="AC253" s="1">
        <f>IF(AB253 + AC252 &lt; 0, AB253 + AC252, 0)</f>
        <v>0</v>
      </c>
      <c r="AD253" s="1">
        <v>0</v>
      </c>
      <c r="AE253" s="1">
        <f>IF(AD253 + AE252 &lt; 0, AD253 + AE252, 0)</f>
        <v>0</v>
      </c>
      <c r="AF253" s="1">
        <v>0</v>
      </c>
      <c r="AG253" s="1">
        <f>IF(AF253 + AG252 &lt; 0, AF253 + AG252, 0)</f>
        <v>0</v>
      </c>
      <c r="AH253" s="1">
        <v>0</v>
      </c>
      <c r="AI253" s="1">
        <f>IF(AH253 + AI252 &lt; 0, AH253 + AI252, 0)</f>
        <v>0</v>
      </c>
      <c r="AJ253" s="1">
        <v>0</v>
      </c>
      <c r="AK253" s="1">
        <f>IF(AJ253 + AK252 &lt; 0, AJ253 + AK252, 0)</f>
        <v>0</v>
      </c>
    </row>
    <row r="254" spans="1:37" s="1" customFormat="1">
      <c r="A254" s="3">
        <v>45666</v>
      </c>
      <c r="B254" s="2" t="s">
        <v>25</v>
      </c>
      <c r="C254" s="2">
        <v>16</v>
      </c>
      <c r="D254" s="2">
        <v>16</v>
      </c>
      <c r="E254" s="2">
        <v>16</v>
      </c>
      <c r="F254" s="2">
        <v>1</v>
      </c>
      <c r="G254" s="2">
        <v>4</v>
      </c>
      <c r="H254" s="1">
        <v>0</v>
      </c>
      <c r="I254" s="1">
        <f>IF(H254 + I253 &lt; 0, H254 + I253, 0)</f>
        <v>0</v>
      </c>
      <c r="J254" s="1">
        <v>0</v>
      </c>
      <c r="K254" s="1">
        <f>IF(J254 + K253 &lt; 0, J254 + K253, 0)</f>
        <v>0</v>
      </c>
      <c r="L254" s="1">
        <v>0</v>
      </c>
      <c r="M254" s="1">
        <f>IF(L254 + M253 &lt; 0, L254 + M253, 0)</f>
        <v>0</v>
      </c>
      <c r="N254" s="1">
        <v>0</v>
      </c>
      <c r="O254" s="1">
        <f>IF(N254 + O253 &lt; 0, N254 + O253, 0)</f>
        <v>0</v>
      </c>
      <c r="P254" s="1">
        <v>0</v>
      </c>
      <c r="Q254" s="1">
        <f>IF(P254 + Q253 &lt; 0, P254 + Q253, 0)</f>
        <v>0</v>
      </c>
      <c r="R254" s="1">
        <v>0</v>
      </c>
      <c r="S254" s="1">
        <f>IF(R254 + S253 &lt; 0, R254 + S253, 0)</f>
        <v>0</v>
      </c>
      <c r="T254" s="1">
        <v>0</v>
      </c>
      <c r="U254" s="1">
        <f>IF(T254 + U253 &lt; 0, T254 + U253, 0)</f>
        <v>0</v>
      </c>
      <c r="V254" s="1">
        <v>0</v>
      </c>
      <c r="W254" s="1">
        <f>IF(V254 + W253 &lt; 0, V254 + W253, 0)</f>
        <v>0</v>
      </c>
      <c r="X254" s="1">
        <v>0</v>
      </c>
      <c r="Y254" s="1">
        <f>IF(X254 + Y253 &lt; 0, X254 + Y253, 0)</f>
        <v>0</v>
      </c>
      <c r="Z254" s="1">
        <v>747559.2749054392</v>
      </c>
      <c r="AA254" s="1">
        <f>IF(Z254 + AA253 &lt; 0, Z254 + AA253, 0)</f>
        <v>0</v>
      </c>
      <c r="AB254" s="1">
        <v>974567.162082126</v>
      </c>
      <c r="AC254" s="1">
        <f>IF(AB254 + AC253 &lt; 0, AB254 + AC253, 0)</f>
        <v>0</v>
      </c>
      <c r="AD254" s="1">
        <v>405615.936831417</v>
      </c>
      <c r="AE254" s="1">
        <f>IF(AD254 + AE253 &lt; 0, AD254 + AE253, 0)</f>
        <v>0</v>
      </c>
      <c r="AF254" s="1">
        <v>0</v>
      </c>
      <c r="AG254" s="1">
        <f>IF(AF254 + AG253 &lt; 0, AF254 + AG253, 0)</f>
        <v>0</v>
      </c>
      <c r="AH254" s="1">
        <v>0</v>
      </c>
      <c r="AI254" s="1">
        <f>IF(AH254 + AI253 &lt; 0, AH254 + AI253, 0)</f>
        <v>0</v>
      </c>
      <c r="AJ254" s="1">
        <v>0</v>
      </c>
      <c r="AK254" s="1">
        <f>IF(AJ254 + AK253 &lt; 0, AJ254 + AK253, 0)</f>
        <v>0</v>
      </c>
    </row>
    <row r="255" spans="1:37" s="1" customFormat="1">
      <c r="A255" s="3">
        <v>45667</v>
      </c>
      <c r="B255" s="2" t="s">
        <v>26</v>
      </c>
      <c r="C255" s="2">
        <v>15</v>
      </c>
      <c r="D255" s="2">
        <v>15</v>
      </c>
      <c r="E255" s="2">
        <v>15</v>
      </c>
      <c r="F255" s="2">
        <v>5</v>
      </c>
      <c r="G255" s="2">
        <v>3</v>
      </c>
      <c r="H255" s="1">
        <v>0</v>
      </c>
      <c r="I255" s="1">
        <f>IF(H255 + I254 &lt; 0, H255 + I254, 0)</f>
        <v>0</v>
      </c>
      <c r="J255" s="1">
        <v>0</v>
      </c>
      <c r="K255" s="1">
        <f>IF(J255 + K254 &lt; 0, J255 + K254, 0)</f>
        <v>0</v>
      </c>
      <c r="L255" s="1">
        <v>0</v>
      </c>
      <c r="M255" s="1">
        <f>IF(L255 + M254 &lt; 0, L255 + M254, 0)</f>
        <v>0</v>
      </c>
      <c r="N255" s="1">
        <v>0</v>
      </c>
      <c r="O255" s="1">
        <f>IF(N255 + O254 &lt; 0, N255 + O254, 0)</f>
        <v>0</v>
      </c>
      <c r="P255" s="1">
        <v>0</v>
      </c>
      <c r="Q255" s="1">
        <f>IF(P255 + Q254 &lt; 0, P255 + Q254, 0)</f>
        <v>0</v>
      </c>
      <c r="R255" s="1">
        <v>0</v>
      </c>
      <c r="S255" s="1">
        <f>IF(R255 + S254 &lt; 0, R255 + S254, 0)</f>
        <v>0</v>
      </c>
      <c r="T255" s="1">
        <v>0</v>
      </c>
      <c r="U255" s="1">
        <f>IF(T255 + U254 &lt; 0, T255 + U254, 0)</f>
        <v>0</v>
      </c>
      <c r="V255" s="1">
        <v>0</v>
      </c>
      <c r="W255" s="1">
        <f>IF(V255 + W254 &lt; 0, V255 + W254, 0)</f>
        <v>0</v>
      </c>
      <c r="X255" s="1">
        <v>0</v>
      </c>
      <c r="Y255" s="1">
        <f>IF(X255 + Y254 &lt; 0, X255 + Y254, 0)</f>
        <v>0</v>
      </c>
      <c r="Z255" s="1">
        <v>0</v>
      </c>
      <c r="AA255" s="1">
        <f>IF(Z255 + AA254 &lt; 0, Z255 + AA254, 0)</f>
        <v>0</v>
      </c>
      <c r="AB255" s="1">
        <v>0</v>
      </c>
      <c r="AC255" s="1">
        <f>IF(AB255 + AC254 &lt; 0, AB255 + AC254, 0)</f>
        <v>0</v>
      </c>
      <c r="AD255" s="1">
        <v>0</v>
      </c>
      <c r="AE255" s="1">
        <f>IF(AD255 + AE254 &lt; 0, AD255 + AE254, 0)</f>
        <v>0</v>
      </c>
      <c r="AF255" s="1">
        <v>0</v>
      </c>
      <c r="AG255" s="1">
        <f>IF(AF255 + AG254 &lt; 0, AF255 + AG254, 0)</f>
        <v>0</v>
      </c>
      <c r="AH255" s="1">
        <v>0</v>
      </c>
      <c r="AI255" s="1">
        <f>IF(AH255 + AI254 &lt; 0, AH255 + AI254, 0)</f>
        <v>0</v>
      </c>
      <c r="AJ255" s="1">
        <v>0</v>
      </c>
      <c r="AK255" s="1">
        <f>IF(AJ255 + AK254 &lt; 0, AJ255 + AK254, 0)</f>
        <v>0</v>
      </c>
    </row>
    <row r="256" spans="1:37" s="1" customFormat="1">
      <c r="A256" s="3">
        <v>45670</v>
      </c>
      <c r="B256" s="2" t="s">
        <v>22</v>
      </c>
      <c r="C256" s="2">
        <v>14</v>
      </c>
      <c r="D256" s="2">
        <v>14</v>
      </c>
      <c r="E256" s="2">
        <v>14</v>
      </c>
      <c r="F256" s="2">
        <v>4</v>
      </c>
      <c r="G256" s="2">
        <v>2</v>
      </c>
      <c r="H256" s="1">
        <v>0</v>
      </c>
      <c r="I256" s="1">
        <f>IF(H256 + I255 &lt; 0, H256 + I255, 0)</f>
        <v>0</v>
      </c>
      <c r="J256" s="1">
        <v>0</v>
      </c>
      <c r="K256" s="1">
        <f>IF(J256 + K255 &lt; 0, J256 + K255, 0)</f>
        <v>0</v>
      </c>
      <c r="L256" s="1">
        <v>0</v>
      </c>
      <c r="M256" s="1">
        <f>IF(L256 + M255 &lt; 0, L256 + M255, 0)</f>
        <v>0</v>
      </c>
      <c r="N256" s="1">
        <v>0</v>
      </c>
      <c r="O256" s="1">
        <f>IF(N256 + O255 &lt; 0, N256 + O255, 0)</f>
        <v>0</v>
      </c>
      <c r="P256" s="1">
        <v>0</v>
      </c>
      <c r="Q256" s="1">
        <f>IF(P256 + Q255 &lt; 0, P256 + Q255, 0)</f>
        <v>0</v>
      </c>
      <c r="R256" s="1">
        <v>0</v>
      </c>
      <c r="S256" s="1">
        <f>IF(R256 + S255 &lt; 0, R256 + S255, 0)</f>
        <v>0</v>
      </c>
      <c r="T256" s="1">
        <v>0</v>
      </c>
      <c r="U256" s="1">
        <f>IF(T256 + U255 &lt; 0, T256 + U255, 0)</f>
        <v>0</v>
      </c>
      <c r="V256" s="1">
        <v>0</v>
      </c>
      <c r="W256" s="1">
        <f>IF(V256 + W255 &lt; 0, V256 + W255, 0)</f>
        <v>0</v>
      </c>
      <c r="X256" s="1">
        <v>0</v>
      </c>
      <c r="Y256" s="1">
        <f>IF(X256 + Y255 &lt; 0, X256 + Y255, 0)</f>
        <v>0</v>
      </c>
      <c r="Z256" s="1">
        <v>0</v>
      </c>
      <c r="AA256" s="1">
        <f>IF(Z256 + AA255 &lt; 0, Z256 + AA255, 0)</f>
        <v>0</v>
      </c>
      <c r="AB256" s="1">
        <v>0</v>
      </c>
      <c r="AC256" s="1">
        <f>IF(AB256 + AC255 &lt; 0, AB256 + AC255, 0)</f>
        <v>0</v>
      </c>
      <c r="AD256" s="1">
        <v>0</v>
      </c>
      <c r="AE256" s="1">
        <f>IF(AD256 + AE255 &lt; 0, AD256 + AE255, 0)</f>
        <v>0</v>
      </c>
      <c r="AF256" s="1">
        <v>0</v>
      </c>
      <c r="AG256" s="1">
        <f>IF(AF256 + AG255 &lt; 0, AF256 + AG255, 0)</f>
        <v>0</v>
      </c>
      <c r="AH256" s="1">
        <v>0</v>
      </c>
      <c r="AI256" s="1">
        <f>IF(AH256 + AI255 &lt; 0, AH256 + AI255, 0)</f>
        <v>0</v>
      </c>
      <c r="AJ256" s="1">
        <v>0</v>
      </c>
      <c r="AK256" s="1">
        <f>IF(AJ256 + AK255 &lt; 0, AJ256 + AK255, 0)</f>
        <v>0</v>
      </c>
    </row>
    <row r="257" spans="1:37" s="1" customFormat="1">
      <c r="A257" s="3">
        <v>45671</v>
      </c>
      <c r="B257" s="2" t="s">
        <v>23</v>
      </c>
      <c r="C257" s="2">
        <v>13</v>
      </c>
      <c r="D257" s="2">
        <v>13</v>
      </c>
      <c r="E257" s="2">
        <v>13</v>
      </c>
      <c r="F257" s="2">
        <v>3</v>
      </c>
      <c r="G257" s="2">
        <v>1</v>
      </c>
      <c r="H257" s="1">
        <v>0</v>
      </c>
      <c r="I257" s="1">
        <f>IF(H257 + I256 &lt; 0, H257 + I256, 0)</f>
        <v>0</v>
      </c>
      <c r="J257" s="1">
        <v>0</v>
      </c>
      <c r="K257" s="1">
        <f>IF(J257 + K256 &lt; 0, J257 + K256, 0)</f>
        <v>0</v>
      </c>
      <c r="L257" s="1">
        <v>0</v>
      </c>
      <c r="M257" s="1">
        <f>IF(L257 + M256 &lt; 0, L257 + M256, 0)</f>
        <v>0</v>
      </c>
      <c r="N257" s="1">
        <v>0</v>
      </c>
      <c r="O257" s="1">
        <f>IF(N257 + O256 &lt; 0, N257 + O256, 0)</f>
        <v>0</v>
      </c>
      <c r="P257" s="1">
        <v>0</v>
      </c>
      <c r="Q257" s="1">
        <f>IF(P257 + Q256 &lt; 0, P257 + Q256, 0)</f>
        <v>0</v>
      </c>
      <c r="R257" s="1">
        <v>0</v>
      </c>
      <c r="S257" s="1">
        <f>IF(R257 + S256 &lt; 0, R257 + S256, 0)</f>
        <v>0</v>
      </c>
      <c r="T257" s="1">
        <v>0</v>
      </c>
      <c r="U257" s="1">
        <f>IF(T257 + U256 &lt; 0, T257 + U256, 0)</f>
        <v>0</v>
      </c>
      <c r="V257" s="1">
        <v>0</v>
      </c>
      <c r="W257" s="1">
        <f>IF(V257 + W256 &lt; 0, V257 + W256, 0)</f>
        <v>0</v>
      </c>
      <c r="X257" s="1">
        <v>0</v>
      </c>
      <c r="Y257" s="1">
        <f>IF(X257 + Y256 &lt; 0, X257 + Y256, 0)</f>
        <v>0</v>
      </c>
      <c r="Z257" s="1">
        <v>0</v>
      </c>
      <c r="AA257" s="1">
        <f>IF(Z257 + AA256 &lt; 0, Z257 + AA256, 0)</f>
        <v>0</v>
      </c>
      <c r="AB257" s="1">
        <v>0</v>
      </c>
      <c r="AC257" s="1">
        <f>IF(AB257 + AC256 &lt; 0, AB257 + AC256, 0)</f>
        <v>0</v>
      </c>
      <c r="AD257" s="1">
        <v>0</v>
      </c>
      <c r="AE257" s="1">
        <f>IF(AD257 + AE256 &lt; 0, AD257 + AE256, 0)</f>
        <v>0</v>
      </c>
      <c r="AF257" s="1">
        <v>707778.9530921777</v>
      </c>
      <c r="AG257" s="1">
        <f>IF(AF257 + AG256 &lt; 0, AF257 + AG256, 0)</f>
        <v>0</v>
      </c>
      <c r="AH257" s="1">
        <v>442278.9074103967</v>
      </c>
      <c r="AI257" s="1">
        <f>IF(AH257 + AI256 &lt; 0, AH257 + AI256, 0)</f>
        <v>0</v>
      </c>
      <c r="AJ257" s="1">
        <v>451830.4948476292</v>
      </c>
      <c r="AK257" s="1">
        <f>IF(AJ257 + AK256 &lt; 0, AJ257 + AK256, 0)</f>
        <v>0</v>
      </c>
    </row>
    <row r="258" spans="1:37" s="1" customFormat="1">
      <c r="A258" s="3">
        <v>45672</v>
      </c>
      <c r="B258" s="2" t="s">
        <v>24</v>
      </c>
      <c r="C258" s="2">
        <v>12</v>
      </c>
      <c r="D258" s="2">
        <v>12</v>
      </c>
      <c r="E258" s="2">
        <v>12</v>
      </c>
      <c r="F258" s="2">
        <v>2</v>
      </c>
      <c r="G258" s="2">
        <v>5</v>
      </c>
      <c r="H258" s="1">
        <v>0</v>
      </c>
      <c r="I258" s="1">
        <f>IF(H258 + I257 &lt; 0, H258 + I257, 0)</f>
        <v>0</v>
      </c>
      <c r="J258" s="1">
        <v>0</v>
      </c>
      <c r="K258" s="1">
        <f>IF(J258 + K257 &lt; 0, J258 + K257, 0)</f>
        <v>0</v>
      </c>
      <c r="L258" s="1">
        <v>0</v>
      </c>
      <c r="M258" s="1">
        <f>IF(L258 + M257 &lt; 0, L258 + M257, 0)</f>
        <v>0</v>
      </c>
      <c r="N258" s="1">
        <v>0</v>
      </c>
      <c r="O258" s="1">
        <f>IF(N258 + O257 &lt; 0, N258 + O257, 0)</f>
        <v>0</v>
      </c>
      <c r="P258" s="1">
        <v>0</v>
      </c>
      <c r="Q258" s="1">
        <f>IF(P258 + Q257 &lt; 0, P258 + Q257, 0)</f>
        <v>0</v>
      </c>
      <c r="R258" s="1">
        <v>0</v>
      </c>
      <c r="S258" s="1">
        <f>IF(R258 + S257 &lt; 0, R258 + S257, 0)</f>
        <v>0</v>
      </c>
      <c r="T258" s="1">
        <v>0</v>
      </c>
      <c r="U258" s="1">
        <f>IF(T258 + U257 &lt; 0, T258 + U257, 0)</f>
        <v>0</v>
      </c>
      <c r="V258" s="1">
        <v>0</v>
      </c>
      <c r="W258" s="1">
        <f>IF(V258 + W257 &lt; 0, V258 + W257, 0)</f>
        <v>0</v>
      </c>
      <c r="X258" s="1">
        <v>0</v>
      </c>
      <c r="Y258" s="1">
        <f>IF(X258 + Y257 &lt; 0, X258 + Y257, 0)</f>
        <v>0</v>
      </c>
      <c r="Z258" s="1">
        <v>0</v>
      </c>
      <c r="AA258" s="1">
        <f>IF(Z258 + AA257 &lt; 0, Z258 + AA257, 0)</f>
        <v>0</v>
      </c>
      <c r="AB258" s="1">
        <v>0</v>
      </c>
      <c r="AC258" s="1">
        <f>IF(AB258 + AC257 &lt; 0, AB258 + AC257, 0)</f>
        <v>0</v>
      </c>
      <c r="AD258" s="1">
        <v>0</v>
      </c>
      <c r="AE258" s="1">
        <f>IF(AD258 + AE257 &lt; 0, AD258 + AE257, 0)</f>
        <v>0</v>
      </c>
      <c r="AF258" s="1">
        <v>0</v>
      </c>
      <c r="AG258" s="1">
        <f>IF(AF258 + AG257 &lt; 0, AF258 + AG257, 0)</f>
        <v>0</v>
      </c>
      <c r="AH258" s="1">
        <v>0</v>
      </c>
      <c r="AI258" s="1">
        <f>IF(AH258 + AI257 &lt; 0, AH258 + AI257, 0)</f>
        <v>0</v>
      </c>
      <c r="AJ258" s="1">
        <v>0</v>
      </c>
      <c r="AK258" s="1">
        <f>IF(AJ258 + AK257 &lt; 0, AJ258 + AK257, 0)</f>
        <v>0</v>
      </c>
    </row>
    <row r="259" spans="1:37" s="1" customFormat="1">
      <c r="A259" s="3">
        <v>45673</v>
      </c>
      <c r="B259" s="2" t="s">
        <v>25</v>
      </c>
      <c r="C259" s="2">
        <v>11</v>
      </c>
      <c r="D259" s="2">
        <v>11</v>
      </c>
      <c r="E259" s="2">
        <v>11</v>
      </c>
      <c r="F259" s="2">
        <v>1</v>
      </c>
      <c r="G259" s="2">
        <v>4</v>
      </c>
      <c r="H259" s="1">
        <v>0</v>
      </c>
      <c r="I259" s="1">
        <f>IF(H259 + I258 &lt; 0, H259 + I258, 0)</f>
        <v>0</v>
      </c>
      <c r="J259" s="1">
        <v>0</v>
      </c>
      <c r="K259" s="1">
        <f>IF(J259 + K258 &lt; 0, J259 + K258, 0)</f>
        <v>0</v>
      </c>
      <c r="L259" s="1">
        <v>0</v>
      </c>
      <c r="M259" s="1">
        <f>IF(L259 + M258 &lt; 0, L259 + M258, 0)</f>
        <v>0</v>
      </c>
      <c r="N259" s="1">
        <v>0</v>
      </c>
      <c r="O259" s="1">
        <f>IF(N259 + O258 &lt; 0, N259 + O258, 0)</f>
        <v>0</v>
      </c>
      <c r="P259" s="1">
        <v>0</v>
      </c>
      <c r="Q259" s="1">
        <f>IF(P259 + Q258 &lt; 0, P259 + Q258, 0)</f>
        <v>0</v>
      </c>
      <c r="R259" s="1">
        <v>0</v>
      </c>
      <c r="S259" s="1">
        <f>IF(R259 + S258 &lt; 0, R259 + S258, 0)</f>
        <v>0</v>
      </c>
      <c r="T259" s="1">
        <v>0</v>
      </c>
      <c r="U259" s="1">
        <f>IF(T259 + U258 &lt; 0, T259 + U258, 0)</f>
        <v>0</v>
      </c>
      <c r="V259" s="1">
        <v>0</v>
      </c>
      <c r="W259" s="1">
        <f>IF(V259 + W258 &lt; 0, V259 + W258, 0)</f>
        <v>0</v>
      </c>
      <c r="X259" s="1">
        <v>0</v>
      </c>
      <c r="Y259" s="1">
        <f>IF(X259 + Y258 &lt; 0, X259 + Y258, 0)</f>
        <v>0</v>
      </c>
      <c r="Z259" s="1">
        <v>504893.6046154393</v>
      </c>
      <c r="AA259" s="1">
        <f>IF(Z259 + AA258 &lt; 0, Z259 + AA258, 0)</f>
        <v>0</v>
      </c>
      <c r="AB259" s="1">
        <v>990889.7633518897</v>
      </c>
      <c r="AC259" s="1">
        <f>IF(AB259 + AC258 &lt; 0, AB259 + AC258, 0)</f>
        <v>0</v>
      </c>
      <c r="AD259" s="1">
        <v>649156.5906657322</v>
      </c>
      <c r="AE259" s="1">
        <f>IF(AD259 + AE258 &lt; 0, AD259 + AE258, 0)</f>
        <v>0</v>
      </c>
      <c r="AF259" s="1">
        <v>0</v>
      </c>
      <c r="AG259" s="1">
        <f>IF(AF259 + AG258 &lt; 0, AF259 + AG258, 0)</f>
        <v>0</v>
      </c>
      <c r="AH259" s="1">
        <v>0</v>
      </c>
      <c r="AI259" s="1">
        <f>IF(AH259 + AI258 &lt; 0, AH259 + AI258, 0)</f>
        <v>0</v>
      </c>
      <c r="AJ259" s="1">
        <v>0</v>
      </c>
      <c r="AK259" s="1">
        <f>IF(AJ259 + AK258 &lt; 0, AJ259 + AK258, 0)</f>
        <v>0</v>
      </c>
    </row>
    <row r="260" spans="1:37" s="1" customFormat="1">
      <c r="A260" s="3">
        <v>45674</v>
      </c>
      <c r="B260" s="2" t="s">
        <v>26</v>
      </c>
      <c r="C260" s="2">
        <v>10</v>
      </c>
      <c r="D260" s="2">
        <v>10</v>
      </c>
      <c r="E260" s="2">
        <v>10</v>
      </c>
      <c r="F260" s="2">
        <v>5</v>
      </c>
      <c r="G260" s="2">
        <v>3</v>
      </c>
      <c r="H260" s="1">
        <v>0</v>
      </c>
      <c r="I260" s="1">
        <f>IF(H260 + I259 &lt; 0, H260 + I259, 0)</f>
        <v>0</v>
      </c>
      <c r="J260" s="1">
        <v>0</v>
      </c>
      <c r="K260" s="1">
        <f>IF(J260 + K259 &lt; 0, J260 + K259, 0)</f>
        <v>0</v>
      </c>
      <c r="L260" s="1">
        <v>0</v>
      </c>
      <c r="M260" s="1">
        <f>IF(L260 + M259 &lt; 0, L260 + M259, 0)</f>
        <v>0</v>
      </c>
      <c r="N260" s="1">
        <v>0</v>
      </c>
      <c r="O260" s="1">
        <f>IF(N260 + O259 &lt; 0, N260 + O259, 0)</f>
        <v>0</v>
      </c>
      <c r="P260" s="1">
        <v>0</v>
      </c>
      <c r="Q260" s="1">
        <f>IF(P260 + Q259 &lt; 0, P260 + Q259, 0)</f>
        <v>0</v>
      </c>
      <c r="R260" s="1">
        <v>0</v>
      </c>
      <c r="S260" s="1">
        <f>IF(R260 + S259 &lt; 0, R260 + S259, 0)</f>
        <v>0</v>
      </c>
      <c r="T260" s="1">
        <v>0</v>
      </c>
      <c r="U260" s="1">
        <f>IF(T260 + U259 &lt; 0, T260 + U259, 0)</f>
        <v>0</v>
      </c>
      <c r="V260" s="1">
        <v>0</v>
      </c>
      <c r="W260" s="1">
        <f>IF(V260 + W259 &lt; 0, V260 + W259, 0)</f>
        <v>0</v>
      </c>
      <c r="X260" s="1">
        <v>0</v>
      </c>
      <c r="Y260" s="1">
        <f>IF(X260 + Y259 &lt; 0, X260 + Y259, 0)</f>
        <v>0</v>
      </c>
      <c r="Z260" s="1">
        <v>0</v>
      </c>
      <c r="AA260" s="1">
        <f>IF(Z260 + AA259 &lt; 0, Z260 + AA259, 0)</f>
        <v>0</v>
      </c>
      <c r="AB260" s="1">
        <v>0</v>
      </c>
      <c r="AC260" s="1">
        <f>IF(AB260 + AC259 &lt; 0, AB260 + AC259, 0)</f>
        <v>0</v>
      </c>
      <c r="AD260" s="1">
        <v>0</v>
      </c>
      <c r="AE260" s="1">
        <f>IF(AD260 + AE259 &lt; 0, AD260 + AE259, 0)</f>
        <v>0</v>
      </c>
      <c r="AF260" s="1">
        <v>0</v>
      </c>
      <c r="AG260" s="1">
        <f>IF(AF260 + AG259 &lt; 0, AF260 + AG259, 0)</f>
        <v>0</v>
      </c>
      <c r="AH260" s="1">
        <v>0</v>
      </c>
      <c r="AI260" s="1">
        <f>IF(AH260 + AI259 &lt; 0, AH260 + AI259, 0)</f>
        <v>0</v>
      </c>
      <c r="AJ260" s="1">
        <v>0</v>
      </c>
      <c r="AK260" s="1">
        <f>IF(AJ260 + AK259 &lt; 0, AJ260 + AK259, 0)</f>
        <v>0</v>
      </c>
    </row>
    <row r="261" spans="1:37" s="1" customFormat="1">
      <c r="A261" s="3">
        <v>45677</v>
      </c>
      <c r="B261" s="2" t="s">
        <v>22</v>
      </c>
      <c r="C261" s="2">
        <v>9</v>
      </c>
      <c r="D261" s="2">
        <v>9</v>
      </c>
      <c r="E261" s="2">
        <v>9</v>
      </c>
      <c r="F261" s="2">
        <v>4</v>
      </c>
      <c r="G261" s="2">
        <v>2</v>
      </c>
      <c r="H261" s="1">
        <v>0</v>
      </c>
      <c r="I261" s="1">
        <f>IF(H261 + I260 &lt; 0, H261 + I260, 0)</f>
        <v>0</v>
      </c>
      <c r="J261" s="1">
        <v>0</v>
      </c>
      <c r="K261" s="1">
        <f>IF(J261 + K260 &lt; 0, J261 + K260, 0)</f>
        <v>0</v>
      </c>
      <c r="L261" s="1">
        <v>0</v>
      </c>
      <c r="M261" s="1">
        <f>IF(L261 + M260 &lt; 0, L261 + M260, 0)</f>
        <v>0</v>
      </c>
      <c r="N261" s="1">
        <v>0</v>
      </c>
      <c r="O261" s="1">
        <f>IF(N261 + O260 &lt; 0, N261 + O260, 0)</f>
        <v>0</v>
      </c>
      <c r="P261" s="1">
        <v>0</v>
      </c>
      <c r="Q261" s="1">
        <f>IF(P261 + Q260 &lt; 0, P261 + Q260, 0)</f>
        <v>0</v>
      </c>
      <c r="R261" s="1">
        <v>0</v>
      </c>
      <c r="S261" s="1">
        <f>IF(R261 + S260 &lt; 0, R261 + S260, 0)</f>
        <v>0</v>
      </c>
      <c r="T261" s="1">
        <v>0</v>
      </c>
      <c r="U261" s="1">
        <f>IF(T261 + U260 &lt; 0, T261 + U260, 0)</f>
        <v>0</v>
      </c>
      <c r="V261" s="1">
        <v>0</v>
      </c>
      <c r="W261" s="1">
        <f>IF(V261 + W260 &lt; 0, V261 + W260, 0)</f>
        <v>0</v>
      </c>
      <c r="X261" s="1">
        <v>0</v>
      </c>
      <c r="Y261" s="1">
        <f>IF(X261 + Y260 &lt; 0, X261 + Y260, 0)</f>
        <v>0</v>
      </c>
      <c r="Z261" s="1">
        <v>0</v>
      </c>
      <c r="AA261" s="1">
        <f>IF(Z261 + AA260 &lt; 0, Z261 + AA260, 0)</f>
        <v>0</v>
      </c>
      <c r="AB261" s="1">
        <v>0</v>
      </c>
      <c r="AC261" s="1">
        <f>IF(AB261 + AC260 &lt; 0, AB261 + AC260, 0)</f>
        <v>0</v>
      </c>
      <c r="AD261" s="1">
        <v>0</v>
      </c>
      <c r="AE261" s="1">
        <f>IF(AD261 + AE260 &lt; 0, AD261 + AE260, 0)</f>
        <v>0</v>
      </c>
      <c r="AF261" s="1">
        <v>0</v>
      </c>
      <c r="AG261" s="1">
        <f>IF(AF261 + AG260 &lt; 0, AF261 + AG260, 0)</f>
        <v>0</v>
      </c>
      <c r="AH261" s="1">
        <v>0</v>
      </c>
      <c r="AI261" s="1">
        <f>IF(AH261 + AI260 &lt; 0, AH261 + AI260, 0)</f>
        <v>0</v>
      </c>
      <c r="AJ261" s="1">
        <v>0</v>
      </c>
      <c r="AK261" s="1">
        <f>IF(AJ261 + AK260 &lt; 0, AJ261 + AK260, 0)</f>
        <v>0</v>
      </c>
    </row>
    <row r="262" spans="1:37" s="1" customFormat="1">
      <c r="A262" s="3">
        <v>45678</v>
      </c>
      <c r="B262" s="2" t="s">
        <v>23</v>
      </c>
      <c r="C262" s="2">
        <v>8</v>
      </c>
      <c r="D262" s="2">
        <v>8</v>
      </c>
      <c r="E262" s="2">
        <v>8</v>
      </c>
      <c r="F262" s="2">
        <v>3</v>
      </c>
      <c r="G262" s="2">
        <v>1</v>
      </c>
      <c r="H262" s="1">
        <v>0</v>
      </c>
      <c r="I262" s="1">
        <f>IF(H262 + I261 &lt; 0, H262 + I261, 0)</f>
        <v>0</v>
      </c>
      <c r="J262" s="1">
        <v>0</v>
      </c>
      <c r="K262" s="1">
        <f>IF(J262 + K261 &lt; 0, J262 + K261, 0)</f>
        <v>0</v>
      </c>
      <c r="L262" s="1">
        <v>0</v>
      </c>
      <c r="M262" s="1">
        <f>IF(L262 + M261 &lt; 0, L262 + M261, 0)</f>
        <v>0</v>
      </c>
      <c r="N262" s="1">
        <v>0</v>
      </c>
      <c r="O262" s="1">
        <f>IF(N262 + O261 &lt; 0, N262 + O261, 0)</f>
        <v>0</v>
      </c>
      <c r="P262" s="1">
        <v>0</v>
      </c>
      <c r="Q262" s="1">
        <f>IF(P262 + Q261 &lt; 0, P262 + Q261, 0)</f>
        <v>0</v>
      </c>
      <c r="R262" s="1">
        <v>0</v>
      </c>
      <c r="S262" s="1">
        <f>IF(R262 + S261 &lt; 0, R262 + S261, 0)</f>
        <v>0</v>
      </c>
      <c r="T262" s="1">
        <v>0</v>
      </c>
      <c r="U262" s="1">
        <f>IF(T262 + U261 &lt; 0, T262 + U261, 0)</f>
        <v>0</v>
      </c>
      <c r="V262" s="1">
        <v>0</v>
      </c>
      <c r="W262" s="1">
        <f>IF(V262 + W261 &lt; 0, V262 + W261, 0)</f>
        <v>0</v>
      </c>
      <c r="X262" s="1">
        <v>0</v>
      </c>
      <c r="Y262" s="1">
        <f>IF(X262 + Y261 &lt; 0, X262 + Y261, 0)</f>
        <v>0</v>
      </c>
      <c r="Z262" s="1">
        <v>0</v>
      </c>
      <c r="AA262" s="1">
        <f>IF(Z262 + AA261 &lt; 0, Z262 + AA261, 0)</f>
        <v>0</v>
      </c>
      <c r="AB262" s="1">
        <v>0</v>
      </c>
      <c r="AC262" s="1">
        <f>IF(AB262 + AC261 &lt; 0, AB262 + AC261, 0)</f>
        <v>0</v>
      </c>
      <c r="AD262" s="1">
        <v>0</v>
      </c>
      <c r="AE262" s="1">
        <f>IF(AD262 + AE261 &lt; 0, AD262 + AE261, 0)</f>
        <v>0</v>
      </c>
      <c r="AF262" s="1">
        <v>-355145.216652221</v>
      </c>
      <c r="AG262" s="1">
        <f>IF(AF262 + AG261 &lt; 0, AF262 + AG261, 0)</f>
        <v>0</v>
      </c>
      <c r="AH262" s="1">
        <v>-436970.6523428921</v>
      </c>
      <c r="AI262" s="1">
        <f>IF(AH262 + AI261 &lt; 0, AH262 + AI261, 0)</f>
        <v>0</v>
      </c>
      <c r="AJ262" s="1">
        <v>-629532.32545378</v>
      </c>
      <c r="AK262" s="1">
        <f>IF(AJ262 + AK261 &lt; 0, AJ262 + AK261, 0)</f>
        <v>0</v>
      </c>
    </row>
    <row r="263" spans="1:37" s="1" customFormat="1">
      <c r="A263" s="3">
        <v>45679</v>
      </c>
      <c r="B263" s="2" t="s">
        <v>24</v>
      </c>
      <c r="C263" s="2">
        <v>7</v>
      </c>
      <c r="D263" s="2">
        <v>7</v>
      </c>
      <c r="E263" s="2">
        <v>7</v>
      </c>
      <c r="F263" s="2">
        <v>2</v>
      </c>
      <c r="G263" s="2">
        <v>5</v>
      </c>
      <c r="H263" s="1">
        <v>0</v>
      </c>
      <c r="I263" s="1">
        <f>IF(H263 + I262 &lt; 0, H263 + I262, 0)</f>
        <v>0</v>
      </c>
      <c r="J263" s="1">
        <v>0</v>
      </c>
      <c r="K263" s="1">
        <f>IF(J263 + K262 &lt; 0, J263 + K262, 0)</f>
        <v>0</v>
      </c>
      <c r="L263" s="1">
        <v>0</v>
      </c>
      <c r="M263" s="1">
        <f>IF(L263 + M262 &lt; 0, L263 + M262, 0)</f>
        <v>0</v>
      </c>
      <c r="N263" s="1">
        <v>0</v>
      </c>
      <c r="O263" s="1">
        <f>IF(N263 + O262 &lt; 0, N263 + O262, 0)</f>
        <v>0</v>
      </c>
      <c r="P263" s="1">
        <v>0</v>
      </c>
      <c r="Q263" s="1">
        <f>IF(P263 + Q262 &lt; 0, P263 + Q262, 0)</f>
        <v>0</v>
      </c>
      <c r="R263" s="1">
        <v>0</v>
      </c>
      <c r="S263" s="1">
        <f>IF(R263 + S262 &lt; 0, R263 + S262, 0)</f>
        <v>0</v>
      </c>
      <c r="T263" s="1">
        <v>0</v>
      </c>
      <c r="U263" s="1">
        <f>IF(T263 + U262 &lt; 0, T263 + U262, 0)</f>
        <v>0</v>
      </c>
      <c r="V263" s="1">
        <v>0</v>
      </c>
      <c r="W263" s="1">
        <f>IF(V263 + W262 &lt; 0, V263 + W262, 0)</f>
        <v>0</v>
      </c>
      <c r="X263" s="1">
        <v>0</v>
      </c>
      <c r="Y263" s="1">
        <f>IF(X263 + Y262 &lt; 0, X263 + Y262, 0)</f>
        <v>0</v>
      </c>
      <c r="Z263" s="1">
        <v>0</v>
      </c>
      <c r="AA263" s="1">
        <f>IF(Z263 + AA262 &lt; 0, Z263 + AA262, 0)</f>
        <v>0</v>
      </c>
      <c r="AB263" s="1">
        <v>0</v>
      </c>
      <c r="AC263" s="1">
        <f>IF(AB263 + AC262 &lt; 0, AB263 + AC262, 0)</f>
        <v>0</v>
      </c>
      <c r="AD263" s="1">
        <v>0</v>
      </c>
      <c r="AE263" s="1">
        <f>IF(AD263 + AE262 &lt; 0, AD263 + AE262, 0)</f>
        <v>0</v>
      </c>
      <c r="AF263" s="1">
        <v>0</v>
      </c>
      <c r="AG263" s="1">
        <f>IF(AF263 + AG262 &lt; 0, AF263 + AG262, 0)</f>
        <v>0</v>
      </c>
      <c r="AH263" s="1">
        <v>0</v>
      </c>
      <c r="AI263" s="1">
        <f>IF(AH263 + AI262 &lt; 0, AH263 + AI262, 0)</f>
        <v>0</v>
      </c>
      <c r="AJ263" s="1">
        <v>0</v>
      </c>
      <c r="AK263" s="1">
        <f>IF(AJ263 + AK262 &lt; 0, AJ263 + AK262, 0)</f>
        <v>0</v>
      </c>
    </row>
    <row r="264" spans="1:37" s="1" customFormat="1">
      <c r="A264" s="3">
        <v>45680</v>
      </c>
      <c r="B264" s="2" t="s">
        <v>25</v>
      </c>
      <c r="C264" s="2">
        <v>6</v>
      </c>
      <c r="D264" s="2">
        <v>6</v>
      </c>
      <c r="E264" s="2">
        <v>6</v>
      </c>
      <c r="F264" s="2">
        <v>1</v>
      </c>
      <c r="G264" s="2">
        <v>4</v>
      </c>
      <c r="H264" s="1">
        <v>0</v>
      </c>
      <c r="I264" s="1">
        <f>IF(H264 + I263 &lt; 0, H264 + I263, 0)</f>
        <v>0</v>
      </c>
      <c r="J264" s="1">
        <v>0</v>
      </c>
      <c r="K264" s="1">
        <f>IF(J264 + K263 &lt; 0, J264 + K263, 0)</f>
        <v>0</v>
      </c>
      <c r="L264" s="1">
        <v>0</v>
      </c>
      <c r="M264" s="1">
        <f>IF(L264 + M263 &lt; 0, L264 + M263, 0)</f>
        <v>0</v>
      </c>
      <c r="N264" s="1">
        <v>0</v>
      </c>
      <c r="O264" s="1">
        <f>IF(N264 + O263 &lt; 0, N264 + O263, 0)</f>
        <v>0</v>
      </c>
      <c r="P264" s="1">
        <v>0</v>
      </c>
      <c r="Q264" s="1">
        <f>IF(P264 + Q263 &lt; 0, P264 + Q263, 0)</f>
        <v>0</v>
      </c>
      <c r="R264" s="1">
        <v>0</v>
      </c>
      <c r="S264" s="1">
        <f>IF(R264 + S263 &lt; 0, R264 + S263, 0)</f>
        <v>0</v>
      </c>
      <c r="T264" s="1">
        <v>0</v>
      </c>
      <c r="U264" s="1">
        <f>IF(T264 + U263 &lt; 0, T264 + U263, 0)</f>
        <v>0</v>
      </c>
      <c r="V264" s="1">
        <v>0</v>
      </c>
      <c r="W264" s="1">
        <f>IF(V264 + W263 &lt; 0, V264 + W263, 0)</f>
        <v>0</v>
      </c>
      <c r="X264" s="1">
        <v>0</v>
      </c>
      <c r="Y264" s="1">
        <f>IF(X264 + Y263 &lt; 0, X264 + Y263, 0)</f>
        <v>0</v>
      </c>
      <c r="Z264" s="1">
        <v>730592.9947389939</v>
      </c>
      <c r="AA264" s="1">
        <f>IF(Z264 + AA263 &lt; 0, Z264 + AA263, 0)</f>
        <v>0</v>
      </c>
      <c r="AB264" s="1">
        <v>603931.38464754</v>
      </c>
      <c r="AC264" s="1">
        <f>IF(AB264 + AC263 &lt; 0, AB264 + AC263, 0)</f>
        <v>0</v>
      </c>
      <c r="AD264" s="1">
        <v>684682.2809947287</v>
      </c>
      <c r="AE264" s="1">
        <f>IF(AD264 + AE263 &lt; 0, AD264 + AE263, 0)</f>
        <v>0</v>
      </c>
      <c r="AF264" s="1">
        <v>0</v>
      </c>
      <c r="AG264" s="1">
        <f>IF(AF264 + AG263 &lt; 0, AF264 + AG263, 0)</f>
        <v>0</v>
      </c>
      <c r="AH264" s="1">
        <v>0</v>
      </c>
      <c r="AI264" s="1">
        <f>IF(AH264 + AI263 &lt; 0, AH264 + AI263, 0)</f>
        <v>0</v>
      </c>
      <c r="AJ264" s="1">
        <v>0</v>
      </c>
      <c r="AK264" s="1">
        <f>IF(AJ264 + AK263 &lt; 0, AJ264 + AK263, 0)</f>
        <v>0</v>
      </c>
    </row>
    <row r="265" spans="1:37" s="1" customFormat="1">
      <c r="A265" s="3">
        <v>45681</v>
      </c>
      <c r="B265" s="2" t="s">
        <v>26</v>
      </c>
      <c r="C265" s="2">
        <v>5</v>
      </c>
      <c r="D265" s="2">
        <v>5</v>
      </c>
      <c r="E265" s="2">
        <v>5</v>
      </c>
      <c r="F265" s="2">
        <v>5</v>
      </c>
      <c r="G265" s="2">
        <v>3</v>
      </c>
      <c r="H265" s="1">
        <v>0</v>
      </c>
      <c r="I265" s="1">
        <f>IF(H265 + I264 &lt; 0, H265 + I264, 0)</f>
        <v>0</v>
      </c>
      <c r="J265" s="1">
        <v>0</v>
      </c>
      <c r="K265" s="1">
        <f>IF(J265 + K264 &lt; 0, J265 + K264, 0)</f>
        <v>0</v>
      </c>
      <c r="L265" s="1">
        <v>0</v>
      </c>
      <c r="M265" s="1">
        <f>IF(L265 + M264 &lt; 0, L265 + M264, 0)</f>
        <v>0</v>
      </c>
      <c r="N265" s="1">
        <v>0</v>
      </c>
      <c r="O265" s="1">
        <f>IF(N265 + O264 &lt; 0, N265 + O264, 0)</f>
        <v>0</v>
      </c>
      <c r="P265" s="1">
        <v>0</v>
      </c>
      <c r="Q265" s="1">
        <f>IF(P265 + Q264 &lt; 0, P265 + Q264, 0)</f>
        <v>0</v>
      </c>
      <c r="R265" s="1">
        <v>0</v>
      </c>
      <c r="S265" s="1">
        <f>IF(R265 + S264 &lt; 0, R265 + S264, 0)</f>
        <v>0</v>
      </c>
      <c r="T265" s="1">
        <v>0</v>
      </c>
      <c r="U265" s="1">
        <f>IF(T265 + U264 &lt; 0, T265 + U264, 0)</f>
        <v>0</v>
      </c>
      <c r="V265" s="1">
        <v>0</v>
      </c>
      <c r="W265" s="1">
        <f>IF(V265 + W264 &lt; 0, V265 + W264, 0)</f>
        <v>0</v>
      </c>
      <c r="X265" s="1">
        <v>0</v>
      </c>
      <c r="Y265" s="1">
        <f>IF(X265 + Y264 &lt; 0, X265 + Y264, 0)</f>
        <v>0</v>
      </c>
      <c r="Z265" s="1">
        <v>0</v>
      </c>
      <c r="AA265" s="1">
        <f>IF(Z265 + AA264 &lt; 0, Z265 + AA264, 0)</f>
        <v>0</v>
      </c>
      <c r="AB265" s="1">
        <v>0</v>
      </c>
      <c r="AC265" s="1">
        <f>IF(AB265 + AC264 &lt; 0, AB265 + AC264, 0)</f>
        <v>0</v>
      </c>
      <c r="AD265" s="1">
        <v>0</v>
      </c>
      <c r="AE265" s="1">
        <f>IF(AD265 + AE264 &lt; 0, AD265 + AE264, 0)</f>
        <v>0</v>
      </c>
      <c r="AF265" s="1">
        <v>0</v>
      </c>
      <c r="AG265" s="1">
        <f>IF(AF265 + AG264 &lt; 0, AF265 + AG264, 0)</f>
        <v>0</v>
      </c>
      <c r="AH265" s="1">
        <v>0</v>
      </c>
      <c r="AI265" s="1">
        <f>IF(AH265 + AI264 &lt; 0, AH265 + AI264, 0)</f>
        <v>0</v>
      </c>
      <c r="AJ265" s="1">
        <v>0</v>
      </c>
      <c r="AK265" s="1">
        <f>IF(AJ265 + AK264 &lt; 0, AJ265 + AK264, 0)</f>
        <v>0</v>
      </c>
    </row>
    <row r="266" spans="1:37" s="1" customFormat="1">
      <c r="A266" s="3">
        <v>45684</v>
      </c>
      <c r="B266" s="2" t="s">
        <v>22</v>
      </c>
      <c r="C266" s="2">
        <v>4</v>
      </c>
      <c r="D266" s="2">
        <v>4</v>
      </c>
      <c r="E266" s="2">
        <v>4</v>
      </c>
      <c r="F266" s="2">
        <v>4</v>
      </c>
      <c r="G266" s="2">
        <v>2</v>
      </c>
      <c r="H266" s="1">
        <v>0</v>
      </c>
      <c r="I266" s="1">
        <f>IF(H266 + I265 &lt; 0, H266 + I265, 0)</f>
        <v>0</v>
      </c>
      <c r="J266" s="1">
        <v>0</v>
      </c>
      <c r="K266" s="1">
        <f>IF(J266 + K265 &lt; 0, J266 + K265, 0)</f>
        <v>0</v>
      </c>
      <c r="L266" s="1">
        <v>0</v>
      </c>
      <c r="M266" s="1">
        <f>IF(L266 + M265 &lt; 0, L266 + M265, 0)</f>
        <v>0</v>
      </c>
      <c r="N266" s="1">
        <v>0</v>
      </c>
      <c r="O266" s="1">
        <f>IF(N266 + O265 &lt; 0, N266 + O265, 0)</f>
        <v>0</v>
      </c>
      <c r="P266" s="1">
        <v>0</v>
      </c>
      <c r="Q266" s="1">
        <f>IF(P266 + Q265 &lt; 0, P266 + Q265, 0)</f>
        <v>0</v>
      </c>
      <c r="R266" s="1">
        <v>0</v>
      </c>
      <c r="S266" s="1">
        <f>IF(R266 + S265 &lt; 0, R266 + S265, 0)</f>
        <v>0</v>
      </c>
      <c r="T266" s="1">
        <v>0</v>
      </c>
      <c r="U266" s="1">
        <f>IF(T266 + U265 &lt; 0, T266 + U265, 0)</f>
        <v>0</v>
      </c>
      <c r="V266" s="1">
        <v>0</v>
      </c>
      <c r="W266" s="1">
        <f>IF(V266 + W265 &lt; 0, V266 + W265, 0)</f>
        <v>0</v>
      </c>
      <c r="X266" s="1">
        <v>0</v>
      </c>
      <c r="Y266" s="1">
        <f>IF(X266 + Y265 &lt; 0, X266 + Y265, 0)</f>
        <v>0</v>
      </c>
      <c r="Z266" s="1">
        <v>0</v>
      </c>
      <c r="AA266" s="1">
        <f>IF(Z266 + AA265 &lt; 0, Z266 + AA265, 0)</f>
        <v>0</v>
      </c>
      <c r="AB266" s="1">
        <v>0</v>
      </c>
      <c r="AC266" s="1">
        <f>IF(AB266 + AC265 &lt; 0, AB266 + AC265, 0)</f>
        <v>0</v>
      </c>
      <c r="AD266" s="1">
        <v>0</v>
      </c>
      <c r="AE266" s="1">
        <f>IF(AD266 + AE265 &lt; 0, AD266 + AE265, 0)</f>
        <v>0</v>
      </c>
      <c r="AF266" s="1">
        <v>0</v>
      </c>
      <c r="AG266" s="1">
        <f>IF(AF266 + AG265 &lt; 0, AF266 + AG265, 0)</f>
        <v>0</v>
      </c>
      <c r="AH266" s="1">
        <v>0</v>
      </c>
      <c r="AI266" s="1">
        <f>IF(AH266 + AI265 &lt; 0, AH266 + AI265, 0)</f>
        <v>0</v>
      </c>
      <c r="AJ266" s="1">
        <v>0</v>
      </c>
      <c r="AK266" s="1">
        <f>IF(AJ266 + AK265 &lt; 0, AJ266 + AK265, 0)</f>
        <v>0</v>
      </c>
    </row>
    <row r="267" spans="1:37" s="1" customFormat="1">
      <c r="A267" s="3">
        <v>45685</v>
      </c>
      <c r="B267" s="2" t="s">
        <v>23</v>
      </c>
      <c r="C267" s="2">
        <v>3</v>
      </c>
      <c r="D267" s="2">
        <v>3</v>
      </c>
      <c r="E267" s="2">
        <v>3</v>
      </c>
      <c r="F267" s="2">
        <v>3</v>
      </c>
      <c r="G267" s="2">
        <v>1</v>
      </c>
      <c r="H267" s="1">
        <v>0</v>
      </c>
      <c r="I267" s="1">
        <f>IF(H267 + I266 &lt; 0, H267 + I266, 0)</f>
        <v>0</v>
      </c>
      <c r="J267" s="1">
        <v>0</v>
      </c>
      <c r="K267" s="1">
        <f>IF(J267 + K266 &lt; 0, J267 + K266, 0)</f>
        <v>0</v>
      </c>
      <c r="L267" s="1">
        <v>0</v>
      </c>
      <c r="M267" s="1">
        <f>IF(L267 + M266 &lt; 0, L267 + M266, 0)</f>
        <v>0</v>
      </c>
      <c r="N267" s="1">
        <v>0</v>
      </c>
      <c r="O267" s="1">
        <f>IF(N267 + O266 &lt; 0, N267 + O266, 0)</f>
        <v>0</v>
      </c>
      <c r="P267" s="1">
        <v>0</v>
      </c>
      <c r="Q267" s="1">
        <f>IF(P267 + Q266 &lt; 0, P267 + Q266, 0)</f>
        <v>0</v>
      </c>
      <c r="R267" s="1">
        <v>0</v>
      </c>
      <c r="S267" s="1">
        <f>IF(R267 + S266 &lt; 0, R267 + S266, 0)</f>
        <v>0</v>
      </c>
      <c r="T267" s="1">
        <v>0</v>
      </c>
      <c r="U267" s="1">
        <f>IF(T267 + U266 &lt; 0, T267 + U266, 0)</f>
        <v>0</v>
      </c>
      <c r="V267" s="1">
        <v>0</v>
      </c>
      <c r="W267" s="1">
        <f>IF(V267 + W266 &lt; 0, V267 + W266, 0)</f>
        <v>0</v>
      </c>
      <c r="X267" s="1">
        <v>0</v>
      </c>
      <c r="Y267" s="1">
        <f>IF(X267 + Y266 &lt; 0, X267 + Y266, 0)</f>
        <v>0</v>
      </c>
      <c r="Z267" s="1">
        <v>0</v>
      </c>
      <c r="AA267" s="1">
        <f>IF(Z267 + AA266 &lt; 0, Z267 + AA266, 0)</f>
        <v>0</v>
      </c>
      <c r="AB267" s="1">
        <v>0</v>
      </c>
      <c r="AC267" s="1">
        <f>IF(AB267 + AC266 &lt; 0, AB267 + AC266, 0)</f>
        <v>0</v>
      </c>
      <c r="AD267" s="1">
        <v>0</v>
      </c>
      <c r="AE267" s="1">
        <f>IF(AD267 + AE266 &lt; 0, AD267 + AE266, 0)</f>
        <v>0</v>
      </c>
      <c r="AF267" s="1">
        <v>456912.2308498513</v>
      </c>
      <c r="AG267" s="1">
        <f>IF(AF267 + AG266 &lt; 0, AF267 + AG266, 0)</f>
        <v>0</v>
      </c>
      <c r="AH267" s="1">
        <v>-27755.76024826032</v>
      </c>
      <c r="AI267" s="1">
        <f>IF(AH267 + AI266 &lt; 0, AH267 + AI266, 0)</f>
        <v>0</v>
      </c>
      <c r="AJ267" s="1">
        <v>-169391.2770495309</v>
      </c>
      <c r="AK267" s="1">
        <f>IF(AJ267 + AK266 &lt; 0, AJ267 + AK266, 0)</f>
        <v>0</v>
      </c>
    </row>
    <row r="268" spans="1:37" s="1" customFormat="1">
      <c r="A268" s="3">
        <v>45686</v>
      </c>
      <c r="B268" s="2" t="s">
        <v>24</v>
      </c>
      <c r="C268" s="2">
        <v>2</v>
      </c>
      <c r="D268" s="2">
        <v>2</v>
      </c>
      <c r="E268" s="2">
        <v>2</v>
      </c>
      <c r="F268" s="2">
        <v>2</v>
      </c>
      <c r="G268" s="2">
        <v>6</v>
      </c>
      <c r="H268" s="1">
        <v>0</v>
      </c>
      <c r="I268" s="1">
        <f>IF(H268 + I267 &lt; 0, H268 + I267, 0)</f>
        <v>0</v>
      </c>
      <c r="J268" s="1">
        <v>0</v>
      </c>
      <c r="K268" s="1">
        <f>IF(J268 + K267 &lt; 0, J268 + K267, 0)</f>
        <v>0</v>
      </c>
      <c r="L268" s="1">
        <v>0</v>
      </c>
      <c r="M268" s="1">
        <f>IF(L268 + M267 &lt; 0, L268 + M267, 0)</f>
        <v>0</v>
      </c>
      <c r="N268" s="1">
        <v>0</v>
      </c>
      <c r="O268" s="1">
        <f>IF(N268 + O267 &lt; 0, N268 + O267, 0)</f>
        <v>0</v>
      </c>
      <c r="P268" s="1">
        <v>0</v>
      </c>
      <c r="Q268" s="1">
        <f>IF(P268 + Q267 &lt; 0, P268 + Q267, 0)</f>
        <v>0</v>
      </c>
      <c r="R268" s="1">
        <v>0</v>
      </c>
      <c r="S268" s="1">
        <f>IF(R268 + S267 &lt; 0, R268 + S267, 0)</f>
        <v>0</v>
      </c>
      <c r="T268" s="1">
        <v>0</v>
      </c>
      <c r="U268" s="1">
        <f>IF(T268 + U267 &lt; 0, T268 + U267, 0)</f>
        <v>0</v>
      </c>
      <c r="V268" s="1">
        <v>0</v>
      </c>
      <c r="W268" s="1">
        <f>IF(V268 + W267 &lt; 0, V268 + W267, 0)</f>
        <v>0</v>
      </c>
      <c r="X268" s="1">
        <v>0</v>
      </c>
      <c r="Y268" s="1">
        <f>IF(X268 + Y267 &lt; 0, X268 + Y267, 0)</f>
        <v>0</v>
      </c>
      <c r="Z268" s="1">
        <v>0</v>
      </c>
      <c r="AA268" s="1">
        <f>IF(Z268 + AA267 &lt; 0, Z268 + AA267, 0)</f>
        <v>0</v>
      </c>
      <c r="AB268" s="1">
        <v>0</v>
      </c>
      <c r="AC268" s="1">
        <f>IF(AB268 + AC267 &lt; 0, AB268 + AC267, 0)</f>
        <v>0</v>
      </c>
      <c r="AD268" s="1">
        <v>0</v>
      </c>
      <c r="AE268" s="1">
        <f>IF(AD268 + AE267 &lt; 0, AD268 + AE267, 0)</f>
        <v>0</v>
      </c>
      <c r="AF268" s="1">
        <v>0</v>
      </c>
      <c r="AG268" s="1">
        <f>IF(AF268 + AG267 &lt; 0, AF268 + AG267, 0)</f>
        <v>0</v>
      </c>
      <c r="AH268" s="1">
        <v>0</v>
      </c>
      <c r="AI268" s="1">
        <f>IF(AH268 + AI267 &lt; 0, AH268 + AI267, 0)</f>
        <v>0</v>
      </c>
      <c r="AJ268" s="1">
        <v>0</v>
      </c>
      <c r="AK268" s="1">
        <f>IF(AJ268 + AK267 &lt; 0, AJ268 + AK267, 0)</f>
        <v>0</v>
      </c>
    </row>
    <row r="269" spans="1:37" s="1" customFormat="1">
      <c r="A269" s="3">
        <v>45687</v>
      </c>
      <c r="B269" s="2" t="s">
        <v>25</v>
      </c>
      <c r="C269" s="2">
        <v>1</v>
      </c>
      <c r="D269" s="2">
        <v>1</v>
      </c>
      <c r="E269" s="2">
        <v>1</v>
      </c>
      <c r="F269" s="2">
        <v>1</v>
      </c>
      <c r="G269" s="2">
        <v>5</v>
      </c>
      <c r="H269" s="1">
        <v>0</v>
      </c>
      <c r="I269" s="1">
        <f>IF(H269 + I268 &lt; 0, H269 + I268, 0)</f>
        <v>0</v>
      </c>
      <c r="J269" s="1">
        <v>0</v>
      </c>
      <c r="K269" s="1">
        <f>IF(J269 + K268 &lt; 0, J269 + K268, 0)</f>
        <v>0</v>
      </c>
      <c r="L269" s="1">
        <v>0</v>
      </c>
      <c r="M269" s="1">
        <f>IF(L269 + M268 &lt; 0, L269 + M268, 0)</f>
        <v>0</v>
      </c>
      <c r="N269" s="1">
        <v>0</v>
      </c>
      <c r="O269" s="1">
        <f>IF(N269 + O268 &lt; 0, N269 + O268, 0)</f>
        <v>0</v>
      </c>
      <c r="P269" s="1">
        <v>0</v>
      </c>
      <c r="Q269" s="1">
        <f>IF(P269 + Q268 &lt; 0, P269 + Q268, 0)</f>
        <v>0</v>
      </c>
      <c r="R269" s="1">
        <v>0</v>
      </c>
      <c r="S269" s="1">
        <f>IF(R269 + S268 &lt; 0, R269 + S268, 0)</f>
        <v>0</v>
      </c>
      <c r="T269" s="1">
        <v>0</v>
      </c>
      <c r="U269" s="1">
        <f>IF(T269 + U268 &lt; 0, T269 + U268, 0)</f>
        <v>0</v>
      </c>
      <c r="V269" s="1">
        <v>0</v>
      </c>
      <c r="W269" s="1">
        <f>IF(V269 + W268 &lt; 0, V269 + W268, 0)</f>
        <v>0</v>
      </c>
      <c r="X269" s="1">
        <v>0</v>
      </c>
      <c r="Y269" s="1">
        <f>IF(X269 + Y268 &lt; 0, X269 + Y268, 0)</f>
        <v>0</v>
      </c>
      <c r="Z269" s="1">
        <v>138065.9725606045</v>
      </c>
      <c r="AA269" s="1">
        <f>IF(Z269 + AA268 &lt; 0, Z269 + AA268, 0)</f>
        <v>0</v>
      </c>
      <c r="AB269" s="1">
        <v>706378.2401541752</v>
      </c>
      <c r="AC269" s="1">
        <f>IF(AB269 + AC268 &lt; 0, AB269 + AC268, 0)</f>
        <v>0</v>
      </c>
      <c r="AD269" s="1">
        <v>687616.0211221883</v>
      </c>
      <c r="AE269" s="1">
        <f>IF(AD269 + AE268 &lt; 0, AD269 + AE268, 0)</f>
        <v>0</v>
      </c>
      <c r="AF269" s="1">
        <v>0</v>
      </c>
      <c r="AG269" s="1">
        <f>IF(AF269 + AG268 &lt; 0, AF269 + AG268, 0)</f>
        <v>0</v>
      </c>
      <c r="AH269" s="1">
        <v>0</v>
      </c>
      <c r="AI269" s="1">
        <f>IF(AH269 + AI268 &lt; 0, AH269 + AI268, 0)</f>
        <v>0</v>
      </c>
      <c r="AJ269" s="1">
        <v>0</v>
      </c>
      <c r="AK269" s="1">
        <f>IF(AJ269 + AK268 &lt; 0, AJ269 + AK268, 0)</f>
        <v>0</v>
      </c>
    </row>
    <row r="270" spans="1:37" s="1" customFormat="1">
      <c r="A270" s="3">
        <v>45688</v>
      </c>
      <c r="B270" s="2" t="s">
        <v>26</v>
      </c>
      <c r="C270" s="2">
        <v>20</v>
      </c>
      <c r="D270" s="2">
        <v>20</v>
      </c>
      <c r="E270" s="2">
        <v>20</v>
      </c>
      <c r="F270" s="2">
        <v>6</v>
      </c>
      <c r="G270" s="2">
        <v>4</v>
      </c>
      <c r="H270" s="1">
        <v>0</v>
      </c>
      <c r="I270" s="1">
        <f>IF(H270 + I269 &lt; 0, H270 + I269, 0)</f>
        <v>0</v>
      </c>
      <c r="J270" s="1">
        <v>0</v>
      </c>
      <c r="K270" s="1">
        <f>IF(J270 + K269 &lt; 0, J270 + K269, 0)</f>
        <v>0</v>
      </c>
      <c r="L270" s="1">
        <v>0</v>
      </c>
      <c r="M270" s="1">
        <f>IF(L270 + M269 &lt; 0, L270 + M269, 0)</f>
        <v>0</v>
      </c>
      <c r="N270" s="1">
        <v>0</v>
      </c>
      <c r="O270" s="1">
        <f>IF(N270 + O269 &lt; 0, N270 + O269, 0)</f>
        <v>0</v>
      </c>
      <c r="P270" s="1">
        <v>0</v>
      </c>
      <c r="Q270" s="1">
        <f>IF(P270 + Q269 &lt; 0, P270 + Q269, 0)</f>
        <v>0</v>
      </c>
      <c r="R270" s="1">
        <v>0</v>
      </c>
      <c r="S270" s="1">
        <f>IF(R270 + S269 &lt; 0, R270 + S269, 0)</f>
        <v>0</v>
      </c>
      <c r="T270" s="1">
        <v>0</v>
      </c>
      <c r="U270" s="1">
        <f>IF(T270 + U269 &lt; 0, T270 + U269, 0)</f>
        <v>0</v>
      </c>
      <c r="V270" s="1">
        <v>0</v>
      </c>
      <c r="W270" s="1">
        <f>IF(V270 + W269 &lt; 0, V270 + W269, 0)</f>
        <v>0</v>
      </c>
      <c r="X270" s="1">
        <v>0</v>
      </c>
      <c r="Y270" s="1">
        <f>IF(X270 + Y269 &lt; 0, X270 + Y269, 0)</f>
        <v>0</v>
      </c>
      <c r="Z270" s="1">
        <v>0</v>
      </c>
      <c r="AA270" s="1">
        <f>IF(Z270 + AA269 &lt; 0, Z270 + AA269, 0)</f>
        <v>0</v>
      </c>
      <c r="AB270" s="1">
        <v>0</v>
      </c>
      <c r="AC270" s="1">
        <f>IF(AB270 + AC269 &lt; 0, AB270 + AC269, 0)</f>
        <v>0</v>
      </c>
      <c r="AD270" s="1">
        <v>0</v>
      </c>
      <c r="AE270" s="1">
        <f>IF(AD270 + AE269 &lt; 0, AD270 + AE269, 0)</f>
        <v>0</v>
      </c>
      <c r="AF270" s="1">
        <v>0</v>
      </c>
      <c r="AG270" s="1">
        <f>IF(AF270 + AG269 &lt; 0, AF270 + AG269, 0)</f>
        <v>0</v>
      </c>
      <c r="AH270" s="1">
        <v>0</v>
      </c>
      <c r="AI270" s="1">
        <f>IF(AH270 + AI269 &lt; 0, AH270 + AI269, 0)</f>
        <v>0</v>
      </c>
      <c r="AJ270" s="1">
        <v>0</v>
      </c>
      <c r="AK270" s="1">
        <f>IF(AJ270 + AK269 &lt; 0, AJ270 + AK269, 0)</f>
        <v>0</v>
      </c>
    </row>
    <row r="271" spans="1:37" s="1" customFormat="1">
      <c r="A271" s="3">
        <v>45689</v>
      </c>
      <c r="B271" s="2" t="s">
        <v>27</v>
      </c>
      <c r="C271" s="2">
        <v>19</v>
      </c>
      <c r="D271" s="2">
        <v>19</v>
      </c>
      <c r="E271" s="2">
        <v>19</v>
      </c>
      <c r="F271" s="2">
        <v>5</v>
      </c>
      <c r="G271" s="2">
        <v>3</v>
      </c>
      <c r="H271" s="1">
        <v>0</v>
      </c>
      <c r="I271" s="1">
        <f>IF(H271 + I270 &lt; 0, H271 + I270, 0)</f>
        <v>0</v>
      </c>
      <c r="J271" s="1">
        <v>0</v>
      </c>
      <c r="K271" s="1">
        <f>IF(J271 + K270 &lt; 0, J271 + K270, 0)</f>
        <v>0</v>
      </c>
      <c r="L271" s="1">
        <v>0</v>
      </c>
      <c r="M271" s="1">
        <f>IF(L271 + M270 &lt; 0, L271 + M270, 0)</f>
        <v>0</v>
      </c>
      <c r="N271" s="1">
        <v>0</v>
      </c>
      <c r="O271" s="1">
        <f>IF(N271 + O270 &lt; 0, N271 + O270, 0)</f>
        <v>0</v>
      </c>
      <c r="P271" s="1">
        <v>0</v>
      </c>
      <c r="Q271" s="1">
        <f>IF(P271 + Q270 &lt; 0, P271 + Q270, 0)</f>
        <v>0</v>
      </c>
      <c r="R271" s="1">
        <v>0</v>
      </c>
      <c r="S271" s="1">
        <f>IF(R271 + S270 &lt; 0, R271 + S270, 0)</f>
        <v>0</v>
      </c>
      <c r="T271" s="1">
        <v>0</v>
      </c>
      <c r="U271" s="1">
        <f>IF(T271 + U270 &lt; 0, T271 + U270, 0)</f>
        <v>0</v>
      </c>
      <c r="V271" s="1">
        <v>0</v>
      </c>
      <c r="W271" s="1">
        <f>IF(V271 + W270 &lt; 0, V271 + W270, 0)</f>
        <v>0</v>
      </c>
      <c r="X271" s="1">
        <v>0</v>
      </c>
      <c r="Y271" s="1">
        <f>IF(X271 + Y270 &lt; 0, X271 + Y270, 0)</f>
        <v>0</v>
      </c>
      <c r="Z271" s="1">
        <v>0</v>
      </c>
      <c r="AA271" s="1">
        <f>IF(Z271 + AA270 &lt; 0, Z271 + AA270, 0)</f>
        <v>0</v>
      </c>
      <c r="AB271" s="1">
        <v>0</v>
      </c>
      <c r="AC271" s="1">
        <f>IF(AB271 + AC270 &lt; 0, AB271 + AC270, 0)</f>
        <v>0</v>
      </c>
      <c r="AD271" s="1">
        <v>0</v>
      </c>
      <c r="AE271" s="1">
        <f>IF(AD271 + AE270 &lt; 0, AD271 + AE270, 0)</f>
        <v>0</v>
      </c>
      <c r="AF271" s="1">
        <v>0</v>
      </c>
      <c r="AG271" s="1">
        <f>IF(AF271 + AG270 &lt; 0, AF271 + AG270, 0)</f>
        <v>0</v>
      </c>
      <c r="AH271" s="1">
        <v>0</v>
      </c>
      <c r="AI271" s="1">
        <f>IF(AH271 + AI270 &lt; 0, AH271 + AI270, 0)</f>
        <v>0</v>
      </c>
      <c r="AJ271" s="1">
        <v>0</v>
      </c>
      <c r="AK271" s="1">
        <f>IF(AJ271 + AK270 &lt; 0, AJ271 + AK270, 0)</f>
        <v>0</v>
      </c>
    </row>
    <row r="272" spans="1:37" s="1" customFormat="1">
      <c r="A272" s="3">
        <v>45691</v>
      </c>
      <c r="B272" s="2" t="s">
        <v>22</v>
      </c>
      <c r="C272" s="2">
        <v>18</v>
      </c>
      <c r="D272" s="2">
        <v>18</v>
      </c>
      <c r="E272" s="2">
        <v>18</v>
      </c>
      <c r="F272" s="2">
        <v>4</v>
      </c>
      <c r="G272" s="2">
        <v>2</v>
      </c>
      <c r="H272" s="1">
        <v>0</v>
      </c>
      <c r="I272" s="1">
        <f>IF(H272 + I271 &lt; 0, H272 + I271, 0)</f>
        <v>0</v>
      </c>
      <c r="J272" s="1">
        <v>0</v>
      </c>
      <c r="K272" s="1">
        <f>IF(J272 + K271 &lt; 0, J272 + K271, 0)</f>
        <v>0</v>
      </c>
      <c r="L272" s="1">
        <v>0</v>
      </c>
      <c r="M272" s="1">
        <f>IF(L272 + M271 &lt; 0, L272 + M271, 0)</f>
        <v>0</v>
      </c>
      <c r="N272" s="1">
        <v>0</v>
      </c>
      <c r="O272" s="1">
        <f>IF(N272 + O271 &lt; 0, N272 + O271, 0)</f>
        <v>0</v>
      </c>
      <c r="P272" s="1">
        <v>0</v>
      </c>
      <c r="Q272" s="1">
        <f>IF(P272 + Q271 &lt; 0, P272 + Q271, 0)</f>
        <v>0</v>
      </c>
      <c r="R272" s="1">
        <v>0</v>
      </c>
      <c r="S272" s="1">
        <f>IF(R272 + S271 &lt; 0, R272 + S271, 0)</f>
        <v>0</v>
      </c>
      <c r="T272" s="1">
        <v>0</v>
      </c>
      <c r="U272" s="1">
        <f>IF(T272 + U271 &lt; 0, T272 + U271, 0)</f>
        <v>0</v>
      </c>
      <c r="V272" s="1">
        <v>0</v>
      </c>
      <c r="W272" s="1">
        <f>IF(V272 + W271 &lt; 0, V272 + W271, 0)</f>
        <v>0</v>
      </c>
      <c r="X272" s="1">
        <v>0</v>
      </c>
      <c r="Y272" s="1">
        <f>IF(X272 + Y271 &lt; 0, X272 + Y271, 0)</f>
        <v>0</v>
      </c>
      <c r="Z272" s="1">
        <v>0</v>
      </c>
      <c r="AA272" s="1">
        <f>IF(Z272 + AA271 &lt; 0, Z272 + AA271, 0)</f>
        <v>0</v>
      </c>
      <c r="AB272" s="1">
        <v>0</v>
      </c>
      <c r="AC272" s="1">
        <f>IF(AB272 + AC271 &lt; 0, AB272 + AC271, 0)</f>
        <v>0</v>
      </c>
      <c r="AD272" s="1">
        <v>0</v>
      </c>
      <c r="AE272" s="1">
        <f>IF(AD272 + AE271 &lt; 0, AD272 + AE271, 0)</f>
        <v>0</v>
      </c>
      <c r="AF272" s="1">
        <v>0</v>
      </c>
      <c r="AG272" s="1">
        <f>IF(AF272 + AG271 &lt; 0, AF272 + AG271, 0)</f>
        <v>0</v>
      </c>
      <c r="AH272" s="1">
        <v>0</v>
      </c>
      <c r="AI272" s="1">
        <f>IF(AH272 + AI271 &lt; 0, AH272 + AI271, 0)</f>
        <v>0</v>
      </c>
      <c r="AJ272" s="1">
        <v>0</v>
      </c>
      <c r="AK272" s="1">
        <f>IF(AJ272 + AK271 &lt; 0, AJ272 + AK271, 0)</f>
        <v>0</v>
      </c>
    </row>
    <row r="273" spans="1:37" s="1" customFormat="1">
      <c r="A273" s="3">
        <v>45692</v>
      </c>
      <c r="B273" s="2" t="s">
        <v>23</v>
      </c>
      <c r="C273" s="2">
        <v>17</v>
      </c>
      <c r="D273" s="2">
        <v>17</v>
      </c>
      <c r="E273" s="2">
        <v>17</v>
      </c>
      <c r="F273" s="2">
        <v>3</v>
      </c>
      <c r="G273" s="2">
        <v>1</v>
      </c>
      <c r="H273" s="1">
        <v>0</v>
      </c>
      <c r="I273" s="1">
        <f>IF(H273 + I272 &lt; 0, H273 + I272, 0)</f>
        <v>0</v>
      </c>
      <c r="J273" s="1">
        <v>0</v>
      </c>
      <c r="K273" s="1">
        <f>IF(J273 + K272 &lt; 0, J273 + K272, 0)</f>
        <v>0</v>
      </c>
      <c r="L273" s="1">
        <v>0</v>
      </c>
      <c r="M273" s="1">
        <f>IF(L273 + M272 &lt; 0, L273 + M272, 0)</f>
        <v>0</v>
      </c>
      <c r="N273" s="1">
        <v>0</v>
      </c>
      <c r="O273" s="1">
        <f>IF(N273 + O272 &lt; 0, N273 + O272, 0)</f>
        <v>0</v>
      </c>
      <c r="P273" s="1">
        <v>0</v>
      </c>
      <c r="Q273" s="1">
        <f>IF(P273 + Q272 &lt; 0, P273 + Q272, 0)</f>
        <v>0</v>
      </c>
      <c r="R273" s="1">
        <v>0</v>
      </c>
      <c r="S273" s="1">
        <f>IF(R273 + S272 &lt; 0, R273 + S272, 0)</f>
        <v>0</v>
      </c>
      <c r="T273" s="1">
        <v>0</v>
      </c>
      <c r="U273" s="1">
        <f>IF(T273 + U272 &lt; 0, T273 + U272, 0)</f>
        <v>0</v>
      </c>
      <c r="V273" s="1">
        <v>0</v>
      </c>
      <c r="W273" s="1">
        <f>IF(V273 + W272 &lt; 0, V273 + W272, 0)</f>
        <v>0</v>
      </c>
      <c r="X273" s="1">
        <v>0</v>
      </c>
      <c r="Y273" s="1">
        <f>IF(X273 + Y272 &lt; 0, X273 + Y272, 0)</f>
        <v>0</v>
      </c>
      <c r="Z273" s="1">
        <v>0</v>
      </c>
      <c r="AA273" s="1">
        <f>IF(Z273 + AA272 &lt; 0, Z273 + AA272, 0)</f>
        <v>0</v>
      </c>
      <c r="AB273" s="1">
        <v>0</v>
      </c>
      <c r="AC273" s="1">
        <f>IF(AB273 + AC272 &lt; 0, AB273 + AC272, 0)</f>
        <v>0</v>
      </c>
      <c r="AD273" s="1">
        <v>0</v>
      </c>
      <c r="AE273" s="1">
        <f>IF(AD273 + AE272 &lt; 0, AD273 + AE272, 0)</f>
        <v>0</v>
      </c>
      <c r="AF273" s="1">
        <v>1417833.251120639</v>
      </c>
      <c r="AG273" s="1">
        <f>IF(AF273 + AG272 &lt; 0, AF273 + AG272, 0)</f>
        <v>0</v>
      </c>
      <c r="AH273" s="1">
        <v>1144853.570452607</v>
      </c>
      <c r="AI273" s="1">
        <f>IF(AH273 + AI272 &lt; 0, AH273 + AI272, 0)</f>
        <v>0</v>
      </c>
      <c r="AJ273" s="1">
        <v>432460.3629940473</v>
      </c>
      <c r="AK273" s="1">
        <f>IF(AJ273 + AK272 &lt; 0, AJ273 + AK272, 0)</f>
        <v>0</v>
      </c>
    </row>
    <row r="274" spans="1:37" s="1" customFormat="1">
      <c r="A274" s="3">
        <v>45693</v>
      </c>
      <c r="B274" s="2" t="s">
        <v>24</v>
      </c>
      <c r="C274" s="2">
        <v>16</v>
      </c>
      <c r="D274" s="2">
        <v>16</v>
      </c>
      <c r="E274" s="2">
        <v>16</v>
      </c>
      <c r="F274" s="2">
        <v>2</v>
      </c>
      <c r="G274" s="2">
        <v>5</v>
      </c>
      <c r="H274" s="1">
        <v>0</v>
      </c>
      <c r="I274" s="1">
        <f>IF(H274 + I273 &lt; 0, H274 + I273, 0)</f>
        <v>0</v>
      </c>
      <c r="J274" s="1">
        <v>0</v>
      </c>
      <c r="K274" s="1">
        <f>IF(J274 + K273 &lt; 0, J274 + K273, 0)</f>
        <v>0</v>
      </c>
      <c r="L274" s="1">
        <v>0</v>
      </c>
      <c r="M274" s="1">
        <f>IF(L274 + M273 &lt; 0, L274 + M273, 0)</f>
        <v>0</v>
      </c>
      <c r="N274" s="1">
        <v>0</v>
      </c>
      <c r="O274" s="1">
        <f>IF(N274 + O273 &lt; 0, N274 + O273, 0)</f>
        <v>0</v>
      </c>
      <c r="P274" s="1">
        <v>0</v>
      </c>
      <c r="Q274" s="1">
        <f>IF(P274 + Q273 &lt; 0, P274 + Q273, 0)</f>
        <v>0</v>
      </c>
      <c r="R274" s="1">
        <v>0</v>
      </c>
      <c r="S274" s="1">
        <f>IF(R274 + S273 &lt; 0, R274 + S273, 0)</f>
        <v>0</v>
      </c>
      <c r="T274" s="1">
        <v>0</v>
      </c>
      <c r="U274" s="1">
        <f>IF(T274 + U273 &lt; 0, T274 + U273, 0)</f>
        <v>0</v>
      </c>
      <c r="V274" s="1">
        <v>0</v>
      </c>
      <c r="W274" s="1">
        <f>IF(V274 + W273 &lt; 0, V274 + W273, 0)</f>
        <v>0</v>
      </c>
      <c r="X274" s="1">
        <v>0</v>
      </c>
      <c r="Y274" s="1">
        <f>IF(X274 + Y273 &lt; 0, X274 + Y273, 0)</f>
        <v>0</v>
      </c>
      <c r="Z274" s="1">
        <v>0</v>
      </c>
      <c r="AA274" s="1">
        <f>IF(Z274 + AA273 &lt; 0, Z274 + AA273, 0)</f>
        <v>0</v>
      </c>
      <c r="AB274" s="1">
        <v>0</v>
      </c>
      <c r="AC274" s="1">
        <f>IF(AB274 + AC273 &lt; 0, AB274 + AC273, 0)</f>
        <v>0</v>
      </c>
      <c r="AD274" s="1">
        <v>0</v>
      </c>
      <c r="AE274" s="1">
        <f>IF(AD274 + AE273 &lt; 0, AD274 + AE273, 0)</f>
        <v>0</v>
      </c>
      <c r="AF274" s="1">
        <v>0</v>
      </c>
      <c r="AG274" s="1">
        <f>IF(AF274 + AG273 &lt; 0, AF274 + AG273, 0)</f>
        <v>0</v>
      </c>
      <c r="AH274" s="1">
        <v>0</v>
      </c>
      <c r="AI274" s="1">
        <f>IF(AH274 + AI273 &lt; 0, AH274 + AI273, 0)</f>
        <v>0</v>
      </c>
      <c r="AJ274" s="1">
        <v>0</v>
      </c>
      <c r="AK274" s="1">
        <f>IF(AJ274 + AK273 &lt; 0, AJ274 + AK273, 0)</f>
        <v>0</v>
      </c>
    </row>
    <row r="275" spans="1:37" s="1" customFormat="1">
      <c r="A275" s="3">
        <v>45694</v>
      </c>
      <c r="B275" s="2" t="s">
        <v>25</v>
      </c>
      <c r="C275" s="2">
        <v>15</v>
      </c>
      <c r="D275" s="2">
        <v>15</v>
      </c>
      <c r="E275" s="2">
        <v>15</v>
      </c>
      <c r="F275" s="2">
        <v>1</v>
      </c>
      <c r="G275" s="2">
        <v>4</v>
      </c>
      <c r="H275" s="1">
        <v>0</v>
      </c>
      <c r="I275" s="1">
        <f>IF(H275 + I274 &lt; 0, H275 + I274, 0)</f>
        <v>0</v>
      </c>
      <c r="J275" s="1">
        <v>0</v>
      </c>
      <c r="K275" s="1">
        <f>IF(J275 + K274 &lt; 0, J275 + K274, 0)</f>
        <v>0</v>
      </c>
      <c r="L275" s="1">
        <v>0</v>
      </c>
      <c r="M275" s="1">
        <f>IF(L275 + M274 &lt; 0, L275 + M274, 0)</f>
        <v>0</v>
      </c>
      <c r="N275" s="1">
        <v>0</v>
      </c>
      <c r="O275" s="1">
        <f>IF(N275 + O274 &lt; 0, N275 + O274, 0)</f>
        <v>0</v>
      </c>
      <c r="P275" s="1">
        <v>0</v>
      </c>
      <c r="Q275" s="1">
        <f>IF(P275 + Q274 &lt; 0, P275 + Q274, 0)</f>
        <v>0</v>
      </c>
      <c r="R275" s="1">
        <v>0</v>
      </c>
      <c r="S275" s="1">
        <f>IF(R275 + S274 &lt; 0, R275 + S274, 0)</f>
        <v>0</v>
      </c>
      <c r="T275" s="1">
        <v>0</v>
      </c>
      <c r="U275" s="1">
        <f>IF(T275 + U274 &lt; 0, T275 + U274, 0)</f>
        <v>0</v>
      </c>
      <c r="V275" s="1">
        <v>0</v>
      </c>
      <c r="W275" s="1">
        <f>IF(V275 + W274 &lt; 0, V275 + W274, 0)</f>
        <v>0</v>
      </c>
      <c r="X275" s="1">
        <v>0</v>
      </c>
      <c r="Y275" s="1">
        <f>IF(X275 + Y274 &lt; 0, X275 + Y274, 0)</f>
        <v>0</v>
      </c>
      <c r="Z275" s="1">
        <v>759942.1655198266</v>
      </c>
      <c r="AA275" s="1">
        <f>IF(Z275 + AA274 &lt; 0, Z275 + AA274, 0)</f>
        <v>0</v>
      </c>
      <c r="AB275" s="1">
        <v>21719.75279730807</v>
      </c>
      <c r="AC275" s="1">
        <f>IF(AB275 + AC274 &lt; 0, AB275 + AC274, 0)</f>
        <v>0</v>
      </c>
      <c r="AD275" s="1">
        <v>632416.2539599345</v>
      </c>
      <c r="AE275" s="1">
        <f>IF(AD275 + AE274 &lt; 0, AD275 + AE274, 0)</f>
        <v>0</v>
      </c>
      <c r="AF275" s="1">
        <v>0</v>
      </c>
      <c r="AG275" s="1">
        <f>IF(AF275 + AG274 &lt; 0, AF275 + AG274, 0)</f>
        <v>0</v>
      </c>
      <c r="AH275" s="1">
        <v>0</v>
      </c>
      <c r="AI275" s="1">
        <f>IF(AH275 + AI274 &lt; 0, AH275 + AI274, 0)</f>
        <v>0</v>
      </c>
      <c r="AJ275" s="1">
        <v>0</v>
      </c>
      <c r="AK275" s="1">
        <f>IF(AJ275 + AK274 &lt; 0, AJ275 + AK274, 0)</f>
        <v>0</v>
      </c>
    </row>
    <row r="276" spans="1:37" s="1" customFormat="1">
      <c r="A276" s="3">
        <v>45695</v>
      </c>
      <c r="B276" s="2" t="s">
        <v>26</v>
      </c>
      <c r="C276" s="2">
        <v>14</v>
      </c>
      <c r="D276" s="2">
        <v>14</v>
      </c>
      <c r="E276" s="2">
        <v>14</v>
      </c>
      <c r="F276" s="2">
        <v>5</v>
      </c>
      <c r="G276" s="2">
        <v>3</v>
      </c>
      <c r="H276" s="1">
        <v>0</v>
      </c>
      <c r="I276" s="1">
        <f>IF(H276 + I275 &lt; 0, H276 + I275, 0)</f>
        <v>0</v>
      </c>
      <c r="J276" s="1">
        <v>0</v>
      </c>
      <c r="K276" s="1">
        <f>IF(J276 + K275 &lt; 0, J276 + K275, 0)</f>
        <v>0</v>
      </c>
      <c r="L276" s="1">
        <v>0</v>
      </c>
      <c r="M276" s="1">
        <f>IF(L276 + M275 &lt; 0, L276 + M275, 0)</f>
        <v>0</v>
      </c>
      <c r="N276" s="1">
        <v>0</v>
      </c>
      <c r="O276" s="1">
        <f>IF(N276 + O275 &lt; 0, N276 + O275, 0)</f>
        <v>0</v>
      </c>
      <c r="P276" s="1">
        <v>0</v>
      </c>
      <c r="Q276" s="1">
        <f>IF(P276 + Q275 &lt; 0, P276 + Q275, 0)</f>
        <v>0</v>
      </c>
      <c r="R276" s="1">
        <v>0</v>
      </c>
      <c r="S276" s="1">
        <f>IF(R276 + S275 &lt; 0, R276 + S275, 0)</f>
        <v>0</v>
      </c>
      <c r="T276" s="1">
        <v>0</v>
      </c>
      <c r="U276" s="1">
        <f>IF(T276 + U275 &lt; 0, T276 + U275, 0)</f>
        <v>0</v>
      </c>
      <c r="V276" s="1">
        <v>0</v>
      </c>
      <c r="W276" s="1">
        <f>IF(V276 + W275 &lt; 0, V276 + W275, 0)</f>
        <v>0</v>
      </c>
      <c r="X276" s="1">
        <v>0</v>
      </c>
      <c r="Y276" s="1">
        <f>IF(X276 + Y275 &lt; 0, X276 + Y275, 0)</f>
        <v>0</v>
      </c>
      <c r="Z276" s="1">
        <v>0</v>
      </c>
      <c r="AA276" s="1">
        <f>IF(Z276 + AA275 &lt; 0, Z276 + AA275, 0)</f>
        <v>0</v>
      </c>
      <c r="AB276" s="1">
        <v>0</v>
      </c>
      <c r="AC276" s="1">
        <f>IF(AB276 + AC275 &lt; 0, AB276 + AC275, 0)</f>
        <v>0</v>
      </c>
      <c r="AD276" s="1">
        <v>0</v>
      </c>
      <c r="AE276" s="1">
        <f>IF(AD276 + AE275 &lt; 0, AD276 + AE275, 0)</f>
        <v>0</v>
      </c>
      <c r="AF276" s="1">
        <v>0</v>
      </c>
      <c r="AG276" s="1">
        <f>IF(AF276 + AG275 &lt; 0, AF276 + AG275, 0)</f>
        <v>0</v>
      </c>
      <c r="AH276" s="1">
        <v>0</v>
      </c>
      <c r="AI276" s="1">
        <f>IF(AH276 + AI275 &lt; 0, AH276 + AI275, 0)</f>
        <v>0</v>
      </c>
      <c r="AJ276" s="1">
        <v>0</v>
      </c>
      <c r="AK276" s="1">
        <f>IF(AJ276 + AK275 &lt; 0, AJ276 + AK275, 0)</f>
        <v>0</v>
      </c>
    </row>
    <row r="277" spans="1:37" s="1" customFormat="1">
      <c r="A277" s="3">
        <v>45698</v>
      </c>
      <c r="B277" s="2" t="s">
        <v>22</v>
      </c>
      <c r="C277" s="2">
        <v>13</v>
      </c>
      <c r="D277" s="2">
        <v>13</v>
      </c>
      <c r="E277" s="2">
        <v>13</v>
      </c>
      <c r="F277" s="2">
        <v>4</v>
      </c>
      <c r="G277" s="2">
        <v>2</v>
      </c>
      <c r="H277" s="1">
        <v>0</v>
      </c>
      <c r="I277" s="1">
        <f>IF(H277 + I276 &lt; 0, H277 + I276, 0)</f>
        <v>0</v>
      </c>
      <c r="J277" s="1">
        <v>0</v>
      </c>
      <c r="K277" s="1">
        <f>IF(J277 + K276 &lt; 0, J277 + K276, 0)</f>
        <v>0</v>
      </c>
      <c r="L277" s="1">
        <v>0</v>
      </c>
      <c r="M277" s="1">
        <f>IF(L277 + M276 &lt; 0, L277 + M276, 0)</f>
        <v>0</v>
      </c>
      <c r="N277" s="1">
        <v>0</v>
      </c>
      <c r="O277" s="1">
        <f>IF(N277 + O276 &lt; 0, N277 + O276, 0)</f>
        <v>0</v>
      </c>
      <c r="P277" s="1">
        <v>0</v>
      </c>
      <c r="Q277" s="1">
        <f>IF(P277 + Q276 &lt; 0, P277 + Q276, 0)</f>
        <v>0</v>
      </c>
      <c r="R277" s="1">
        <v>0</v>
      </c>
      <c r="S277" s="1">
        <f>IF(R277 + S276 &lt; 0, R277 + S276, 0)</f>
        <v>0</v>
      </c>
      <c r="T277" s="1">
        <v>0</v>
      </c>
      <c r="U277" s="1">
        <f>IF(T277 + U276 &lt; 0, T277 + U276, 0)</f>
        <v>0</v>
      </c>
      <c r="V277" s="1">
        <v>0</v>
      </c>
      <c r="W277" s="1">
        <f>IF(V277 + W276 &lt; 0, V277 + W276, 0)</f>
        <v>0</v>
      </c>
      <c r="X277" s="1">
        <v>0</v>
      </c>
      <c r="Y277" s="1">
        <f>IF(X277 + Y276 &lt; 0, X277 + Y276, 0)</f>
        <v>0</v>
      </c>
      <c r="Z277" s="1">
        <v>0</v>
      </c>
      <c r="AA277" s="1">
        <f>IF(Z277 + AA276 &lt; 0, Z277 + AA276, 0)</f>
        <v>0</v>
      </c>
      <c r="AB277" s="1">
        <v>0</v>
      </c>
      <c r="AC277" s="1">
        <f>IF(AB277 + AC276 &lt; 0, AB277 + AC276, 0)</f>
        <v>0</v>
      </c>
      <c r="AD277" s="1">
        <v>0</v>
      </c>
      <c r="AE277" s="1">
        <f>IF(AD277 + AE276 &lt; 0, AD277 + AE276, 0)</f>
        <v>0</v>
      </c>
      <c r="AF277" s="1">
        <v>0</v>
      </c>
      <c r="AG277" s="1">
        <f>IF(AF277 + AG276 &lt; 0, AF277 + AG276, 0)</f>
        <v>0</v>
      </c>
      <c r="AH277" s="1">
        <v>0</v>
      </c>
      <c r="AI277" s="1">
        <f>IF(AH277 + AI276 &lt; 0, AH277 + AI276, 0)</f>
        <v>0</v>
      </c>
      <c r="AJ277" s="1">
        <v>0</v>
      </c>
      <c r="AK277" s="1">
        <f>IF(AJ277 + AK276 &lt; 0, AJ277 + AK276, 0)</f>
        <v>0</v>
      </c>
    </row>
    <row r="278" spans="1:37" s="1" customFormat="1">
      <c r="A278" s="3">
        <v>45699</v>
      </c>
      <c r="B278" s="2" t="s">
        <v>23</v>
      </c>
      <c r="C278" s="2">
        <v>12</v>
      </c>
      <c r="D278" s="2">
        <v>12</v>
      </c>
      <c r="E278" s="2">
        <v>12</v>
      </c>
      <c r="F278" s="2">
        <v>3</v>
      </c>
      <c r="G278" s="2">
        <v>1</v>
      </c>
      <c r="H278" s="1">
        <v>0</v>
      </c>
      <c r="I278" s="1">
        <f>IF(H278 + I277 &lt; 0, H278 + I277, 0)</f>
        <v>0</v>
      </c>
      <c r="J278" s="1">
        <v>0</v>
      </c>
      <c r="K278" s="1">
        <f>IF(J278 + K277 &lt; 0, J278 + K277, 0)</f>
        <v>0</v>
      </c>
      <c r="L278" s="1">
        <v>0</v>
      </c>
      <c r="M278" s="1">
        <f>IF(L278 + M277 &lt; 0, L278 + M277, 0)</f>
        <v>0</v>
      </c>
      <c r="N278" s="1">
        <v>0</v>
      </c>
      <c r="O278" s="1">
        <f>IF(N278 + O277 &lt; 0, N278 + O277, 0)</f>
        <v>0</v>
      </c>
      <c r="P278" s="1">
        <v>0</v>
      </c>
      <c r="Q278" s="1">
        <f>IF(P278 + Q277 &lt; 0, P278 + Q277, 0)</f>
        <v>0</v>
      </c>
      <c r="R278" s="1">
        <v>0</v>
      </c>
      <c r="S278" s="1">
        <f>IF(R278 + S277 &lt; 0, R278 + S277, 0)</f>
        <v>0</v>
      </c>
      <c r="T278" s="1">
        <v>0</v>
      </c>
      <c r="U278" s="1">
        <f>IF(T278 + U277 &lt; 0, T278 + U277, 0)</f>
        <v>0</v>
      </c>
      <c r="V278" s="1">
        <v>0</v>
      </c>
      <c r="W278" s="1">
        <f>IF(V278 + W277 &lt; 0, V278 + W277, 0)</f>
        <v>0</v>
      </c>
      <c r="X278" s="1">
        <v>0</v>
      </c>
      <c r="Y278" s="1">
        <f>IF(X278 + Y277 &lt; 0, X278 + Y277, 0)</f>
        <v>0</v>
      </c>
      <c r="Z278" s="1">
        <v>0</v>
      </c>
      <c r="AA278" s="1">
        <f>IF(Z278 + AA277 &lt; 0, Z278 + AA277, 0)</f>
        <v>0</v>
      </c>
      <c r="AB278" s="1">
        <v>0</v>
      </c>
      <c r="AC278" s="1">
        <f>IF(AB278 + AC277 &lt; 0, AB278 + AC277, 0)</f>
        <v>0</v>
      </c>
      <c r="AD278" s="1">
        <v>0</v>
      </c>
      <c r="AE278" s="1">
        <f>IF(AD278 + AE277 &lt; 0, AD278 + AE277, 0)</f>
        <v>0</v>
      </c>
      <c r="AF278" s="1">
        <v>227727.8339549277</v>
      </c>
      <c r="AG278" s="1">
        <f>IF(AF278 + AG277 &lt; 0, AF278 + AG277, 0)</f>
        <v>0</v>
      </c>
      <c r="AH278" s="1">
        <v>282583.0189132984</v>
      </c>
      <c r="AI278" s="1">
        <f>IF(AH278 + AI277 &lt; 0, AH278 + AI277, 0)</f>
        <v>0</v>
      </c>
      <c r="AJ278" s="1">
        <v>-32754.61316531947</v>
      </c>
      <c r="AK278" s="1">
        <f>IF(AJ278 + AK277 &lt; 0, AJ278 + AK277, 0)</f>
        <v>0</v>
      </c>
    </row>
    <row r="279" spans="1:37" s="1" customFormat="1">
      <c r="A279" s="3">
        <v>45700</v>
      </c>
      <c r="B279" s="2" t="s">
        <v>24</v>
      </c>
      <c r="C279" s="2">
        <v>11</v>
      </c>
      <c r="D279" s="2">
        <v>11</v>
      </c>
      <c r="E279" s="2">
        <v>11</v>
      </c>
      <c r="F279" s="2">
        <v>2</v>
      </c>
      <c r="G279" s="2">
        <v>5</v>
      </c>
      <c r="H279" s="1">
        <v>0</v>
      </c>
      <c r="I279" s="1">
        <f>IF(H279 + I278 &lt; 0, H279 + I278, 0)</f>
        <v>0</v>
      </c>
      <c r="J279" s="1">
        <v>0</v>
      </c>
      <c r="K279" s="1">
        <f>IF(J279 + K278 &lt; 0, J279 + K278, 0)</f>
        <v>0</v>
      </c>
      <c r="L279" s="1">
        <v>0</v>
      </c>
      <c r="M279" s="1">
        <f>IF(L279 + M278 &lt; 0, L279 + M278, 0)</f>
        <v>0</v>
      </c>
      <c r="N279" s="1">
        <v>0</v>
      </c>
      <c r="O279" s="1">
        <f>IF(N279 + O278 &lt; 0, N279 + O278, 0)</f>
        <v>0</v>
      </c>
      <c r="P279" s="1">
        <v>0</v>
      </c>
      <c r="Q279" s="1">
        <f>IF(P279 + Q278 &lt; 0, P279 + Q278, 0)</f>
        <v>0</v>
      </c>
      <c r="R279" s="1">
        <v>0</v>
      </c>
      <c r="S279" s="1">
        <f>IF(R279 + S278 &lt; 0, R279 + S278, 0)</f>
        <v>0</v>
      </c>
      <c r="T279" s="1">
        <v>0</v>
      </c>
      <c r="U279" s="1">
        <f>IF(T279 + U278 &lt; 0, T279 + U278, 0)</f>
        <v>0</v>
      </c>
      <c r="V279" s="1">
        <v>0</v>
      </c>
      <c r="W279" s="1">
        <f>IF(V279 + W278 &lt; 0, V279 + W278, 0)</f>
        <v>0</v>
      </c>
      <c r="X279" s="1">
        <v>0</v>
      </c>
      <c r="Y279" s="1">
        <f>IF(X279 + Y278 &lt; 0, X279 + Y278, 0)</f>
        <v>0</v>
      </c>
      <c r="Z279" s="1">
        <v>0</v>
      </c>
      <c r="AA279" s="1">
        <f>IF(Z279 + AA278 &lt; 0, Z279 + AA278, 0)</f>
        <v>0</v>
      </c>
      <c r="AB279" s="1">
        <v>0</v>
      </c>
      <c r="AC279" s="1">
        <f>IF(AB279 + AC278 &lt; 0, AB279 + AC278, 0)</f>
        <v>0</v>
      </c>
      <c r="AD279" s="1">
        <v>0</v>
      </c>
      <c r="AE279" s="1">
        <f>IF(AD279 + AE278 &lt; 0, AD279 + AE278, 0)</f>
        <v>0</v>
      </c>
      <c r="AF279" s="1">
        <v>0</v>
      </c>
      <c r="AG279" s="1">
        <f>IF(AF279 + AG278 &lt; 0, AF279 + AG278, 0)</f>
        <v>0</v>
      </c>
      <c r="AH279" s="1">
        <v>0</v>
      </c>
      <c r="AI279" s="1">
        <f>IF(AH279 + AI278 &lt; 0, AH279 + AI278, 0)</f>
        <v>0</v>
      </c>
      <c r="AJ279" s="1">
        <v>0</v>
      </c>
      <c r="AK279" s="1">
        <f>IF(AJ279 + AK278 &lt; 0, AJ279 + AK278, 0)</f>
        <v>0</v>
      </c>
    </row>
    <row r="280" spans="1:37" s="1" customFormat="1">
      <c r="A280" s="3">
        <v>45701</v>
      </c>
      <c r="B280" s="2" t="s">
        <v>25</v>
      </c>
      <c r="C280" s="2">
        <v>10</v>
      </c>
      <c r="D280" s="2">
        <v>10</v>
      </c>
      <c r="E280" s="2">
        <v>10</v>
      </c>
      <c r="F280" s="2">
        <v>1</v>
      </c>
      <c r="G280" s="2">
        <v>4</v>
      </c>
      <c r="H280" s="1">
        <v>0</v>
      </c>
      <c r="I280" s="1">
        <f>IF(H280 + I279 &lt; 0, H280 + I279, 0)</f>
        <v>0</v>
      </c>
      <c r="J280" s="1">
        <v>0</v>
      </c>
      <c r="K280" s="1">
        <f>IF(J280 + K279 &lt; 0, J280 + K279, 0)</f>
        <v>0</v>
      </c>
      <c r="L280" s="1">
        <v>0</v>
      </c>
      <c r="M280" s="1">
        <f>IF(L280 + M279 &lt; 0, L280 + M279, 0)</f>
        <v>0</v>
      </c>
      <c r="N280" s="1">
        <v>0</v>
      </c>
      <c r="O280" s="1">
        <f>IF(N280 + O279 &lt; 0, N280 + O279, 0)</f>
        <v>0</v>
      </c>
      <c r="P280" s="1">
        <v>0</v>
      </c>
      <c r="Q280" s="1">
        <f>IF(P280 + Q279 &lt; 0, P280 + Q279, 0)</f>
        <v>0</v>
      </c>
      <c r="R280" s="1">
        <v>0</v>
      </c>
      <c r="S280" s="1">
        <f>IF(R280 + S279 &lt; 0, R280 + S279, 0)</f>
        <v>0</v>
      </c>
      <c r="T280" s="1">
        <v>0</v>
      </c>
      <c r="U280" s="1">
        <f>IF(T280 + U279 &lt; 0, T280 + U279, 0)</f>
        <v>0</v>
      </c>
      <c r="V280" s="1">
        <v>0</v>
      </c>
      <c r="W280" s="1">
        <f>IF(V280 + W279 &lt; 0, V280 + W279, 0)</f>
        <v>0</v>
      </c>
      <c r="X280" s="1">
        <v>0</v>
      </c>
      <c r="Y280" s="1">
        <f>IF(X280 + Y279 &lt; 0, X280 + Y279, 0)</f>
        <v>0</v>
      </c>
      <c r="Z280" s="1">
        <v>-1311544.510807493</v>
      </c>
      <c r="AA280" s="1">
        <f>IF(Z280 + AA279 &lt; 0, Z280 + AA279, 0)</f>
        <v>0</v>
      </c>
      <c r="AB280" s="1">
        <v>-789138.4003385761</v>
      </c>
      <c r="AC280" s="1">
        <f>IF(AB280 + AC279 &lt; 0, AB280 + AC279, 0)</f>
        <v>0</v>
      </c>
      <c r="AD280" s="1">
        <v>-410246.906340698</v>
      </c>
      <c r="AE280" s="1">
        <f>IF(AD280 + AE279 &lt; 0, AD280 + AE279, 0)</f>
        <v>0</v>
      </c>
      <c r="AF280" s="1">
        <v>0</v>
      </c>
      <c r="AG280" s="1">
        <f>IF(AF280 + AG279 &lt; 0, AF280 + AG279, 0)</f>
        <v>0</v>
      </c>
      <c r="AH280" s="1">
        <v>0</v>
      </c>
      <c r="AI280" s="1">
        <f>IF(AH280 + AI279 &lt; 0, AH280 + AI279, 0)</f>
        <v>0</v>
      </c>
      <c r="AJ280" s="1">
        <v>0</v>
      </c>
      <c r="AK280" s="1">
        <f>IF(AJ280 + AK279 &lt; 0, AJ280 + AK279, 0)</f>
        <v>0</v>
      </c>
    </row>
    <row r="281" spans="1:37" s="1" customFormat="1">
      <c r="A281" s="3">
        <v>45702</v>
      </c>
      <c r="B281" s="2" t="s">
        <v>26</v>
      </c>
      <c r="C281" s="2">
        <v>9</v>
      </c>
      <c r="D281" s="2">
        <v>9</v>
      </c>
      <c r="E281" s="2">
        <v>9</v>
      </c>
      <c r="F281" s="2">
        <v>5</v>
      </c>
      <c r="G281" s="2">
        <v>3</v>
      </c>
      <c r="H281" s="1">
        <v>0</v>
      </c>
      <c r="I281" s="1">
        <f>IF(H281 + I280 &lt; 0, H281 + I280, 0)</f>
        <v>0</v>
      </c>
      <c r="J281" s="1">
        <v>0</v>
      </c>
      <c r="K281" s="1">
        <f>IF(J281 + K280 &lt; 0, J281 + K280, 0)</f>
        <v>0</v>
      </c>
      <c r="L281" s="1">
        <v>0</v>
      </c>
      <c r="M281" s="1">
        <f>IF(L281 + M280 &lt; 0, L281 + M280, 0)</f>
        <v>0</v>
      </c>
      <c r="N281" s="1">
        <v>0</v>
      </c>
      <c r="O281" s="1">
        <f>IF(N281 + O280 &lt; 0, N281 + O280, 0)</f>
        <v>0</v>
      </c>
      <c r="P281" s="1">
        <v>0</v>
      </c>
      <c r="Q281" s="1">
        <f>IF(P281 + Q280 &lt; 0, P281 + Q280, 0)</f>
        <v>0</v>
      </c>
      <c r="R281" s="1">
        <v>0</v>
      </c>
      <c r="S281" s="1">
        <f>IF(R281 + S280 &lt; 0, R281 + S280, 0)</f>
        <v>0</v>
      </c>
      <c r="T281" s="1">
        <v>0</v>
      </c>
      <c r="U281" s="1">
        <f>IF(T281 + U280 &lt; 0, T281 + U280, 0)</f>
        <v>0</v>
      </c>
      <c r="V281" s="1">
        <v>0</v>
      </c>
      <c r="W281" s="1">
        <f>IF(V281 + W280 &lt; 0, V281 + W280, 0)</f>
        <v>0</v>
      </c>
      <c r="X281" s="1">
        <v>0</v>
      </c>
      <c r="Y281" s="1">
        <f>IF(X281 + Y280 &lt; 0, X281 + Y280, 0)</f>
        <v>0</v>
      </c>
      <c r="Z281" s="1">
        <v>0</v>
      </c>
      <c r="AA281" s="1">
        <f>IF(Z281 + AA280 &lt; 0, Z281 + AA280, 0)</f>
        <v>0</v>
      </c>
      <c r="AB281" s="1">
        <v>0</v>
      </c>
      <c r="AC281" s="1">
        <f>IF(AB281 + AC280 &lt; 0, AB281 + AC280, 0)</f>
        <v>0</v>
      </c>
      <c r="AD281" s="1">
        <v>0</v>
      </c>
      <c r="AE281" s="1">
        <f>IF(AD281 + AE280 &lt; 0, AD281 + AE280, 0)</f>
        <v>0</v>
      </c>
      <c r="AF281" s="1">
        <v>0</v>
      </c>
      <c r="AG281" s="1">
        <f>IF(AF281 + AG280 &lt; 0, AF281 + AG280, 0)</f>
        <v>0</v>
      </c>
      <c r="AH281" s="1">
        <v>0</v>
      </c>
      <c r="AI281" s="1">
        <f>IF(AH281 + AI280 &lt; 0, AH281 + AI280, 0)</f>
        <v>0</v>
      </c>
      <c r="AJ281" s="1">
        <v>0</v>
      </c>
      <c r="AK281" s="1">
        <f>IF(AJ281 + AK280 &lt; 0, AJ281 + AK280, 0)</f>
        <v>0</v>
      </c>
    </row>
    <row r="282" spans="1:37" s="1" customFormat="1">
      <c r="A282" s="3">
        <v>45705</v>
      </c>
      <c r="B282" s="2" t="s">
        <v>22</v>
      </c>
      <c r="C282" s="2">
        <v>8</v>
      </c>
      <c r="D282" s="2">
        <v>8</v>
      </c>
      <c r="E282" s="2">
        <v>8</v>
      </c>
      <c r="F282" s="2">
        <v>4</v>
      </c>
      <c r="G282" s="2">
        <v>2</v>
      </c>
      <c r="H282" s="1">
        <v>0</v>
      </c>
      <c r="I282" s="1">
        <f>IF(H282 + I281 &lt; 0, H282 + I281, 0)</f>
        <v>0</v>
      </c>
      <c r="J282" s="1">
        <v>0</v>
      </c>
      <c r="K282" s="1">
        <f>IF(J282 + K281 &lt; 0, J282 + K281, 0)</f>
        <v>0</v>
      </c>
      <c r="L282" s="1">
        <v>0</v>
      </c>
      <c r="M282" s="1">
        <f>IF(L282 + M281 &lt; 0, L282 + M281, 0)</f>
        <v>0</v>
      </c>
      <c r="N282" s="1">
        <v>0</v>
      </c>
      <c r="O282" s="1">
        <f>IF(N282 + O281 &lt; 0, N282 + O281, 0)</f>
        <v>0</v>
      </c>
      <c r="P282" s="1">
        <v>0</v>
      </c>
      <c r="Q282" s="1">
        <f>IF(P282 + Q281 &lt; 0, P282 + Q281, 0)</f>
        <v>0</v>
      </c>
      <c r="R282" s="1">
        <v>0</v>
      </c>
      <c r="S282" s="1">
        <f>IF(R282 + S281 &lt; 0, R282 + S281, 0)</f>
        <v>0</v>
      </c>
      <c r="T282" s="1">
        <v>0</v>
      </c>
      <c r="U282" s="1">
        <f>IF(T282 + U281 &lt; 0, T282 + U281, 0)</f>
        <v>0</v>
      </c>
      <c r="V282" s="1">
        <v>0</v>
      </c>
      <c r="W282" s="1">
        <f>IF(V282 + W281 &lt; 0, V282 + W281, 0)</f>
        <v>0</v>
      </c>
      <c r="X282" s="1">
        <v>0</v>
      </c>
      <c r="Y282" s="1">
        <f>IF(X282 + Y281 &lt; 0, X282 + Y281, 0)</f>
        <v>0</v>
      </c>
      <c r="Z282" s="1">
        <v>0</v>
      </c>
      <c r="AA282" s="1">
        <f>IF(Z282 + AA281 &lt; 0, Z282 + AA281, 0)</f>
        <v>0</v>
      </c>
      <c r="AB282" s="1">
        <v>0</v>
      </c>
      <c r="AC282" s="1">
        <f>IF(AB282 + AC281 &lt; 0, AB282 + AC281, 0)</f>
        <v>0</v>
      </c>
      <c r="AD282" s="1">
        <v>0</v>
      </c>
      <c r="AE282" s="1">
        <f>IF(AD282 + AE281 &lt; 0, AD282 + AE281, 0)</f>
        <v>0</v>
      </c>
      <c r="AF282" s="1">
        <v>0</v>
      </c>
      <c r="AG282" s="1">
        <f>IF(AF282 + AG281 &lt; 0, AF282 + AG281, 0)</f>
        <v>0</v>
      </c>
      <c r="AH282" s="1">
        <v>0</v>
      </c>
      <c r="AI282" s="1">
        <f>IF(AH282 + AI281 &lt; 0, AH282 + AI281, 0)</f>
        <v>0</v>
      </c>
      <c r="AJ282" s="1">
        <v>0</v>
      </c>
      <c r="AK282" s="1">
        <f>IF(AJ282 + AK281 &lt; 0, AJ282 + AK281, 0)</f>
        <v>0</v>
      </c>
    </row>
    <row r="283" spans="1:37" s="1" customFormat="1">
      <c r="A283" s="3">
        <v>45706</v>
      </c>
      <c r="B283" s="2" t="s">
        <v>23</v>
      </c>
      <c r="C283" s="2">
        <v>7</v>
      </c>
      <c r="D283" s="2">
        <v>7</v>
      </c>
      <c r="E283" s="2">
        <v>7</v>
      </c>
      <c r="F283" s="2">
        <v>3</v>
      </c>
      <c r="G283" s="2">
        <v>1</v>
      </c>
      <c r="H283" s="1">
        <v>0</v>
      </c>
      <c r="I283" s="1">
        <f>IF(H283 + I282 &lt; 0, H283 + I282, 0)</f>
        <v>0</v>
      </c>
      <c r="J283" s="1">
        <v>0</v>
      </c>
      <c r="K283" s="1">
        <f>IF(J283 + K282 &lt; 0, J283 + K282, 0)</f>
        <v>0</v>
      </c>
      <c r="L283" s="1">
        <v>0</v>
      </c>
      <c r="M283" s="1">
        <f>IF(L283 + M282 &lt; 0, L283 + M282, 0)</f>
        <v>0</v>
      </c>
      <c r="N283" s="1">
        <v>0</v>
      </c>
      <c r="O283" s="1">
        <f>IF(N283 + O282 &lt; 0, N283 + O282, 0)</f>
        <v>0</v>
      </c>
      <c r="P283" s="1">
        <v>0</v>
      </c>
      <c r="Q283" s="1">
        <f>IF(P283 + Q282 &lt; 0, P283 + Q282, 0)</f>
        <v>0</v>
      </c>
      <c r="R283" s="1">
        <v>0</v>
      </c>
      <c r="S283" s="1">
        <f>IF(R283 + S282 &lt; 0, R283 + S282, 0)</f>
        <v>0</v>
      </c>
      <c r="T283" s="1">
        <v>0</v>
      </c>
      <c r="U283" s="1">
        <f>IF(T283 + U282 &lt; 0, T283 + U282, 0)</f>
        <v>0</v>
      </c>
      <c r="V283" s="1">
        <v>0</v>
      </c>
      <c r="W283" s="1">
        <f>IF(V283 + W282 &lt; 0, V283 + W282, 0)</f>
        <v>0</v>
      </c>
      <c r="X283" s="1">
        <v>0</v>
      </c>
      <c r="Y283" s="1">
        <f>IF(X283 + Y282 &lt; 0, X283 + Y282, 0)</f>
        <v>0</v>
      </c>
      <c r="Z283" s="1">
        <v>0</v>
      </c>
      <c r="AA283" s="1">
        <f>IF(Z283 + AA282 &lt; 0, Z283 + AA282, 0)</f>
        <v>0</v>
      </c>
      <c r="AB283" s="1">
        <v>0</v>
      </c>
      <c r="AC283" s="1">
        <f>IF(AB283 + AC282 &lt; 0, AB283 + AC282, 0)</f>
        <v>0</v>
      </c>
      <c r="AD283" s="1">
        <v>0</v>
      </c>
      <c r="AE283" s="1">
        <f>IF(AD283 + AE282 &lt; 0, AD283 + AE282, 0)</f>
        <v>0</v>
      </c>
      <c r="AF283" s="1">
        <v>964255.5302112136</v>
      </c>
      <c r="AG283" s="1">
        <f>IF(AF283 + AG282 &lt; 0, AF283 + AG282, 0)</f>
        <v>0</v>
      </c>
      <c r="AH283" s="1">
        <v>684012.8756732832</v>
      </c>
      <c r="AI283" s="1">
        <f>IF(AH283 + AI282 &lt; 0, AH283 + AI282, 0)</f>
        <v>0</v>
      </c>
      <c r="AJ283" s="1">
        <v>840125.2970513559</v>
      </c>
      <c r="AK283" s="1">
        <f>IF(AJ283 + AK282 &lt; 0, AJ283 + AK282, 0)</f>
        <v>0</v>
      </c>
    </row>
    <row r="284" spans="1:37" s="1" customFormat="1">
      <c r="A284" s="3">
        <v>45707</v>
      </c>
      <c r="B284" s="2" t="s">
        <v>24</v>
      </c>
      <c r="C284" s="2">
        <v>6</v>
      </c>
      <c r="D284" s="2">
        <v>6</v>
      </c>
      <c r="E284" s="2">
        <v>6</v>
      </c>
      <c r="F284" s="2">
        <v>2</v>
      </c>
      <c r="G284" s="2">
        <v>5</v>
      </c>
      <c r="H284" s="1">
        <v>0</v>
      </c>
      <c r="I284" s="1">
        <f>IF(H284 + I283 &lt; 0, H284 + I283, 0)</f>
        <v>0</v>
      </c>
      <c r="J284" s="1">
        <v>0</v>
      </c>
      <c r="K284" s="1">
        <f>IF(J284 + K283 &lt; 0, J284 + K283, 0)</f>
        <v>0</v>
      </c>
      <c r="L284" s="1">
        <v>0</v>
      </c>
      <c r="M284" s="1">
        <f>IF(L284 + M283 &lt; 0, L284 + M283, 0)</f>
        <v>0</v>
      </c>
      <c r="N284" s="1">
        <v>0</v>
      </c>
      <c r="O284" s="1">
        <f>IF(N284 + O283 &lt; 0, N284 + O283, 0)</f>
        <v>0</v>
      </c>
      <c r="P284" s="1">
        <v>0</v>
      </c>
      <c r="Q284" s="1">
        <f>IF(P284 + Q283 &lt; 0, P284 + Q283, 0)</f>
        <v>0</v>
      </c>
      <c r="R284" s="1">
        <v>0</v>
      </c>
      <c r="S284" s="1">
        <f>IF(R284 + S283 &lt; 0, R284 + S283, 0)</f>
        <v>0</v>
      </c>
      <c r="T284" s="1">
        <v>0</v>
      </c>
      <c r="U284" s="1">
        <f>IF(T284 + U283 &lt; 0, T284 + U283, 0)</f>
        <v>0</v>
      </c>
      <c r="V284" s="1">
        <v>0</v>
      </c>
      <c r="W284" s="1">
        <f>IF(V284 + W283 &lt; 0, V284 + W283, 0)</f>
        <v>0</v>
      </c>
      <c r="X284" s="1">
        <v>0</v>
      </c>
      <c r="Y284" s="1">
        <f>IF(X284 + Y283 &lt; 0, X284 + Y283, 0)</f>
        <v>0</v>
      </c>
      <c r="Z284" s="1">
        <v>0</v>
      </c>
      <c r="AA284" s="1">
        <f>IF(Z284 + AA283 &lt; 0, Z284 + AA283, 0)</f>
        <v>0</v>
      </c>
      <c r="AB284" s="1">
        <v>0</v>
      </c>
      <c r="AC284" s="1">
        <f>IF(AB284 + AC283 &lt; 0, AB284 + AC283, 0)</f>
        <v>0</v>
      </c>
      <c r="AD284" s="1">
        <v>0</v>
      </c>
      <c r="AE284" s="1">
        <f>IF(AD284 + AE283 &lt; 0, AD284 + AE283, 0)</f>
        <v>0</v>
      </c>
      <c r="AF284" s="1">
        <v>0</v>
      </c>
      <c r="AG284" s="1">
        <f>IF(AF284 + AG283 &lt; 0, AF284 + AG283, 0)</f>
        <v>0</v>
      </c>
      <c r="AH284" s="1">
        <v>0</v>
      </c>
      <c r="AI284" s="1">
        <f>IF(AH284 + AI283 &lt; 0, AH284 + AI283, 0)</f>
        <v>0</v>
      </c>
      <c r="AJ284" s="1">
        <v>0</v>
      </c>
      <c r="AK284" s="1">
        <f>IF(AJ284 + AK283 &lt; 0, AJ284 + AK283, 0)</f>
        <v>0</v>
      </c>
    </row>
    <row r="285" spans="1:37" s="1" customFormat="1">
      <c r="A285" s="3">
        <v>45708</v>
      </c>
      <c r="B285" s="2" t="s">
        <v>25</v>
      </c>
      <c r="C285" s="2">
        <v>5</v>
      </c>
      <c r="D285" s="2">
        <v>5</v>
      </c>
      <c r="E285" s="2">
        <v>5</v>
      </c>
      <c r="F285" s="2">
        <v>1</v>
      </c>
      <c r="G285" s="2">
        <v>4</v>
      </c>
      <c r="H285" s="1">
        <v>0</v>
      </c>
      <c r="I285" s="1">
        <f>IF(H285 + I284 &lt; 0, H285 + I284, 0)</f>
        <v>0</v>
      </c>
      <c r="J285" s="1">
        <v>0</v>
      </c>
      <c r="K285" s="1">
        <f>IF(J285 + K284 &lt; 0, J285 + K284, 0)</f>
        <v>0</v>
      </c>
      <c r="L285" s="1">
        <v>0</v>
      </c>
      <c r="M285" s="1">
        <f>IF(L285 + M284 &lt; 0, L285 + M284, 0)</f>
        <v>0</v>
      </c>
      <c r="N285" s="1">
        <v>0</v>
      </c>
      <c r="O285" s="1">
        <f>IF(N285 + O284 &lt; 0, N285 + O284, 0)</f>
        <v>0</v>
      </c>
      <c r="P285" s="1">
        <v>0</v>
      </c>
      <c r="Q285" s="1">
        <f>IF(P285 + Q284 &lt; 0, P285 + Q284, 0)</f>
        <v>0</v>
      </c>
      <c r="R285" s="1">
        <v>0</v>
      </c>
      <c r="S285" s="1">
        <f>IF(R285 + S284 &lt; 0, R285 + S284, 0)</f>
        <v>0</v>
      </c>
      <c r="T285" s="1">
        <v>0</v>
      </c>
      <c r="U285" s="1">
        <f>IF(T285 + U284 &lt; 0, T285 + U284, 0)</f>
        <v>0</v>
      </c>
      <c r="V285" s="1">
        <v>0</v>
      </c>
      <c r="W285" s="1">
        <f>IF(V285 + W284 &lt; 0, V285 + W284, 0)</f>
        <v>0</v>
      </c>
      <c r="X285" s="1">
        <v>0</v>
      </c>
      <c r="Y285" s="1">
        <f>IF(X285 + Y284 &lt; 0, X285 + Y284, 0)</f>
        <v>0</v>
      </c>
      <c r="Z285" s="1">
        <v>1016322.355492686</v>
      </c>
      <c r="AA285" s="1">
        <f>IF(Z285 + AA284 &lt; 0, Z285 + AA284, 0)</f>
        <v>0</v>
      </c>
      <c r="AB285" s="1">
        <v>1103777.31203891</v>
      </c>
      <c r="AC285" s="1">
        <f>IF(AB285 + AC284 &lt; 0, AB285 + AC284, 0)</f>
        <v>0</v>
      </c>
      <c r="AD285" s="1">
        <v>771655.999832309</v>
      </c>
      <c r="AE285" s="1">
        <f>IF(AD285 + AE284 &lt; 0, AD285 + AE284, 0)</f>
        <v>0</v>
      </c>
      <c r="AF285" s="1">
        <v>0</v>
      </c>
      <c r="AG285" s="1">
        <f>IF(AF285 + AG284 &lt; 0, AF285 + AG284, 0)</f>
        <v>0</v>
      </c>
      <c r="AH285" s="1">
        <v>0</v>
      </c>
      <c r="AI285" s="1">
        <f>IF(AH285 + AI284 &lt; 0, AH285 + AI284, 0)</f>
        <v>0</v>
      </c>
      <c r="AJ285" s="1">
        <v>0</v>
      </c>
      <c r="AK285" s="1">
        <f>IF(AJ285 + AK284 &lt; 0, AJ285 + AK284, 0)</f>
        <v>0</v>
      </c>
    </row>
    <row r="286" spans="1:37" s="1" customFormat="1">
      <c r="A286" s="3">
        <v>45709</v>
      </c>
      <c r="B286" s="2" t="s">
        <v>26</v>
      </c>
      <c r="C286" s="2">
        <v>4</v>
      </c>
      <c r="D286" s="2">
        <v>4</v>
      </c>
      <c r="E286" s="2">
        <v>4</v>
      </c>
      <c r="F286" s="2">
        <v>4</v>
      </c>
      <c r="G286" s="2">
        <v>3</v>
      </c>
      <c r="H286" s="1">
        <v>0</v>
      </c>
      <c r="I286" s="1">
        <f>IF(H286 + I285 &lt; 0, H286 + I285, 0)</f>
        <v>0</v>
      </c>
      <c r="J286" s="1">
        <v>0</v>
      </c>
      <c r="K286" s="1">
        <f>IF(J286 + K285 &lt; 0, J286 + K285, 0)</f>
        <v>0</v>
      </c>
      <c r="L286" s="1">
        <v>0</v>
      </c>
      <c r="M286" s="1">
        <f>IF(L286 + M285 &lt; 0, L286 + M285, 0)</f>
        <v>0</v>
      </c>
      <c r="N286" s="1">
        <v>0</v>
      </c>
      <c r="O286" s="1">
        <f>IF(N286 + O285 &lt; 0, N286 + O285, 0)</f>
        <v>0</v>
      </c>
      <c r="P286" s="1">
        <v>0</v>
      </c>
      <c r="Q286" s="1">
        <f>IF(P286 + Q285 &lt; 0, P286 + Q285, 0)</f>
        <v>0</v>
      </c>
      <c r="R286" s="1">
        <v>0</v>
      </c>
      <c r="S286" s="1">
        <f>IF(R286 + S285 &lt; 0, R286 + S285, 0)</f>
        <v>0</v>
      </c>
      <c r="T286" s="1">
        <v>0</v>
      </c>
      <c r="U286" s="1">
        <f>IF(T286 + U285 &lt; 0, T286 + U285, 0)</f>
        <v>0</v>
      </c>
      <c r="V286" s="1">
        <v>0</v>
      </c>
      <c r="W286" s="1">
        <f>IF(V286 + W285 &lt; 0, V286 + W285, 0)</f>
        <v>0</v>
      </c>
      <c r="X286" s="1">
        <v>0</v>
      </c>
      <c r="Y286" s="1">
        <f>IF(X286 + Y285 &lt; 0, X286 + Y285, 0)</f>
        <v>0</v>
      </c>
      <c r="Z286" s="1">
        <v>0</v>
      </c>
      <c r="AA286" s="1">
        <f>IF(Z286 + AA285 &lt; 0, Z286 + AA285, 0)</f>
        <v>0</v>
      </c>
      <c r="AB286" s="1">
        <v>0</v>
      </c>
      <c r="AC286" s="1">
        <f>IF(AB286 + AC285 &lt; 0, AB286 + AC285, 0)</f>
        <v>0</v>
      </c>
      <c r="AD286" s="1">
        <v>0</v>
      </c>
      <c r="AE286" s="1">
        <f>IF(AD286 + AE285 &lt; 0, AD286 + AE285, 0)</f>
        <v>0</v>
      </c>
      <c r="AF286" s="1">
        <v>0</v>
      </c>
      <c r="AG286" s="1">
        <f>IF(AF286 + AG285 &lt; 0, AF286 + AG285, 0)</f>
        <v>0</v>
      </c>
      <c r="AH286" s="1">
        <v>0</v>
      </c>
      <c r="AI286" s="1">
        <f>IF(AH286 + AI285 &lt; 0, AH286 + AI285, 0)</f>
        <v>0</v>
      </c>
      <c r="AJ286" s="1">
        <v>0</v>
      </c>
      <c r="AK286" s="1">
        <f>IF(AJ286 + AK285 &lt; 0, AJ286 + AK285, 0)</f>
        <v>0</v>
      </c>
    </row>
    <row r="287" spans="1:37" s="1" customFormat="1">
      <c r="A287" s="3">
        <v>45712</v>
      </c>
      <c r="B287" s="2" t="s">
        <v>22</v>
      </c>
      <c r="C287" s="2">
        <v>3</v>
      </c>
      <c r="D287" s="2">
        <v>3</v>
      </c>
      <c r="E287" s="2">
        <v>3</v>
      </c>
      <c r="F287" s="2">
        <v>3</v>
      </c>
      <c r="G287" s="2">
        <v>2</v>
      </c>
      <c r="H287" s="1">
        <v>0</v>
      </c>
      <c r="I287" s="1">
        <f>IF(H287 + I286 &lt; 0, H287 + I286, 0)</f>
        <v>0</v>
      </c>
      <c r="J287" s="1">
        <v>0</v>
      </c>
      <c r="K287" s="1">
        <f>IF(J287 + K286 &lt; 0, J287 + K286, 0)</f>
        <v>0</v>
      </c>
      <c r="L287" s="1">
        <v>0</v>
      </c>
      <c r="M287" s="1">
        <f>IF(L287 + M286 &lt; 0, L287 + M286, 0)</f>
        <v>0</v>
      </c>
      <c r="N287" s="1">
        <v>0</v>
      </c>
      <c r="O287" s="1">
        <f>IF(N287 + O286 &lt; 0, N287 + O286, 0)</f>
        <v>0</v>
      </c>
      <c r="P287" s="1">
        <v>0</v>
      </c>
      <c r="Q287" s="1">
        <f>IF(P287 + Q286 &lt; 0, P287 + Q286, 0)</f>
        <v>0</v>
      </c>
      <c r="R287" s="1">
        <v>0</v>
      </c>
      <c r="S287" s="1">
        <f>IF(R287 + S286 &lt; 0, R287 + S286, 0)</f>
        <v>0</v>
      </c>
      <c r="T287" s="1">
        <v>0</v>
      </c>
      <c r="U287" s="1">
        <f>IF(T287 + U286 &lt; 0, T287 + U286, 0)</f>
        <v>0</v>
      </c>
      <c r="V287" s="1">
        <v>0</v>
      </c>
      <c r="W287" s="1">
        <f>IF(V287 + W286 &lt; 0, V287 + W286, 0)</f>
        <v>0</v>
      </c>
      <c r="X287" s="1">
        <v>0</v>
      </c>
      <c r="Y287" s="1">
        <f>IF(X287 + Y286 &lt; 0, X287 + Y286, 0)</f>
        <v>0</v>
      </c>
      <c r="Z287" s="1">
        <v>0</v>
      </c>
      <c r="AA287" s="1">
        <f>IF(Z287 + AA286 &lt; 0, Z287 + AA286, 0)</f>
        <v>0</v>
      </c>
      <c r="AB287" s="1">
        <v>0</v>
      </c>
      <c r="AC287" s="1">
        <f>IF(AB287 + AC286 &lt; 0, AB287 + AC286, 0)</f>
        <v>0</v>
      </c>
      <c r="AD287" s="1">
        <v>0</v>
      </c>
      <c r="AE287" s="1">
        <f>IF(AD287 + AE286 &lt; 0, AD287 + AE286, 0)</f>
        <v>0</v>
      </c>
      <c r="AF287" s="1">
        <v>0</v>
      </c>
      <c r="AG287" s="1">
        <f>IF(AF287 + AG286 &lt; 0, AF287 + AG286, 0)</f>
        <v>0</v>
      </c>
      <c r="AH287" s="1">
        <v>0</v>
      </c>
      <c r="AI287" s="1">
        <f>IF(AH287 + AI286 &lt; 0, AH287 + AI286, 0)</f>
        <v>0</v>
      </c>
      <c r="AJ287" s="1">
        <v>0</v>
      </c>
      <c r="AK287" s="1">
        <f>IF(AJ287 + AK286 &lt; 0, AJ287 + AK286, 0)</f>
        <v>0</v>
      </c>
    </row>
    <row r="288" spans="1:37" s="1" customFormat="1">
      <c r="A288" s="3">
        <v>45713</v>
      </c>
      <c r="B288" s="2" t="s">
        <v>23</v>
      </c>
      <c r="C288" s="2">
        <v>2</v>
      </c>
      <c r="D288" s="2">
        <v>2</v>
      </c>
      <c r="E288" s="2">
        <v>2</v>
      </c>
      <c r="F288" s="2">
        <v>2</v>
      </c>
      <c r="G288" s="2">
        <v>1</v>
      </c>
      <c r="H288" s="1">
        <v>0</v>
      </c>
      <c r="I288" s="1">
        <f>IF(H288 + I287 &lt; 0, H288 + I287, 0)</f>
        <v>0</v>
      </c>
      <c r="J288" s="1">
        <v>0</v>
      </c>
      <c r="K288" s="1">
        <f>IF(J288 + K287 &lt; 0, J288 + K287, 0)</f>
        <v>0</v>
      </c>
      <c r="L288" s="1">
        <v>0</v>
      </c>
      <c r="M288" s="1">
        <f>IF(L288 + M287 &lt; 0, L288 + M287, 0)</f>
        <v>0</v>
      </c>
      <c r="N288" s="1">
        <v>0</v>
      </c>
      <c r="O288" s="1">
        <f>IF(N288 + O287 &lt; 0, N288 + O287, 0)</f>
        <v>0</v>
      </c>
      <c r="P288" s="1">
        <v>0</v>
      </c>
      <c r="Q288" s="1">
        <f>IF(P288 + Q287 &lt; 0, P288 + Q287, 0)</f>
        <v>0</v>
      </c>
      <c r="R288" s="1">
        <v>0</v>
      </c>
      <c r="S288" s="1">
        <f>IF(R288 + S287 &lt; 0, R288 + S287, 0)</f>
        <v>0</v>
      </c>
      <c r="T288" s="1">
        <v>0</v>
      </c>
      <c r="U288" s="1">
        <f>IF(T288 + U287 &lt; 0, T288 + U287, 0)</f>
        <v>0</v>
      </c>
      <c r="V288" s="1">
        <v>0</v>
      </c>
      <c r="W288" s="1">
        <f>IF(V288 + W287 &lt; 0, V288 + W287, 0)</f>
        <v>0</v>
      </c>
      <c r="X288" s="1">
        <v>0</v>
      </c>
      <c r="Y288" s="1">
        <f>IF(X288 + Y287 &lt; 0, X288 + Y287, 0)</f>
        <v>0</v>
      </c>
      <c r="Z288" s="1">
        <v>0</v>
      </c>
      <c r="AA288" s="1">
        <f>IF(Z288 + AA287 &lt; 0, Z288 + AA287, 0)</f>
        <v>0</v>
      </c>
      <c r="AB288" s="1">
        <v>0</v>
      </c>
      <c r="AC288" s="1">
        <f>IF(AB288 + AC287 &lt; 0, AB288 + AC287, 0)</f>
        <v>0</v>
      </c>
      <c r="AD288" s="1">
        <v>0</v>
      </c>
      <c r="AE288" s="1">
        <f>IF(AD288 + AE287 &lt; 0, AD288 + AE287, 0)</f>
        <v>0</v>
      </c>
      <c r="AF288" s="1">
        <v>764027.1453188354</v>
      </c>
      <c r="AG288" s="1">
        <f>IF(AF288 + AG287 &lt; 0, AF288 + AG287, 0)</f>
        <v>0</v>
      </c>
      <c r="AH288" s="1">
        <v>634707.8281988241</v>
      </c>
      <c r="AI288" s="1">
        <f>IF(AH288 + AI287 &lt; 0, AH288 + AI287, 0)</f>
        <v>0</v>
      </c>
      <c r="AJ288" s="1">
        <v>607704.2871820346</v>
      </c>
      <c r="AK288" s="1">
        <f>IF(AJ288 + AK287 &lt; 0, AJ288 + AK287, 0)</f>
        <v>0</v>
      </c>
    </row>
    <row r="289" spans="1:37" s="1" customFormat="1">
      <c r="A289" s="3">
        <v>45715</v>
      </c>
      <c r="B289" s="2" t="s">
        <v>25</v>
      </c>
      <c r="C289" s="2">
        <v>1</v>
      </c>
      <c r="D289" s="2">
        <v>1</v>
      </c>
      <c r="E289" s="2">
        <v>1</v>
      </c>
      <c r="F289" s="2">
        <v>1</v>
      </c>
      <c r="G289" s="2">
        <v>4</v>
      </c>
      <c r="H289" s="1">
        <v>0</v>
      </c>
      <c r="I289" s="1">
        <f>IF(H289 + I288 &lt; 0, H289 + I288, 0)</f>
        <v>0</v>
      </c>
      <c r="J289" s="1">
        <v>0</v>
      </c>
      <c r="K289" s="1">
        <f>IF(J289 + K288 &lt; 0, J289 + K288, 0)</f>
        <v>0</v>
      </c>
      <c r="L289" s="1">
        <v>0</v>
      </c>
      <c r="M289" s="1">
        <f>IF(L289 + M288 &lt; 0, L289 + M288, 0)</f>
        <v>0</v>
      </c>
      <c r="N289" s="1">
        <v>0</v>
      </c>
      <c r="O289" s="1">
        <f>IF(N289 + O288 &lt; 0, N289 + O288, 0)</f>
        <v>0</v>
      </c>
      <c r="P289" s="1">
        <v>0</v>
      </c>
      <c r="Q289" s="1">
        <f>IF(P289 + Q288 &lt; 0, P289 + Q288, 0)</f>
        <v>0</v>
      </c>
      <c r="R289" s="1">
        <v>0</v>
      </c>
      <c r="S289" s="1">
        <f>IF(R289 + S288 &lt; 0, R289 + S288, 0)</f>
        <v>0</v>
      </c>
      <c r="T289" s="1">
        <v>0</v>
      </c>
      <c r="U289" s="1">
        <f>IF(T289 + U288 &lt; 0, T289 + U288, 0)</f>
        <v>0</v>
      </c>
      <c r="V289" s="1">
        <v>0</v>
      </c>
      <c r="W289" s="1">
        <f>IF(V289 + W288 &lt; 0, V289 + W288, 0)</f>
        <v>0</v>
      </c>
      <c r="X289" s="1">
        <v>0</v>
      </c>
      <c r="Y289" s="1">
        <f>IF(X289 + Y288 &lt; 0, X289 + Y288, 0)</f>
        <v>0</v>
      </c>
      <c r="Z289" s="1">
        <v>835975.5483130979</v>
      </c>
      <c r="AA289" s="1">
        <f>IF(Z289 + AA288 &lt; 0, Z289 + AA288, 0)</f>
        <v>0</v>
      </c>
      <c r="AB289" s="1">
        <v>835975.5483130979</v>
      </c>
      <c r="AC289" s="1">
        <f>IF(AB289 + AC288 &lt; 0, AB289 + AC288, 0)</f>
        <v>0</v>
      </c>
      <c r="AD289" s="1">
        <v>826191.2768715377</v>
      </c>
      <c r="AE289" s="1">
        <f>IF(AD289 + AE288 &lt; 0, AD289 + AE288, 0)</f>
        <v>0</v>
      </c>
      <c r="AF289" s="1">
        <v>0</v>
      </c>
      <c r="AG289" s="1">
        <f>IF(AF289 + AG288 &lt; 0, AF289 + AG288, 0)</f>
        <v>0</v>
      </c>
      <c r="AH289" s="1">
        <v>0</v>
      </c>
      <c r="AI289" s="1">
        <f>IF(AH289 + AI288 &lt; 0, AH289 + AI288, 0)</f>
        <v>0</v>
      </c>
      <c r="AJ289" s="1">
        <v>0</v>
      </c>
      <c r="AK289" s="1">
        <f>IF(AJ289 + AK288 &lt; 0, AJ289 + AK288, 0)</f>
        <v>0</v>
      </c>
    </row>
    <row r="290" spans="1:37" s="1" customFormat="1">
      <c r="A290" s="3">
        <v>45716</v>
      </c>
      <c r="B290" s="2" t="s">
        <v>26</v>
      </c>
      <c r="C290" s="2">
        <v>19</v>
      </c>
      <c r="D290" s="2">
        <v>19</v>
      </c>
      <c r="E290" s="2">
        <v>19</v>
      </c>
      <c r="F290" s="2">
        <v>5</v>
      </c>
      <c r="G290" s="2">
        <v>3</v>
      </c>
      <c r="H290" s="1">
        <v>0</v>
      </c>
      <c r="I290" s="1">
        <f>IF(H290 + I289 &lt; 0, H290 + I289, 0)</f>
        <v>0</v>
      </c>
      <c r="J290" s="1">
        <v>0</v>
      </c>
      <c r="K290" s="1">
        <f>IF(J290 + K289 &lt; 0, J290 + K289, 0)</f>
        <v>0</v>
      </c>
      <c r="L290" s="1">
        <v>0</v>
      </c>
      <c r="M290" s="1">
        <f>IF(L290 + M289 &lt; 0, L290 + M289, 0)</f>
        <v>0</v>
      </c>
      <c r="N290" s="1">
        <v>0</v>
      </c>
      <c r="O290" s="1">
        <f>IF(N290 + O289 &lt; 0, N290 + O289, 0)</f>
        <v>0</v>
      </c>
      <c r="P290" s="1">
        <v>0</v>
      </c>
      <c r="Q290" s="1">
        <f>IF(P290 + Q289 &lt; 0, P290 + Q289, 0)</f>
        <v>0</v>
      </c>
      <c r="R290" s="1">
        <v>0</v>
      </c>
      <c r="S290" s="1">
        <f>IF(R290 + S289 &lt; 0, R290 + S289, 0)</f>
        <v>0</v>
      </c>
      <c r="T290" s="1">
        <v>0</v>
      </c>
      <c r="U290" s="1">
        <f>IF(T290 + U289 &lt; 0, T290 + U289, 0)</f>
        <v>0</v>
      </c>
      <c r="V290" s="1">
        <v>0</v>
      </c>
      <c r="W290" s="1">
        <f>IF(V290 + W289 &lt; 0, V290 + W289, 0)</f>
        <v>0</v>
      </c>
      <c r="X290" s="1">
        <v>0</v>
      </c>
      <c r="Y290" s="1">
        <f>IF(X290 + Y289 &lt; 0, X290 + Y289, 0)</f>
        <v>0</v>
      </c>
      <c r="Z290" s="1">
        <v>0</v>
      </c>
      <c r="AA290" s="1">
        <f>IF(Z290 + AA289 &lt; 0, Z290 + AA289, 0)</f>
        <v>0</v>
      </c>
      <c r="AB290" s="1">
        <v>0</v>
      </c>
      <c r="AC290" s="1">
        <f>IF(AB290 + AC289 &lt; 0, AB290 + AC289, 0)</f>
        <v>0</v>
      </c>
      <c r="AD290" s="1">
        <v>0</v>
      </c>
      <c r="AE290" s="1">
        <f>IF(AD290 + AE289 &lt; 0, AD290 + AE289, 0)</f>
        <v>0</v>
      </c>
      <c r="AF290" s="1">
        <v>0</v>
      </c>
      <c r="AG290" s="1">
        <f>IF(AF290 + AG289 &lt; 0, AF290 + AG289, 0)</f>
        <v>0</v>
      </c>
      <c r="AH290" s="1">
        <v>0</v>
      </c>
      <c r="AI290" s="1">
        <f>IF(AH290 + AI289 &lt; 0, AH290 + AI289, 0)</f>
        <v>0</v>
      </c>
      <c r="AJ290" s="1">
        <v>0</v>
      </c>
      <c r="AK290" s="1">
        <f>IF(AJ290 + AK289 &lt; 0, AJ290 + AK289, 0)</f>
        <v>0</v>
      </c>
    </row>
    <row r="291" spans="1:37" s="1" customFormat="1">
      <c r="A291" s="3">
        <v>45719</v>
      </c>
      <c r="B291" s="2" t="s">
        <v>22</v>
      </c>
      <c r="C291" s="2">
        <v>18</v>
      </c>
      <c r="D291" s="2">
        <v>18</v>
      </c>
      <c r="E291" s="2">
        <v>18</v>
      </c>
      <c r="F291" s="2">
        <v>4</v>
      </c>
      <c r="G291" s="2">
        <v>2</v>
      </c>
      <c r="H291" s="1">
        <v>0</v>
      </c>
      <c r="I291" s="1">
        <f>IF(H291 + I290 &lt; 0, H291 + I290, 0)</f>
        <v>0</v>
      </c>
      <c r="J291" s="1">
        <v>0</v>
      </c>
      <c r="K291" s="1">
        <f>IF(J291 + K290 &lt; 0, J291 + K290, 0)</f>
        <v>0</v>
      </c>
      <c r="L291" s="1">
        <v>0</v>
      </c>
      <c r="M291" s="1">
        <f>IF(L291 + M290 &lt; 0, L291 + M290, 0)</f>
        <v>0</v>
      </c>
      <c r="N291" s="1">
        <v>0</v>
      </c>
      <c r="O291" s="1">
        <f>IF(N291 + O290 &lt; 0, N291 + O290, 0)</f>
        <v>0</v>
      </c>
      <c r="P291" s="1">
        <v>0</v>
      </c>
      <c r="Q291" s="1">
        <f>IF(P291 + Q290 &lt; 0, P291 + Q290, 0)</f>
        <v>0</v>
      </c>
      <c r="R291" s="1">
        <v>0</v>
      </c>
      <c r="S291" s="1">
        <f>IF(R291 + S290 &lt; 0, R291 + S290, 0)</f>
        <v>0</v>
      </c>
      <c r="T291" s="1">
        <v>0</v>
      </c>
      <c r="U291" s="1">
        <f>IF(T291 + U290 &lt; 0, T291 + U290, 0)</f>
        <v>0</v>
      </c>
      <c r="V291" s="1">
        <v>0</v>
      </c>
      <c r="W291" s="1">
        <f>IF(V291 + W290 &lt; 0, V291 + W290, 0)</f>
        <v>0</v>
      </c>
      <c r="X291" s="1">
        <v>0</v>
      </c>
      <c r="Y291" s="1">
        <f>IF(X291 + Y290 &lt; 0, X291 + Y290, 0)</f>
        <v>0</v>
      </c>
      <c r="Z291" s="1">
        <v>0</v>
      </c>
      <c r="AA291" s="1">
        <f>IF(Z291 + AA290 &lt; 0, Z291 + AA290, 0)</f>
        <v>0</v>
      </c>
      <c r="AB291" s="1">
        <v>0</v>
      </c>
      <c r="AC291" s="1">
        <f>IF(AB291 + AC290 &lt; 0, AB291 + AC290, 0)</f>
        <v>0</v>
      </c>
      <c r="AD291" s="1">
        <v>0</v>
      </c>
      <c r="AE291" s="1">
        <f>IF(AD291 + AE290 &lt; 0, AD291 + AE290, 0)</f>
        <v>0</v>
      </c>
      <c r="AF291" s="1">
        <v>0</v>
      </c>
      <c r="AG291" s="1">
        <f>IF(AF291 + AG290 &lt; 0, AF291 + AG290, 0)</f>
        <v>0</v>
      </c>
      <c r="AH291" s="1">
        <v>0</v>
      </c>
      <c r="AI291" s="1">
        <f>IF(AH291 + AI290 &lt; 0, AH291 + AI290, 0)</f>
        <v>0</v>
      </c>
      <c r="AJ291" s="1">
        <v>0</v>
      </c>
      <c r="AK291" s="1">
        <f>IF(AJ291 + AK290 &lt; 0, AJ291 + AK290, 0)</f>
        <v>0</v>
      </c>
    </row>
    <row r="292" spans="1:37" s="1" customFormat="1">
      <c r="A292" s="3">
        <v>45720</v>
      </c>
      <c r="B292" s="2" t="s">
        <v>23</v>
      </c>
      <c r="C292" s="2">
        <v>17</v>
      </c>
      <c r="D292" s="2">
        <v>17</v>
      </c>
      <c r="E292" s="2">
        <v>17</v>
      </c>
      <c r="F292" s="2">
        <v>3</v>
      </c>
      <c r="G292" s="2">
        <v>1</v>
      </c>
      <c r="H292" s="1">
        <v>0</v>
      </c>
      <c r="I292" s="1">
        <f>IF(H292 + I291 &lt; 0, H292 + I291, 0)</f>
        <v>0</v>
      </c>
      <c r="J292" s="1">
        <v>0</v>
      </c>
      <c r="K292" s="1">
        <f>IF(J292 + K291 &lt; 0, J292 + K291, 0)</f>
        <v>0</v>
      </c>
      <c r="L292" s="1">
        <v>0</v>
      </c>
      <c r="M292" s="1">
        <f>IF(L292 + M291 &lt; 0, L292 + M291, 0)</f>
        <v>0</v>
      </c>
      <c r="N292" s="1">
        <v>0</v>
      </c>
      <c r="O292" s="1">
        <f>IF(N292 + O291 &lt; 0, N292 + O291, 0)</f>
        <v>0</v>
      </c>
      <c r="P292" s="1">
        <v>0</v>
      </c>
      <c r="Q292" s="1">
        <f>IF(P292 + Q291 &lt; 0, P292 + Q291, 0)</f>
        <v>0</v>
      </c>
      <c r="R292" s="1">
        <v>0</v>
      </c>
      <c r="S292" s="1">
        <f>IF(R292 + S291 &lt; 0, R292 + S291, 0)</f>
        <v>0</v>
      </c>
      <c r="T292" s="1">
        <v>0</v>
      </c>
      <c r="U292" s="1">
        <f>IF(T292 + U291 &lt; 0, T292 + U291, 0)</f>
        <v>0</v>
      </c>
      <c r="V292" s="1">
        <v>0</v>
      </c>
      <c r="W292" s="1">
        <f>IF(V292 + W291 &lt; 0, V292 + W291, 0)</f>
        <v>0</v>
      </c>
      <c r="X292" s="1">
        <v>0</v>
      </c>
      <c r="Y292" s="1">
        <f>IF(X292 + Y291 &lt; 0, X292 + Y291, 0)</f>
        <v>0</v>
      </c>
      <c r="Z292" s="1">
        <v>0</v>
      </c>
      <c r="AA292" s="1">
        <f>IF(Z292 + AA291 &lt; 0, Z292 + AA291, 0)</f>
        <v>0</v>
      </c>
      <c r="AB292" s="1">
        <v>0</v>
      </c>
      <c r="AC292" s="1">
        <f>IF(AB292 + AC291 &lt; 0, AB292 + AC291, 0)</f>
        <v>0</v>
      </c>
      <c r="AD292" s="1">
        <v>0</v>
      </c>
      <c r="AE292" s="1">
        <f>IF(AD292 + AE291 &lt; 0, AD292 + AE291, 0)</f>
        <v>0</v>
      </c>
      <c r="AF292" s="1">
        <v>-486489.1647975697</v>
      </c>
      <c r="AG292" s="1">
        <f>IF(AF292 + AG291 &lt; 0, AF292 + AG291, 0)</f>
        <v>0</v>
      </c>
      <c r="AH292" s="1">
        <v>-486489.1647975697</v>
      </c>
      <c r="AI292" s="1">
        <f>IF(AH292 + AI291 &lt; 0, AH292 + AI291, 0)</f>
        <v>0</v>
      </c>
      <c r="AJ292" s="1">
        <v>300300.3708302295</v>
      </c>
      <c r="AK292" s="1">
        <f>IF(AJ292 + AK291 &lt; 0, AJ292 + AK291, 0)</f>
        <v>0</v>
      </c>
    </row>
    <row r="293" spans="1:37" s="1" customFormat="1">
      <c r="A293" s="3">
        <v>45721</v>
      </c>
      <c r="B293" s="2" t="s">
        <v>24</v>
      </c>
      <c r="C293" s="2">
        <v>16</v>
      </c>
      <c r="D293" s="2">
        <v>16</v>
      </c>
      <c r="E293" s="2">
        <v>16</v>
      </c>
      <c r="F293" s="2">
        <v>2</v>
      </c>
      <c r="G293" s="2">
        <v>5</v>
      </c>
      <c r="H293" s="1">
        <v>0</v>
      </c>
      <c r="I293" s="1">
        <f>IF(H293 + I292 &lt; 0, H293 + I292, 0)</f>
        <v>0</v>
      </c>
      <c r="J293" s="1">
        <v>0</v>
      </c>
      <c r="K293" s="1">
        <f>IF(J293 + K292 &lt; 0, J293 + K292, 0)</f>
        <v>0</v>
      </c>
      <c r="L293" s="1">
        <v>0</v>
      </c>
      <c r="M293" s="1">
        <f>IF(L293 + M292 &lt; 0, L293 + M292, 0)</f>
        <v>0</v>
      </c>
      <c r="N293" s="1">
        <v>0</v>
      </c>
      <c r="O293" s="1">
        <f>IF(N293 + O292 &lt; 0, N293 + O292, 0)</f>
        <v>0</v>
      </c>
      <c r="P293" s="1">
        <v>0</v>
      </c>
      <c r="Q293" s="1">
        <f>IF(P293 + Q292 &lt; 0, P293 + Q292, 0)</f>
        <v>0</v>
      </c>
      <c r="R293" s="1">
        <v>0</v>
      </c>
      <c r="S293" s="1">
        <f>IF(R293 + S292 &lt; 0, R293 + S292, 0)</f>
        <v>0</v>
      </c>
      <c r="T293" s="1">
        <v>0</v>
      </c>
      <c r="U293" s="1">
        <f>IF(T293 + U292 &lt; 0, T293 + U292, 0)</f>
        <v>0</v>
      </c>
      <c r="V293" s="1">
        <v>0</v>
      </c>
      <c r="W293" s="1">
        <f>IF(V293 + W292 &lt; 0, V293 + W292, 0)</f>
        <v>0</v>
      </c>
      <c r="X293" s="1">
        <v>0</v>
      </c>
      <c r="Y293" s="1">
        <f>IF(X293 + Y292 &lt; 0, X293 + Y292, 0)</f>
        <v>0</v>
      </c>
      <c r="Z293" s="1">
        <v>0</v>
      </c>
      <c r="AA293" s="1">
        <f>IF(Z293 + AA292 &lt; 0, Z293 + AA292, 0)</f>
        <v>0</v>
      </c>
      <c r="AB293" s="1">
        <v>0</v>
      </c>
      <c r="AC293" s="1">
        <f>IF(AB293 + AC292 &lt; 0, AB293 + AC292, 0)</f>
        <v>0</v>
      </c>
      <c r="AD293" s="1">
        <v>0</v>
      </c>
      <c r="AE293" s="1">
        <f>IF(AD293 + AE292 &lt; 0, AD293 + AE292, 0)</f>
        <v>0</v>
      </c>
      <c r="AF293" s="1">
        <v>0</v>
      </c>
      <c r="AG293" s="1">
        <f>IF(AF293 + AG292 &lt; 0, AF293 + AG292, 0)</f>
        <v>0</v>
      </c>
      <c r="AH293" s="1">
        <v>0</v>
      </c>
      <c r="AI293" s="1">
        <f>IF(AH293 + AI292 &lt; 0, AH293 + AI292, 0)</f>
        <v>0</v>
      </c>
      <c r="AJ293" s="1">
        <v>0</v>
      </c>
      <c r="AK293" s="1">
        <f>IF(AJ293 + AK292 &lt; 0, AJ293 + AK292, 0)</f>
        <v>0</v>
      </c>
    </row>
    <row r="294" spans="1:37" s="1" customFormat="1">
      <c r="A294" s="3">
        <v>45722</v>
      </c>
      <c r="B294" s="2" t="s">
        <v>25</v>
      </c>
      <c r="C294" s="2">
        <v>15</v>
      </c>
      <c r="D294" s="2">
        <v>15</v>
      </c>
      <c r="E294" s="2">
        <v>15</v>
      </c>
      <c r="F294" s="2">
        <v>1</v>
      </c>
      <c r="G294" s="2">
        <v>4</v>
      </c>
      <c r="H294" s="1">
        <v>0</v>
      </c>
      <c r="I294" s="1">
        <f>IF(H294 + I293 &lt; 0, H294 + I293, 0)</f>
        <v>0</v>
      </c>
      <c r="J294" s="1">
        <v>0</v>
      </c>
      <c r="K294" s="1">
        <f>IF(J294 + K293 &lt; 0, J294 + K293, 0)</f>
        <v>0</v>
      </c>
      <c r="L294" s="1">
        <v>0</v>
      </c>
      <c r="M294" s="1">
        <f>IF(L294 + M293 &lt; 0, L294 + M293, 0)</f>
        <v>0</v>
      </c>
      <c r="N294" s="1">
        <v>0</v>
      </c>
      <c r="O294" s="1">
        <f>IF(N294 + O293 &lt; 0, N294 + O293, 0)</f>
        <v>0</v>
      </c>
      <c r="P294" s="1">
        <v>0</v>
      </c>
      <c r="Q294" s="1">
        <f>IF(P294 + Q293 &lt; 0, P294 + Q293, 0)</f>
        <v>0</v>
      </c>
      <c r="R294" s="1">
        <v>0</v>
      </c>
      <c r="S294" s="1">
        <f>IF(R294 + S293 &lt; 0, R294 + S293, 0)</f>
        <v>0</v>
      </c>
      <c r="T294" s="1">
        <v>0</v>
      </c>
      <c r="U294" s="1">
        <f>IF(T294 + U293 &lt; 0, T294 + U293, 0)</f>
        <v>0</v>
      </c>
      <c r="V294" s="1">
        <v>0</v>
      </c>
      <c r="W294" s="1">
        <f>IF(V294 + W293 &lt; 0, V294 + W293, 0)</f>
        <v>0</v>
      </c>
      <c r="X294" s="1">
        <v>0</v>
      </c>
      <c r="Y294" s="1">
        <f>IF(X294 + Y293 &lt; 0, X294 + Y293, 0)</f>
        <v>0</v>
      </c>
      <c r="Z294" s="1">
        <v>-45037.12388552172</v>
      </c>
      <c r="AA294" s="1">
        <f>IF(Z294 + AA293 &lt; 0, Z294 + AA293, 0)</f>
        <v>0</v>
      </c>
      <c r="AB294" s="1">
        <v>152018.5225775648</v>
      </c>
      <c r="AC294" s="1">
        <f>IF(AB294 + AC293 &lt; 0, AB294 + AC293, 0)</f>
        <v>0</v>
      </c>
      <c r="AD294" s="1">
        <v>-317323.7904535535</v>
      </c>
      <c r="AE294" s="1">
        <f>IF(AD294 + AE293 &lt; 0, AD294 + AE293, 0)</f>
        <v>0</v>
      </c>
      <c r="AF294" s="1">
        <v>0</v>
      </c>
      <c r="AG294" s="1">
        <f>IF(AF294 + AG293 &lt; 0, AF294 + AG293, 0)</f>
        <v>0</v>
      </c>
      <c r="AH294" s="1">
        <v>0</v>
      </c>
      <c r="AI294" s="1">
        <f>IF(AH294 + AI293 &lt; 0, AH294 + AI293, 0)</f>
        <v>0</v>
      </c>
      <c r="AJ294" s="1">
        <v>0</v>
      </c>
      <c r="AK294" s="1">
        <f>IF(AJ294 + AK293 &lt; 0, AJ294 + AK293, 0)</f>
        <v>0</v>
      </c>
    </row>
    <row r="295" spans="1:37" s="1" customFormat="1">
      <c r="A295" s="3">
        <v>45723</v>
      </c>
      <c r="B295" s="2" t="s">
        <v>26</v>
      </c>
      <c r="C295" s="2">
        <v>14</v>
      </c>
      <c r="D295" s="2">
        <v>14</v>
      </c>
      <c r="E295" s="2">
        <v>14</v>
      </c>
      <c r="F295" s="2">
        <v>5</v>
      </c>
      <c r="G295" s="2">
        <v>3</v>
      </c>
      <c r="H295" s="1">
        <v>0</v>
      </c>
      <c r="I295" s="1">
        <f>IF(H295 + I294 &lt; 0, H295 + I294, 0)</f>
        <v>0</v>
      </c>
      <c r="J295" s="1">
        <v>0</v>
      </c>
      <c r="K295" s="1">
        <f>IF(J295 + K294 &lt; 0, J295 + K294, 0)</f>
        <v>0</v>
      </c>
      <c r="L295" s="1">
        <v>0</v>
      </c>
      <c r="M295" s="1">
        <f>IF(L295 + M294 &lt; 0, L295 + M294, 0)</f>
        <v>0</v>
      </c>
      <c r="N295" s="1">
        <v>0</v>
      </c>
      <c r="O295" s="1">
        <f>IF(N295 + O294 &lt; 0, N295 + O294, 0)</f>
        <v>0</v>
      </c>
      <c r="P295" s="1">
        <v>0</v>
      </c>
      <c r="Q295" s="1">
        <f>IF(P295 + Q294 &lt; 0, P295 + Q294, 0)</f>
        <v>0</v>
      </c>
      <c r="R295" s="1">
        <v>0</v>
      </c>
      <c r="S295" s="1">
        <f>IF(R295 + S294 &lt; 0, R295 + S294, 0)</f>
        <v>0</v>
      </c>
      <c r="T295" s="1">
        <v>0</v>
      </c>
      <c r="U295" s="1">
        <f>IF(T295 + U294 &lt; 0, T295 + U294, 0)</f>
        <v>0</v>
      </c>
      <c r="V295" s="1">
        <v>0</v>
      </c>
      <c r="W295" s="1">
        <f>IF(V295 + W294 &lt; 0, V295 + W294, 0)</f>
        <v>0</v>
      </c>
      <c r="X295" s="1">
        <v>0</v>
      </c>
      <c r="Y295" s="1">
        <f>IF(X295 + Y294 &lt; 0, X295 + Y294, 0)</f>
        <v>0</v>
      </c>
      <c r="Z295" s="1">
        <v>0</v>
      </c>
      <c r="AA295" s="1">
        <f>IF(Z295 + AA294 &lt; 0, Z295 + AA294, 0)</f>
        <v>0</v>
      </c>
      <c r="AB295" s="1">
        <v>0</v>
      </c>
      <c r="AC295" s="1">
        <f>IF(AB295 + AC294 &lt; 0, AB295 + AC294, 0)</f>
        <v>0</v>
      </c>
      <c r="AD295" s="1">
        <v>0</v>
      </c>
      <c r="AE295" s="1">
        <f>IF(AD295 + AE294 &lt; 0, AD295 + AE294, 0)</f>
        <v>0</v>
      </c>
      <c r="AF295" s="1">
        <v>0</v>
      </c>
      <c r="AG295" s="1">
        <f>IF(AF295 + AG294 &lt; 0, AF295 + AG294, 0)</f>
        <v>0</v>
      </c>
      <c r="AH295" s="1">
        <v>0</v>
      </c>
      <c r="AI295" s="1">
        <f>IF(AH295 + AI294 &lt; 0, AH295 + AI294, 0)</f>
        <v>0</v>
      </c>
      <c r="AJ295" s="1">
        <v>0</v>
      </c>
      <c r="AK295" s="1">
        <f>IF(AJ295 + AK294 &lt; 0, AJ295 + AK294, 0)</f>
        <v>0</v>
      </c>
    </row>
    <row r="296" spans="1:37" s="1" customFormat="1">
      <c r="A296" s="3">
        <v>45726</v>
      </c>
      <c r="B296" s="2" t="s">
        <v>22</v>
      </c>
      <c r="C296" s="2">
        <v>13</v>
      </c>
      <c r="D296" s="2">
        <v>13</v>
      </c>
      <c r="E296" s="2">
        <v>13</v>
      </c>
      <c r="F296" s="2">
        <v>4</v>
      </c>
      <c r="G296" s="2">
        <v>2</v>
      </c>
      <c r="H296" s="1">
        <v>0</v>
      </c>
      <c r="I296" s="1">
        <f>IF(H296 + I295 &lt; 0, H296 + I295, 0)</f>
        <v>0</v>
      </c>
      <c r="J296" s="1">
        <v>0</v>
      </c>
      <c r="K296" s="1">
        <f>IF(J296 + K295 &lt; 0, J296 + K295, 0)</f>
        <v>0</v>
      </c>
      <c r="L296" s="1">
        <v>0</v>
      </c>
      <c r="M296" s="1">
        <f>IF(L296 + M295 &lt; 0, L296 + M295, 0)</f>
        <v>0</v>
      </c>
      <c r="N296" s="1">
        <v>0</v>
      </c>
      <c r="O296" s="1">
        <f>IF(N296 + O295 &lt; 0, N296 + O295, 0)</f>
        <v>0</v>
      </c>
      <c r="P296" s="1">
        <v>0</v>
      </c>
      <c r="Q296" s="1">
        <f>IF(P296 + Q295 &lt; 0, P296 + Q295, 0)</f>
        <v>0</v>
      </c>
      <c r="R296" s="1">
        <v>0</v>
      </c>
      <c r="S296" s="1">
        <f>IF(R296 + S295 &lt; 0, R296 + S295, 0)</f>
        <v>0</v>
      </c>
      <c r="T296" s="1">
        <v>0</v>
      </c>
      <c r="U296" s="1">
        <f>IF(T296 + U295 &lt; 0, T296 + U295, 0)</f>
        <v>0</v>
      </c>
      <c r="V296" s="1">
        <v>0</v>
      </c>
      <c r="W296" s="1">
        <f>IF(V296 + W295 &lt; 0, V296 + W295, 0)</f>
        <v>0</v>
      </c>
      <c r="X296" s="1">
        <v>0</v>
      </c>
      <c r="Y296" s="1">
        <f>IF(X296 + Y295 &lt; 0, X296 + Y295, 0)</f>
        <v>0</v>
      </c>
      <c r="Z296" s="1">
        <v>0</v>
      </c>
      <c r="AA296" s="1">
        <f>IF(Z296 + AA295 &lt; 0, Z296 + AA295, 0)</f>
        <v>0</v>
      </c>
      <c r="AB296" s="1">
        <v>0</v>
      </c>
      <c r="AC296" s="1">
        <f>IF(AB296 + AC295 &lt; 0, AB296 + AC295, 0)</f>
        <v>0</v>
      </c>
      <c r="AD296" s="1">
        <v>0</v>
      </c>
      <c r="AE296" s="1">
        <f>IF(AD296 + AE295 &lt; 0, AD296 + AE295, 0)</f>
        <v>0</v>
      </c>
      <c r="AF296" s="1">
        <v>0</v>
      </c>
      <c r="AG296" s="1">
        <f>IF(AF296 + AG295 &lt; 0, AF296 + AG295, 0)</f>
        <v>0</v>
      </c>
      <c r="AH296" s="1">
        <v>0</v>
      </c>
      <c r="AI296" s="1">
        <f>IF(AH296 + AI295 &lt; 0, AH296 + AI295, 0)</f>
        <v>0</v>
      </c>
      <c r="AJ296" s="1">
        <v>0</v>
      </c>
      <c r="AK296" s="1">
        <f>IF(AJ296 + AK295 &lt; 0, AJ296 + AK295, 0)</f>
        <v>0</v>
      </c>
    </row>
    <row r="297" spans="1:37" s="1" customFormat="1">
      <c r="A297" s="3">
        <v>45727</v>
      </c>
      <c r="B297" s="2" t="s">
        <v>23</v>
      </c>
      <c r="C297" s="2">
        <v>12</v>
      </c>
      <c r="D297" s="2">
        <v>12</v>
      </c>
      <c r="E297" s="2">
        <v>12</v>
      </c>
      <c r="F297" s="2">
        <v>3</v>
      </c>
      <c r="G297" s="2">
        <v>1</v>
      </c>
      <c r="H297" s="1">
        <v>0</v>
      </c>
      <c r="I297" s="1">
        <f>IF(H297 + I296 &lt; 0, H297 + I296, 0)</f>
        <v>0</v>
      </c>
      <c r="J297" s="1">
        <v>0</v>
      </c>
      <c r="K297" s="1">
        <f>IF(J297 + K296 &lt; 0, J297 + K296, 0)</f>
        <v>0</v>
      </c>
      <c r="L297" s="1">
        <v>0</v>
      </c>
      <c r="M297" s="1">
        <f>IF(L297 + M296 &lt; 0, L297 + M296, 0)</f>
        <v>0</v>
      </c>
      <c r="N297" s="1">
        <v>0</v>
      </c>
      <c r="O297" s="1">
        <f>IF(N297 + O296 &lt; 0, N297 + O296, 0)</f>
        <v>0</v>
      </c>
      <c r="P297" s="1">
        <v>0</v>
      </c>
      <c r="Q297" s="1">
        <f>IF(P297 + Q296 &lt; 0, P297 + Q296, 0)</f>
        <v>0</v>
      </c>
      <c r="R297" s="1">
        <v>0</v>
      </c>
      <c r="S297" s="1">
        <f>IF(R297 + S296 &lt; 0, R297 + S296, 0)</f>
        <v>0</v>
      </c>
      <c r="T297" s="1">
        <v>0</v>
      </c>
      <c r="U297" s="1">
        <f>IF(T297 + U296 &lt; 0, T297 + U296, 0)</f>
        <v>0</v>
      </c>
      <c r="V297" s="1">
        <v>0</v>
      </c>
      <c r="W297" s="1">
        <f>IF(V297 + W296 &lt; 0, V297 + W296, 0)</f>
        <v>0</v>
      </c>
      <c r="X297" s="1">
        <v>0</v>
      </c>
      <c r="Y297" s="1">
        <f>IF(X297 + Y296 &lt; 0, X297 + Y296, 0)</f>
        <v>0</v>
      </c>
      <c r="Z297" s="1">
        <v>0</v>
      </c>
      <c r="AA297" s="1">
        <f>IF(Z297 + AA296 &lt; 0, Z297 + AA296, 0)</f>
        <v>0</v>
      </c>
      <c r="AB297" s="1">
        <v>0</v>
      </c>
      <c r="AC297" s="1">
        <f>IF(AB297 + AC296 &lt; 0, AB297 + AC296, 0)</f>
        <v>0</v>
      </c>
      <c r="AD297" s="1">
        <v>0</v>
      </c>
      <c r="AE297" s="1">
        <f>IF(AD297 + AE296 &lt; 0, AD297 + AE296, 0)</f>
        <v>0</v>
      </c>
      <c r="AF297" s="1">
        <v>85536.09494616976</v>
      </c>
      <c r="AG297" s="1">
        <f>IF(AF297 + AG296 &lt; 0, AF297 + AG296, 0)</f>
        <v>0</v>
      </c>
      <c r="AH297" s="1">
        <v>215703.644030967</v>
      </c>
      <c r="AI297" s="1">
        <f>IF(AH297 + AI296 &lt; 0, AH297 + AI296, 0)</f>
        <v>0</v>
      </c>
      <c r="AJ297" s="1">
        <v>282700.4219974683</v>
      </c>
      <c r="AK297" s="1">
        <f>IF(AJ297 + AK296 &lt; 0, AJ297 + AK296, 0)</f>
        <v>0</v>
      </c>
    </row>
    <row r="298" spans="1:37" s="1" customFormat="1">
      <c r="A298" s="3">
        <v>45728</v>
      </c>
      <c r="B298" s="2" t="s">
        <v>24</v>
      </c>
      <c r="C298" s="2">
        <v>11</v>
      </c>
      <c r="D298" s="2">
        <v>11</v>
      </c>
      <c r="E298" s="2">
        <v>11</v>
      </c>
      <c r="F298" s="2">
        <v>2</v>
      </c>
      <c r="G298" s="2">
        <v>4</v>
      </c>
      <c r="H298" s="1">
        <v>0</v>
      </c>
      <c r="I298" s="1">
        <f>IF(H298 + I297 &lt; 0, H298 + I297, 0)</f>
        <v>0</v>
      </c>
      <c r="J298" s="1">
        <v>0</v>
      </c>
      <c r="K298" s="1">
        <f>IF(J298 + K297 &lt; 0, J298 + K297, 0)</f>
        <v>0</v>
      </c>
      <c r="L298" s="1">
        <v>0</v>
      </c>
      <c r="M298" s="1">
        <f>IF(L298 + M297 &lt; 0, L298 + M297, 0)</f>
        <v>0</v>
      </c>
      <c r="N298" s="1">
        <v>0</v>
      </c>
      <c r="O298" s="1">
        <f>IF(N298 + O297 &lt; 0, N298 + O297, 0)</f>
        <v>0</v>
      </c>
      <c r="P298" s="1">
        <v>0</v>
      </c>
      <c r="Q298" s="1">
        <f>IF(P298 + Q297 &lt; 0, P298 + Q297, 0)</f>
        <v>0</v>
      </c>
      <c r="R298" s="1">
        <v>0</v>
      </c>
      <c r="S298" s="1">
        <f>IF(R298 + S297 &lt; 0, R298 + S297, 0)</f>
        <v>0</v>
      </c>
      <c r="T298" s="1">
        <v>0</v>
      </c>
      <c r="U298" s="1">
        <f>IF(T298 + U297 &lt; 0, T298 + U297, 0)</f>
        <v>0</v>
      </c>
      <c r="V298" s="1">
        <v>0</v>
      </c>
      <c r="W298" s="1">
        <f>IF(V298 + W297 &lt; 0, V298 + W297, 0)</f>
        <v>0</v>
      </c>
      <c r="X298" s="1">
        <v>0</v>
      </c>
      <c r="Y298" s="1">
        <f>IF(X298 + Y297 &lt; 0, X298 + Y297, 0)</f>
        <v>0</v>
      </c>
      <c r="Z298" s="1">
        <v>0</v>
      </c>
      <c r="AA298" s="1">
        <f>IF(Z298 + AA297 &lt; 0, Z298 + AA297, 0)</f>
        <v>0</v>
      </c>
      <c r="AB298" s="1">
        <v>0</v>
      </c>
      <c r="AC298" s="1">
        <f>IF(AB298 + AC297 &lt; 0, AB298 + AC297, 0)</f>
        <v>0</v>
      </c>
      <c r="AD298" s="1">
        <v>0</v>
      </c>
      <c r="AE298" s="1">
        <f>IF(AD298 + AE297 &lt; 0, AD298 + AE297, 0)</f>
        <v>0</v>
      </c>
      <c r="AF298" s="1">
        <v>0</v>
      </c>
      <c r="AG298" s="1">
        <f>IF(AF298 + AG297 &lt; 0, AF298 + AG297, 0)</f>
        <v>0</v>
      </c>
      <c r="AH298" s="1">
        <v>0</v>
      </c>
      <c r="AI298" s="1">
        <f>IF(AH298 + AI297 &lt; 0, AH298 + AI297, 0)</f>
        <v>0</v>
      </c>
      <c r="AJ298" s="1">
        <v>0</v>
      </c>
      <c r="AK298" s="1">
        <f>IF(AJ298 + AK297 &lt; 0, AJ298 + AK297, 0)</f>
        <v>0</v>
      </c>
    </row>
    <row r="299" spans="1:37" s="1" customFormat="1">
      <c r="A299" s="3">
        <v>45729</v>
      </c>
      <c r="B299" s="2" t="s">
        <v>25</v>
      </c>
      <c r="C299" s="2">
        <v>10</v>
      </c>
      <c r="D299" s="2">
        <v>10</v>
      </c>
      <c r="E299" s="2">
        <v>10</v>
      </c>
      <c r="F299" s="2">
        <v>1</v>
      </c>
      <c r="G299" s="2">
        <v>3</v>
      </c>
      <c r="H299" s="1">
        <v>0</v>
      </c>
      <c r="I299" s="1">
        <f>IF(H299 + I298 &lt; 0, H299 + I298, 0)</f>
        <v>0</v>
      </c>
      <c r="J299" s="1">
        <v>0</v>
      </c>
      <c r="K299" s="1">
        <f>IF(J299 + K298 &lt; 0, J299 + K298, 0)</f>
        <v>0</v>
      </c>
      <c r="L299" s="1">
        <v>0</v>
      </c>
      <c r="M299" s="1">
        <f>IF(L299 + M298 &lt; 0, L299 + M298, 0)</f>
        <v>0</v>
      </c>
      <c r="N299" s="1">
        <v>0</v>
      </c>
      <c r="O299" s="1">
        <f>IF(N299 + O298 &lt; 0, N299 + O298, 0)</f>
        <v>0</v>
      </c>
      <c r="P299" s="1">
        <v>0</v>
      </c>
      <c r="Q299" s="1">
        <f>IF(P299 + Q298 &lt; 0, P299 + Q298, 0)</f>
        <v>0</v>
      </c>
      <c r="R299" s="1">
        <v>0</v>
      </c>
      <c r="S299" s="1">
        <f>IF(R299 + S298 &lt; 0, R299 + S298, 0)</f>
        <v>0</v>
      </c>
      <c r="T299" s="1">
        <v>0</v>
      </c>
      <c r="U299" s="1">
        <f>IF(T299 + U298 &lt; 0, T299 + U298, 0)</f>
        <v>0</v>
      </c>
      <c r="V299" s="1">
        <v>0</v>
      </c>
      <c r="W299" s="1">
        <f>IF(V299 + W298 &lt; 0, V299 + W298, 0)</f>
        <v>0</v>
      </c>
      <c r="X299" s="1">
        <v>0</v>
      </c>
      <c r="Y299" s="1">
        <f>IF(X299 + Y298 &lt; 0, X299 + Y298, 0)</f>
        <v>0</v>
      </c>
      <c r="Z299" s="1">
        <v>-85198.73728207058</v>
      </c>
      <c r="AA299" s="1">
        <f>IF(Z299 + AA298 &lt; 0, Z299 + AA298, 0)</f>
        <v>0</v>
      </c>
      <c r="AB299" s="1">
        <v>-266482.4763899555</v>
      </c>
      <c r="AC299" s="1">
        <f>IF(AB299 + AC298 &lt; 0, AB299 + AC298, 0)</f>
        <v>0</v>
      </c>
      <c r="AD299" s="1">
        <v>669415.2537581946</v>
      </c>
      <c r="AE299" s="1">
        <f>IF(AD299 + AE298 &lt; 0, AD299 + AE298, 0)</f>
        <v>0</v>
      </c>
      <c r="AF299" s="1">
        <v>0</v>
      </c>
      <c r="AG299" s="1">
        <f>IF(AF299 + AG298 &lt; 0, AF299 + AG298, 0)</f>
        <v>0</v>
      </c>
      <c r="AH299" s="1">
        <v>0</v>
      </c>
      <c r="AI299" s="1">
        <f>IF(AH299 + AI298 &lt; 0, AH299 + AI298, 0)</f>
        <v>0</v>
      </c>
      <c r="AJ299" s="1">
        <v>0</v>
      </c>
      <c r="AK299" s="1">
        <f>IF(AJ299 + AK298 &lt; 0, AJ299 + AK298, 0)</f>
        <v>0</v>
      </c>
    </row>
    <row r="300" spans="1:37" s="1" customFormat="1">
      <c r="A300" s="3">
        <v>45733</v>
      </c>
      <c r="B300" s="2" t="s">
        <v>22</v>
      </c>
      <c r="C300" s="2">
        <v>9</v>
      </c>
      <c r="D300" s="2">
        <v>9</v>
      </c>
      <c r="E300" s="2">
        <v>9</v>
      </c>
      <c r="F300" s="2">
        <v>4</v>
      </c>
      <c r="G300" s="2">
        <v>2</v>
      </c>
      <c r="H300" s="1">
        <v>0</v>
      </c>
      <c r="I300" s="1">
        <f>IF(H300 + I299 &lt; 0, H300 + I299, 0)</f>
        <v>0</v>
      </c>
      <c r="J300" s="1">
        <v>0</v>
      </c>
      <c r="K300" s="1">
        <f>IF(J300 + K299 &lt; 0, J300 + K299, 0)</f>
        <v>0</v>
      </c>
      <c r="L300" s="1">
        <v>0</v>
      </c>
      <c r="M300" s="1">
        <f>IF(L300 + M299 &lt; 0, L300 + M299, 0)</f>
        <v>0</v>
      </c>
      <c r="N300" s="1">
        <v>0</v>
      </c>
      <c r="O300" s="1">
        <f>IF(N300 + O299 &lt; 0, N300 + O299, 0)</f>
        <v>0</v>
      </c>
      <c r="P300" s="1">
        <v>0</v>
      </c>
      <c r="Q300" s="1">
        <f>IF(P300 + Q299 &lt; 0, P300 + Q299, 0)</f>
        <v>0</v>
      </c>
      <c r="R300" s="1">
        <v>0</v>
      </c>
      <c r="S300" s="1">
        <f>IF(R300 + S299 &lt; 0, R300 + S299, 0)</f>
        <v>0</v>
      </c>
      <c r="T300" s="1">
        <v>0</v>
      </c>
      <c r="U300" s="1">
        <f>IF(T300 + U299 &lt; 0, T300 + U299, 0)</f>
        <v>0</v>
      </c>
      <c r="V300" s="1">
        <v>0</v>
      </c>
      <c r="W300" s="1">
        <f>IF(V300 + W299 &lt; 0, V300 + W299, 0)</f>
        <v>0</v>
      </c>
      <c r="X300" s="1">
        <v>0</v>
      </c>
      <c r="Y300" s="1">
        <f>IF(X300 + Y299 &lt; 0, X300 + Y299, 0)</f>
        <v>0</v>
      </c>
      <c r="Z300" s="1">
        <v>0</v>
      </c>
      <c r="AA300" s="1">
        <f>IF(Z300 + AA299 &lt; 0, Z300 + AA299, 0)</f>
        <v>0</v>
      </c>
      <c r="AB300" s="1">
        <v>0</v>
      </c>
      <c r="AC300" s="1">
        <f>IF(AB300 + AC299 &lt; 0, AB300 + AC299, 0)</f>
        <v>0</v>
      </c>
      <c r="AD300" s="1">
        <v>0</v>
      </c>
      <c r="AE300" s="1">
        <f>IF(AD300 + AE299 &lt; 0, AD300 + AE299, 0)</f>
        <v>0</v>
      </c>
      <c r="AF300" s="1">
        <v>0</v>
      </c>
      <c r="AG300" s="1">
        <f>IF(AF300 + AG299 &lt; 0, AF300 + AG299, 0)</f>
        <v>0</v>
      </c>
      <c r="AH300" s="1">
        <v>0</v>
      </c>
      <c r="AI300" s="1">
        <f>IF(AH300 + AI299 &lt; 0, AH300 + AI299, 0)</f>
        <v>0</v>
      </c>
      <c r="AJ300" s="1">
        <v>0</v>
      </c>
      <c r="AK300" s="1">
        <f>IF(AJ300 + AK299 &lt; 0, AJ300 + AK299, 0)</f>
        <v>0</v>
      </c>
    </row>
    <row r="301" spans="1:37" s="1" customFormat="1">
      <c r="A301" s="3">
        <v>45734</v>
      </c>
      <c r="B301" s="2" t="s">
        <v>23</v>
      </c>
      <c r="C301" s="2">
        <v>8</v>
      </c>
      <c r="D301" s="2">
        <v>8</v>
      </c>
      <c r="E301" s="2">
        <v>8</v>
      </c>
      <c r="F301" s="2">
        <v>3</v>
      </c>
      <c r="G301" s="2">
        <v>1</v>
      </c>
      <c r="H301" s="1">
        <v>0</v>
      </c>
      <c r="I301" s="1">
        <f>IF(H301 + I300 &lt; 0, H301 + I300, 0)</f>
        <v>0</v>
      </c>
      <c r="J301" s="1">
        <v>0</v>
      </c>
      <c r="K301" s="1">
        <f>IF(J301 + K300 &lt; 0, J301 + K300, 0)</f>
        <v>0</v>
      </c>
      <c r="L301" s="1">
        <v>0</v>
      </c>
      <c r="M301" s="1">
        <f>IF(L301 + M300 &lt; 0, L301 + M300, 0)</f>
        <v>0</v>
      </c>
      <c r="N301" s="1">
        <v>0</v>
      </c>
      <c r="O301" s="1">
        <f>IF(N301 + O300 &lt; 0, N301 + O300, 0)</f>
        <v>0</v>
      </c>
      <c r="P301" s="1">
        <v>0</v>
      </c>
      <c r="Q301" s="1">
        <f>IF(P301 + Q300 &lt; 0, P301 + Q300, 0)</f>
        <v>0</v>
      </c>
      <c r="R301" s="1">
        <v>0</v>
      </c>
      <c r="S301" s="1">
        <f>IF(R301 + S300 &lt; 0, R301 + S300, 0)</f>
        <v>0</v>
      </c>
      <c r="T301" s="1">
        <v>0</v>
      </c>
      <c r="U301" s="1">
        <f>IF(T301 + U300 &lt; 0, T301 + U300, 0)</f>
        <v>0</v>
      </c>
      <c r="V301" s="1">
        <v>0</v>
      </c>
      <c r="W301" s="1">
        <f>IF(V301 + W300 &lt; 0, V301 + W300, 0)</f>
        <v>0</v>
      </c>
      <c r="X301" s="1">
        <v>0</v>
      </c>
      <c r="Y301" s="1">
        <f>IF(X301 + Y300 &lt; 0, X301 + Y300, 0)</f>
        <v>0</v>
      </c>
      <c r="Z301" s="1">
        <v>0</v>
      </c>
      <c r="AA301" s="1">
        <f>IF(Z301 + AA300 &lt; 0, Z301 + AA300, 0)</f>
        <v>0</v>
      </c>
      <c r="AB301" s="1">
        <v>0</v>
      </c>
      <c r="AC301" s="1">
        <f>IF(AB301 + AC300 &lt; 0, AB301 + AC300, 0)</f>
        <v>0</v>
      </c>
      <c r="AD301" s="1">
        <v>0</v>
      </c>
      <c r="AE301" s="1">
        <f>IF(AD301 + AE300 &lt; 0, AD301 + AE300, 0)</f>
        <v>0</v>
      </c>
      <c r="AF301" s="1">
        <v>146087.785397077</v>
      </c>
      <c r="AG301" s="1">
        <f>IF(AF301 + AG300 &lt; 0, AF301 + AG300, 0)</f>
        <v>0</v>
      </c>
      <c r="AH301" s="1">
        <v>146087.785397077</v>
      </c>
      <c r="AI301" s="1">
        <f>IF(AH301 + AI300 &lt; 0, AH301 + AI300, 0)</f>
        <v>0</v>
      </c>
      <c r="AJ301" s="1">
        <v>-70781.19200349864</v>
      </c>
      <c r="AK301" s="1">
        <f>IF(AJ301 + AK300 &lt; 0, AJ301 + AK300, 0)</f>
        <v>0</v>
      </c>
    </row>
    <row r="302" spans="1:37" s="1" customFormat="1">
      <c r="A302" s="3">
        <v>45735</v>
      </c>
      <c r="B302" s="2" t="s">
        <v>24</v>
      </c>
      <c r="C302" s="2">
        <v>7</v>
      </c>
      <c r="D302" s="2">
        <v>7</v>
      </c>
      <c r="E302" s="2">
        <v>7</v>
      </c>
      <c r="F302" s="2">
        <v>2</v>
      </c>
      <c r="G302" s="2">
        <v>5</v>
      </c>
      <c r="H302" s="1">
        <v>0</v>
      </c>
      <c r="I302" s="1">
        <f>IF(H302 + I301 &lt; 0, H302 + I301, 0)</f>
        <v>0</v>
      </c>
      <c r="J302" s="1">
        <v>0</v>
      </c>
      <c r="K302" s="1">
        <f>IF(J302 + K301 &lt; 0, J302 + K301, 0)</f>
        <v>0</v>
      </c>
      <c r="L302" s="1">
        <v>0</v>
      </c>
      <c r="M302" s="1">
        <f>IF(L302 + M301 &lt; 0, L302 + M301, 0)</f>
        <v>0</v>
      </c>
      <c r="N302" s="1">
        <v>0</v>
      </c>
      <c r="O302" s="1">
        <f>IF(N302 + O301 &lt; 0, N302 + O301, 0)</f>
        <v>0</v>
      </c>
      <c r="P302" s="1">
        <v>0</v>
      </c>
      <c r="Q302" s="1">
        <f>IF(P302 + Q301 &lt; 0, P302 + Q301, 0)</f>
        <v>0</v>
      </c>
      <c r="R302" s="1">
        <v>0</v>
      </c>
      <c r="S302" s="1">
        <f>IF(R302 + S301 &lt; 0, R302 + S301, 0)</f>
        <v>0</v>
      </c>
      <c r="T302" s="1">
        <v>0</v>
      </c>
      <c r="U302" s="1">
        <f>IF(T302 + U301 &lt; 0, T302 + U301, 0)</f>
        <v>0</v>
      </c>
      <c r="V302" s="1">
        <v>0</v>
      </c>
      <c r="W302" s="1">
        <f>IF(V302 + W301 &lt; 0, V302 + W301, 0)</f>
        <v>0</v>
      </c>
      <c r="X302" s="1">
        <v>0</v>
      </c>
      <c r="Y302" s="1">
        <f>IF(X302 + Y301 &lt; 0, X302 + Y301, 0)</f>
        <v>0</v>
      </c>
      <c r="Z302" s="1">
        <v>0</v>
      </c>
      <c r="AA302" s="1">
        <f>IF(Z302 + AA301 &lt; 0, Z302 + AA301, 0)</f>
        <v>0</v>
      </c>
      <c r="AB302" s="1">
        <v>0</v>
      </c>
      <c r="AC302" s="1">
        <f>IF(AB302 + AC301 &lt; 0, AB302 + AC301, 0)</f>
        <v>0</v>
      </c>
      <c r="AD302" s="1">
        <v>0</v>
      </c>
      <c r="AE302" s="1">
        <f>IF(AD302 + AE301 &lt; 0, AD302 + AE301, 0)</f>
        <v>0</v>
      </c>
      <c r="AF302" s="1">
        <v>0</v>
      </c>
      <c r="AG302" s="1">
        <f>IF(AF302 + AG301 &lt; 0, AF302 + AG301, 0)</f>
        <v>0</v>
      </c>
      <c r="AH302" s="1">
        <v>0</v>
      </c>
      <c r="AI302" s="1">
        <f>IF(AH302 + AI301 &lt; 0, AH302 + AI301, 0)</f>
        <v>0</v>
      </c>
      <c r="AJ302" s="1">
        <v>0</v>
      </c>
      <c r="AK302" s="1">
        <f>IF(AJ302 + AK301 &lt; 0, AJ302 + AK301, 0)</f>
        <v>0</v>
      </c>
    </row>
    <row r="303" spans="1:37" s="1" customFormat="1">
      <c r="A303" s="3">
        <v>45736</v>
      </c>
      <c r="B303" s="2" t="s">
        <v>25</v>
      </c>
      <c r="C303" s="2">
        <v>6</v>
      </c>
      <c r="D303" s="2">
        <v>6</v>
      </c>
      <c r="E303" s="2">
        <v>6</v>
      </c>
      <c r="F303" s="2">
        <v>1</v>
      </c>
      <c r="G303" s="2">
        <v>4</v>
      </c>
      <c r="H303" s="1">
        <v>0</v>
      </c>
      <c r="I303" s="1">
        <f>IF(H303 + I302 &lt; 0, H303 + I302, 0)</f>
        <v>0</v>
      </c>
      <c r="J303" s="1">
        <v>0</v>
      </c>
      <c r="K303" s="1">
        <f>IF(J303 + K302 &lt; 0, J303 + K302, 0)</f>
        <v>0</v>
      </c>
      <c r="L303" s="1">
        <v>0</v>
      </c>
      <c r="M303" s="1">
        <f>IF(L303 + M302 &lt; 0, L303 + M302, 0)</f>
        <v>0</v>
      </c>
      <c r="N303" s="1">
        <v>0</v>
      </c>
      <c r="O303" s="1">
        <f>IF(N303 + O302 &lt; 0, N303 + O302, 0)</f>
        <v>0</v>
      </c>
      <c r="P303" s="1">
        <v>0</v>
      </c>
      <c r="Q303" s="1">
        <f>IF(P303 + Q302 &lt; 0, P303 + Q302, 0)</f>
        <v>0</v>
      </c>
      <c r="R303" s="1">
        <v>0</v>
      </c>
      <c r="S303" s="1">
        <f>IF(R303 + S302 &lt; 0, R303 + S302, 0)</f>
        <v>0</v>
      </c>
      <c r="T303" s="1">
        <v>0</v>
      </c>
      <c r="U303" s="1">
        <f>IF(T303 + U302 &lt; 0, T303 + U302, 0)</f>
        <v>0</v>
      </c>
      <c r="V303" s="1">
        <v>0</v>
      </c>
      <c r="W303" s="1">
        <f>IF(V303 + W302 &lt; 0, V303 + W302, 0)</f>
        <v>0</v>
      </c>
      <c r="X303" s="1">
        <v>0</v>
      </c>
      <c r="Y303" s="1">
        <f>IF(X303 + Y302 &lt; 0, X303 + Y302, 0)</f>
        <v>0</v>
      </c>
      <c r="Z303" s="1">
        <v>-510239.0480142258</v>
      </c>
      <c r="AA303" s="1">
        <f>IF(Z303 + AA302 &lt; 0, Z303 + AA302, 0)</f>
        <v>0</v>
      </c>
      <c r="AB303" s="1">
        <v>-510239.0480142258</v>
      </c>
      <c r="AC303" s="1">
        <f>IF(AB303 + AC302 &lt; 0, AB303 + AC302, 0)</f>
        <v>0</v>
      </c>
      <c r="AD303" s="1">
        <v>-176310.9015926275</v>
      </c>
      <c r="AE303" s="1">
        <f>IF(AD303 + AE302 &lt; 0, AD303 + AE302, 0)</f>
        <v>0</v>
      </c>
      <c r="AF303" s="1">
        <v>0</v>
      </c>
      <c r="AG303" s="1">
        <f>IF(AF303 + AG302 &lt; 0, AF303 + AG302, 0)</f>
        <v>0</v>
      </c>
      <c r="AH303" s="1">
        <v>0</v>
      </c>
      <c r="AI303" s="1">
        <f>IF(AH303 + AI302 &lt; 0, AH303 + AI302, 0)</f>
        <v>0</v>
      </c>
      <c r="AJ303" s="1">
        <v>0</v>
      </c>
      <c r="AK303" s="1">
        <f>IF(AJ303 + AK302 &lt; 0, AJ303 + AK302, 0)</f>
        <v>0</v>
      </c>
    </row>
    <row r="304" spans="1:37" s="1" customFormat="1">
      <c r="A304" s="3">
        <v>45737</v>
      </c>
      <c r="B304" s="2" t="s">
        <v>26</v>
      </c>
      <c r="C304" s="2">
        <v>5</v>
      </c>
      <c r="D304" s="2">
        <v>5</v>
      </c>
      <c r="E304" s="2">
        <v>5</v>
      </c>
      <c r="F304" s="2">
        <v>5</v>
      </c>
      <c r="G304" s="2">
        <v>3</v>
      </c>
      <c r="H304" s="1">
        <v>0</v>
      </c>
      <c r="I304" s="1">
        <f>IF(H304 + I303 &lt; 0, H304 + I303, 0)</f>
        <v>0</v>
      </c>
      <c r="J304" s="1">
        <v>0</v>
      </c>
      <c r="K304" s="1">
        <f>IF(J304 + K303 &lt; 0, J304 + K303, 0)</f>
        <v>0</v>
      </c>
      <c r="L304" s="1">
        <v>0</v>
      </c>
      <c r="M304" s="1">
        <f>IF(L304 + M303 &lt; 0, L304 + M303, 0)</f>
        <v>0</v>
      </c>
      <c r="N304" s="1">
        <v>0</v>
      </c>
      <c r="O304" s="1">
        <f>IF(N304 + O303 &lt; 0, N304 + O303, 0)</f>
        <v>0</v>
      </c>
      <c r="P304" s="1">
        <v>0</v>
      </c>
      <c r="Q304" s="1">
        <f>IF(P304 + Q303 &lt; 0, P304 + Q303, 0)</f>
        <v>0</v>
      </c>
      <c r="R304" s="1">
        <v>0</v>
      </c>
      <c r="S304" s="1">
        <f>IF(R304 + S303 &lt; 0, R304 + S303, 0)</f>
        <v>0</v>
      </c>
      <c r="T304" s="1">
        <v>0</v>
      </c>
      <c r="U304" s="1">
        <f>IF(T304 + U303 &lt; 0, T304 + U303, 0)</f>
        <v>0</v>
      </c>
      <c r="V304" s="1">
        <v>0</v>
      </c>
      <c r="W304" s="1">
        <f>IF(V304 + W303 &lt; 0, V304 + W303, 0)</f>
        <v>0</v>
      </c>
      <c r="X304" s="1">
        <v>0</v>
      </c>
      <c r="Y304" s="1">
        <f>IF(X304 + Y303 &lt; 0, X304 + Y303, 0)</f>
        <v>0</v>
      </c>
      <c r="Z304" s="1">
        <v>0</v>
      </c>
      <c r="AA304" s="1">
        <f>IF(Z304 + AA303 &lt; 0, Z304 + AA303, 0)</f>
        <v>0</v>
      </c>
      <c r="AB304" s="1">
        <v>0</v>
      </c>
      <c r="AC304" s="1">
        <f>IF(AB304 + AC303 &lt; 0, AB304 + AC303, 0)</f>
        <v>0</v>
      </c>
      <c r="AD304" s="1">
        <v>0</v>
      </c>
      <c r="AE304" s="1">
        <f>IF(AD304 + AE303 &lt; 0, AD304 + AE303, 0)</f>
        <v>0</v>
      </c>
      <c r="AF304" s="1">
        <v>0</v>
      </c>
      <c r="AG304" s="1">
        <f>IF(AF304 + AG303 &lt; 0, AF304 + AG303, 0)</f>
        <v>0</v>
      </c>
      <c r="AH304" s="1">
        <v>0</v>
      </c>
      <c r="AI304" s="1">
        <f>IF(AH304 + AI303 &lt; 0, AH304 + AI303, 0)</f>
        <v>0</v>
      </c>
      <c r="AJ304" s="1">
        <v>0</v>
      </c>
      <c r="AK304" s="1">
        <f>IF(AJ304 + AK303 &lt; 0, AJ304 + AK303, 0)</f>
        <v>0</v>
      </c>
    </row>
    <row r="305" spans="1:37" s="1" customFormat="1">
      <c r="A305" s="3">
        <v>45740</v>
      </c>
      <c r="B305" s="2" t="s">
        <v>22</v>
      </c>
      <c r="C305" s="2">
        <v>4</v>
      </c>
      <c r="D305" s="2">
        <v>4</v>
      </c>
      <c r="E305" s="2">
        <v>4</v>
      </c>
      <c r="F305" s="2">
        <v>4</v>
      </c>
      <c r="G305" s="2">
        <v>2</v>
      </c>
      <c r="H305" s="1">
        <v>0</v>
      </c>
      <c r="I305" s="1">
        <f>IF(H305 + I304 &lt; 0, H305 + I304, 0)</f>
        <v>0</v>
      </c>
      <c r="J305" s="1">
        <v>0</v>
      </c>
      <c r="K305" s="1">
        <f>IF(J305 + K304 &lt; 0, J305 + K304, 0)</f>
        <v>0</v>
      </c>
      <c r="L305" s="1">
        <v>0</v>
      </c>
      <c r="M305" s="1">
        <f>IF(L305 + M304 &lt; 0, L305 + M304, 0)</f>
        <v>0</v>
      </c>
      <c r="N305" s="1">
        <v>0</v>
      </c>
      <c r="O305" s="1">
        <f>IF(N305 + O304 &lt; 0, N305 + O304, 0)</f>
        <v>0</v>
      </c>
      <c r="P305" s="1">
        <v>0</v>
      </c>
      <c r="Q305" s="1">
        <f>IF(P305 + Q304 &lt; 0, P305 + Q304, 0)</f>
        <v>0</v>
      </c>
      <c r="R305" s="1">
        <v>0</v>
      </c>
      <c r="S305" s="1">
        <f>IF(R305 + S304 &lt; 0, R305 + S304, 0)</f>
        <v>0</v>
      </c>
      <c r="T305" s="1">
        <v>0</v>
      </c>
      <c r="U305" s="1">
        <f>IF(T305 + U304 &lt; 0, T305 + U304, 0)</f>
        <v>0</v>
      </c>
      <c r="V305" s="1">
        <v>0</v>
      </c>
      <c r="W305" s="1">
        <f>IF(V305 + W304 &lt; 0, V305 + W304, 0)</f>
        <v>0</v>
      </c>
      <c r="X305" s="1">
        <v>0</v>
      </c>
      <c r="Y305" s="1">
        <f>IF(X305 + Y304 &lt; 0, X305 + Y304, 0)</f>
        <v>0</v>
      </c>
      <c r="Z305" s="1">
        <v>0</v>
      </c>
      <c r="AA305" s="1">
        <f>IF(Z305 + AA304 &lt; 0, Z305 + AA304, 0)</f>
        <v>0</v>
      </c>
      <c r="AB305" s="1">
        <v>0</v>
      </c>
      <c r="AC305" s="1">
        <f>IF(AB305 + AC304 &lt; 0, AB305 + AC304, 0)</f>
        <v>0</v>
      </c>
      <c r="AD305" s="1">
        <v>0</v>
      </c>
      <c r="AE305" s="1">
        <f>IF(AD305 + AE304 &lt; 0, AD305 + AE304, 0)</f>
        <v>0</v>
      </c>
      <c r="AF305" s="1">
        <v>0</v>
      </c>
      <c r="AG305" s="1">
        <f>IF(AF305 + AG304 &lt; 0, AF305 + AG304, 0)</f>
        <v>0</v>
      </c>
      <c r="AH305" s="1">
        <v>0</v>
      </c>
      <c r="AI305" s="1">
        <f>IF(AH305 + AI304 &lt; 0, AH305 + AI304, 0)</f>
        <v>0</v>
      </c>
      <c r="AJ305" s="1">
        <v>0</v>
      </c>
      <c r="AK305" s="1">
        <f>IF(AJ305 + AK304 &lt; 0, AJ305 + AK304, 0)</f>
        <v>0</v>
      </c>
    </row>
    <row r="306" spans="1:37" s="1" customFormat="1">
      <c r="A306" s="3">
        <v>45741</v>
      </c>
      <c r="B306" s="2" t="s">
        <v>23</v>
      </c>
      <c r="C306" s="2">
        <v>3</v>
      </c>
      <c r="D306" s="2">
        <v>3</v>
      </c>
      <c r="E306" s="2">
        <v>3</v>
      </c>
      <c r="F306" s="2">
        <v>3</v>
      </c>
      <c r="G306" s="2">
        <v>1</v>
      </c>
      <c r="H306" s="1">
        <v>0</v>
      </c>
      <c r="I306" s="1">
        <f>IF(H306 + I305 &lt; 0, H306 + I305, 0)</f>
        <v>0</v>
      </c>
      <c r="J306" s="1">
        <v>0</v>
      </c>
      <c r="K306" s="1">
        <f>IF(J306 + K305 &lt; 0, J306 + K305, 0)</f>
        <v>0</v>
      </c>
      <c r="L306" s="1">
        <v>0</v>
      </c>
      <c r="M306" s="1">
        <f>IF(L306 + M305 &lt; 0, L306 + M305, 0)</f>
        <v>0</v>
      </c>
      <c r="N306" s="1">
        <v>0</v>
      </c>
      <c r="O306" s="1">
        <f>IF(N306 + O305 &lt; 0, N306 + O305, 0)</f>
        <v>0</v>
      </c>
      <c r="P306" s="1">
        <v>0</v>
      </c>
      <c r="Q306" s="1">
        <f>IF(P306 + Q305 &lt; 0, P306 + Q305, 0)</f>
        <v>0</v>
      </c>
      <c r="R306" s="1">
        <v>0</v>
      </c>
      <c r="S306" s="1">
        <f>IF(R306 + S305 &lt; 0, R306 + S305, 0)</f>
        <v>0</v>
      </c>
      <c r="T306" s="1">
        <v>0</v>
      </c>
      <c r="U306" s="1">
        <f>IF(T306 + U305 &lt; 0, T306 + U305, 0)</f>
        <v>0</v>
      </c>
      <c r="V306" s="1">
        <v>0</v>
      </c>
      <c r="W306" s="1">
        <f>IF(V306 + W305 &lt; 0, V306 + W305, 0)</f>
        <v>0</v>
      </c>
      <c r="X306" s="1">
        <v>0</v>
      </c>
      <c r="Y306" s="1">
        <f>IF(X306 + Y305 &lt; 0, X306 + Y305, 0)</f>
        <v>0</v>
      </c>
      <c r="Z306" s="1">
        <v>0</v>
      </c>
      <c r="AA306" s="1">
        <f>IF(Z306 + AA305 &lt; 0, Z306 + AA305, 0)</f>
        <v>0</v>
      </c>
      <c r="AB306" s="1">
        <v>0</v>
      </c>
      <c r="AC306" s="1">
        <f>IF(AB306 + AC305 &lt; 0, AB306 + AC305, 0)</f>
        <v>0</v>
      </c>
      <c r="AD306" s="1">
        <v>0</v>
      </c>
      <c r="AE306" s="1">
        <f>IF(AD306 + AE305 &lt; 0, AD306 + AE305, 0)</f>
        <v>0</v>
      </c>
      <c r="AF306" s="1">
        <v>-1273520.786709387</v>
      </c>
      <c r="AG306" s="1">
        <f>IF(AF306 + AG305 &lt; 0, AF306 + AG305, 0)</f>
        <v>0</v>
      </c>
      <c r="AH306" s="1">
        <v>-1070445.712685429</v>
      </c>
      <c r="AI306" s="1">
        <f>IF(AH306 + AI305 &lt; 0, AH306 + AI305, 0)</f>
        <v>0</v>
      </c>
      <c r="AJ306" s="1">
        <v>-753207.4372101031</v>
      </c>
      <c r="AK306" s="1">
        <f>IF(AJ306 + AK305 &lt; 0, AJ306 + AK305, 0)</f>
        <v>0</v>
      </c>
    </row>
    <row r="307" spans="1:37" s="1" customFormat="1">
      <c r="A307" s="3">
        <v>45742</v>
      </c>
      <c r="B307" s="2" t="s">
        <v>24</v>
      </c>
      <c r="C307" s="2">
        <v>2</v>
      </c>
      <c r="D307" s="2">
        <v>2</v>
      </c>
      <c r="E307" s="2">
        <v>2</v>
      </c>
      <c r="F307" s="2">
        <v>2</v>
      </c>
      <c r="G307" s="2">
        <v>4</v>
      </c>
      <c r="H307" s="1">
        <v>0</v>
      </c>
      <c r="I307" s="1">
        <f>IF(H307 + I306 &lt; 0, H307 + I306, 0)</f>
        <v>0</v>
      </c>
      <c r="J307" s="1">
        <v>0</v>
      </c>
      <c r="K307" s="1">
        <f>IF(J307 + K306 &lt; 0, J307 + K306, 0)</f>
        <v>0</v>
      </c>
      <c r="L307" s="1">
        <v>0</v>
      </c>
      <c r="M307" s="1">
        <f>IF(L307 + M306 &lt; 0, L307 + M306, 0)</f>
        <v>0</v>
      </c>
      <c r="N307" s="1">
        <v>0</v>
      </c>
      <c r="O307" s="1">
        <f>IF(N307 + O306 &lt; 0, N307 + O306, 0)</f>
        <v>0</v>
      </c>
      <c r="P307" s="1">
        <v>0</v>
      </c>
      <c r="Q307" s="1">
        <f>IF(P307 + Q306 &lt; 0, P307 + Q306, 0)</f>
        <v>0</v>
      </c>
      <c r="R307" s="1">
        <v>0</v>
      </c>
      <c r="S307" s="1">
        <f>IF(R307 + S306 &lt; 0, R307 + S306, 0)</f>
        <v>0</v>
      </c>
      <c r="T307" s="1">
        <v>0</v>
      </c>
      <c r="U307" s="1">
        <f>IF(T307 + U306 &lt; 0, T307 + U306, 0)</f>
        <v>0</v>
      </c>
      <c r="V307" s="1">
        <v>0</v>
      </c>
      <c r="W307" s="1">
        <f>IF(V307 + W306 &lt; 0, V307 + W306, 0)</f>
        <v>0</v>
      </c>
      <c r="X307" s="1">
        <v>0</v>
      </c>
      <c r="Y307" s="1">
        <f>IF(X307 + Y306 &lt; 0, X307 + Y306, 0)</f>
        <v>0</v>
      </c>
      <c r="Z307" s="1">
        <v>0</v>
      </c>
      <c r="AA307" s="1">
        <f>IF(Z307 + AA306 &lt; 0, Z307 + AA306, 0)</f>
        <v>0</v>
      </c>
      <c r="AB307" s="1">
        <v>0</v>
      </c>
      <c r="AC307" s="1">
        <f>IF(AB307 + AC306 &lt; 0, AB307 + AC306, 0)</f>
        <v>0</v>
      </c>
      <c r="AD307" s="1">
        <v>0</v>
      </c>
      <c r="AE307" s="1">
        <f>IF(AD307 + AE306 &lt; 0, AD307 + AE306, 0)</f>
        <v>0</v>
      </c>
      <c r="AF307" s="1">
        <v>0</v>
      </c>
      <c r="AG307" s="1">
        <f>IF(AF307 + AG306 &lt; 0, AF307 + AG306, 0)</f>
        <v>0</v>
      </c>
      <c r="AH307" s="1">
        <v>0</v>
      </c>
      <c r="AI307" s="1">
        <f>IF(AH307 + AI306 &lt; 0, AH307 + AI306, 0)</f>
        <v>0</v>
      </c>
      <c r="AJ307" s="1">
        <v>0</v>
      </c>
      <c r="AK307" s="1">
        <f>IF(AJ307 + AK306 &lt; 0, AJ307 + AK306, 0)</f>
        <v>0</v>
      </c>
    </row>
    <row r="308" spans="1:37" s="1" customFormat="1">
      <c r="A308" s="3">
        <v>45743</v>
      </c>
      <c r="B308" s="2" t="s">
        <v>25</v>
      </c>
      <c r="C308" s="2">
        <v>1</v>
      </c>
      <c r="D308" s="2">
        <v>1</v>
      </c>
      <c r="E308" s="2">
        <v>1</v>
      </c>
      <c r="F308" s="2">
        <v>1</v>
      </c>
      <c r="G308" s="2">
        <v>3</v>
      </c>
      <c r="H308" s="1">
        <v>0</v>
      </c>
      <c r="I308" s="1">
        <f>IF(H308 + I307 &lt; 0, H308 + I307, 0)</f>
        <v>0</v>
      </c>
      <c r="J308" s="1">
        <v>0</v>
      </c>
      <c r="K308" s="1">
        <f>IF(J308 + K307 &lt; 0, J308 + K307, 0)</f>
        <v>0</v>
      </c>
      <c r="L308" s="1">
        <v>0</v>
      </c>
      <c r="M308" s="1">
        <f>IF(L308 + M307 &lt; 0, L308 + M307, 0)</f>
        <v>0</v>
      </c>
      <c r="N308" s="1">
        <v>0</v>
      </c>
      <c r="O308" s="1">
        <f>IF(N308 + O307 &lt; 0, N308 + O307, 0)</f>
        <v>0</v>
      </c>
      <c r="P308" s="1">
        <v>0</v>
      </c>
      <c r="Q308" s="1">
        <f>IF(P308 + Q307 &lt; 0, P308 + Q307, 0)</f>
        <v>0</v>
      </c>
      <c r="R308" s="1">
        <v>0</v>
      </c>
      <c r="S308" s="1">
        <f>IF(R308 + S307 &lt; 0, R308 + S307, 0)</f>
        <v>0</v>
      </c>
      <c r="T308" s="1">
        <v>0</v>
      </c>
      <c r="U308" s="1">
        <f>IF(T308 + U307 &lt; 0, T308 + U307, 0)</f>
        <v>0</v>
      </c>
      <c r="V308" s="1">
        <v>0</v>
      </c>
      <c r="W308" s="1">
        <f>IF(V308 + W307 &lt; 0, V308 + W307, 0)</f>
        <v>0</v>
      </c>
      <c r="X308" s="1">
        <v>0</v>
      </c>
      <c r="Y308" s="1">
        <f>IF(X308 + Y307 &lt; 0, X308 + Y307, 0)</f>
        <v>0</v>
      </c>
      <c r="Z308" s="1">
        <v>294240.3465762089</v>
      </c>
      <c r="AA308" s="1">
        <f>IF(Z308 + AA307 &lt; 0, Z308 + AA307, 0)</f>
        <v>0</v>
      </c>
      <c r="AB308" s="1">
        <v>138196.4773530086</v>
      </c>
      <c r="AC308" s="1">
        <f>IF(AB308 + AC307 &lt; 0, AB308 + AC307, 0)</f>
        <v>0</v>
      </c>
      <c r="AD308" s="1">
        <v>450945.16034379</v>
      </c>
      <c r="AE308" s="1">
        <f>IF(AD308 + AE307 &lt; 0, AD308 + AE307, 0)</f>
        <v>0</v>
      </c>
      <c r="AF308" s="1">
        <v>0</v>
      </c>
      <c r="AG308" s="1">
        <f>IF(AF308 + AG307 &lt; 0, AF308 + AG307, 0)</f>
        <v>0</v>
      </c>
      <c r="AH308" s="1">
        <v>0</v>
      </c>
      <c r="AI308" s="1">
        <f>IF(AH308 + AI307 &lt; 0, AH308 + AI307, 0)</f>
        <v>0</v>
      </c>
      <c r="AJ308" s="1">
        <v>0</v>
      </c>
      <c r="AK308" s="1">
        <f>IF(AJ308 + AK307 &lt; 0, AJ308 + AK307, 0)</f>
        <v>0</v>
      </c>
    </row>
    <row r="309" spans="1:37" s="1" customFormat="1">
      <c r="A309" s="3">
        <v>45744</v>
      </c>
      <c r="B309" s="2" t="s">
        <v>26</v>
      </c>
      <c r="C309" s="2">
        <v>16</v>
      </c>
      <c r="D309" s="2">
        <v>16</v>
      </c>
      <c r="E309" s="2">
        <v>16</v>
      </c>
      <c r="F309" s="2">
        <v>4</v>
      </c>
      <c r="G309" s="2">
        <v>2</v>
      </c>
      <c r="H309" s="1">
        <v>0</v>
      </c>
      <c r="I309" s="1">
        <f>IF(H309 + I308 &lt; 0, H309 + I308, 0)</f>
        <v>0</v>
      </c>
      <c r="J309" s="1">
        <v>0</v>
      </c>
      <c r="K309" s="1">
        <f>IF(J309 + K308 &lt; 0, J309 + K308, 0)</f>
        <v>0</v>
      </c>
      <c r="L309" s="1">
        <v>0</v>
      </c>
      <c r="M309" s="1">
        <f>IF(L309 + M308 &lt; 0, L309 + M308, 0)</f>
        <v>0</v>
      </c>
      <c r="N309" s="1">
        <v>0</v>
      </c>
      <c r="O309" s="1">
        <f>IF(N309 + O308 &lt; 0, N309 + O308, 0)</f>
        <v>0</v>
      </c>
      <c r="P309" s="1">
        <v>0</v>
      </c>
      <c r="Q309" s="1">
        <f>IF(P309 + Q308 &lt; 0, P309 + Q308, 0)</f>
        <v>0</v>
      </c>
      <c r="R309" s="1">
        <v>0</v>
      </c>
      <c r="S309" s="1">
        <f>IF(R309 + S308 &lt; 0, R309 + S308, 0)</f>
        <v>0</v>
      </c>
      <c r="T309" s="1">
        <v>0</v>
      </c>
      <c r="U309" s="1">
        <f>IF(T309 + U308 &lt; 0, T309 + U308, 0)</f>
        <v>0</v>
      </c>
      <c r="V309" s="1">
        <v>0</v>
      </c>
      <c r="W309" s="1">
        <f>IF(V309 + W308 &lt; 0, V309 + W308, 0)</f>
        <v>0</v>
      </c>
      <c r="X309" s="1">
        <v>0</v>
      </c>
      <c r="Y309" s="1">
        <f>IF(X309 + Y308 &lt; 0, X309 + Y308, 0)</f>
        <v>0</v>
      </c>
      <c r="Z309" s="1">
        <v>0</v>
      </c>
      <c r="AA309" s="1">
        <f>IF(Z309 + AA308 &lt; 0, Z309 + AA308, 0)</f>
        <v>0</v>
      </c>
      <c r="AB309" s="1">
        <v>0</v>
      </c>
      <c r="AC309" s="1">
        <f>IF(AB309 + AC308 &lt; 0, AB309 + AC308, 0)</f>
        <v>0</v>
      </c>
      <c r="AD309" s="1">
        <v>0</v>
      </c>
      <c r="AE309" s="1">
        <f>IF(AD309 + AE308 &lt; 0, AD309 + AE308, 0)</f>
        <v>0</v>
      </c>
      <c r="AF309" s="1">
        <v>0</v>
      </c>
      <c r="AG309" s="1">
        <f>IF(AF309 + AG308 &lt; 0, AF309 + AG308, 0)</f>
        <v>0</v>
      </c>
      <c r="AH309" s="1">
        <v>0</v>
      </c>
      <c r="AI309" s="1">
        <f>IF(AH309 + AI308 &lt; 0, AH309 + AI308, 0)</f>
        <v>0</v>
      </c>
      <c r="AJ309" s="1">
        <v>0</v>
      </c>
      <c r="AK309" s="1">
        <f>IF(AJ309 + AK308 &lt; 0, AJ309 + AK308, 0)</f>
        <v>0</v>
      </c>
    </row>
    <row r="310" spans="1:37" s="1" customFormat="1">
      <c r="A310" s="3">
        <v>45748</v>
      </c>
      <c r="B310" s="2" t="s">
        <v>23</v>
      </c>
      <c r="C310" s="2">
        <v>15</v>
      </c>
      <c r="D310" s="2">
        <v>15</v>
      </c>
      <c r="E310" s="2">
        <v>15</v>
      </c>
      <c r="F310" s="2">
        <v>3</v>
      </c>
      <c r="G310" s="2">
        <v>1</v>
      </c>
      <c r="H310" s="1">
        <v>0</v>
      </c>
      <c r="I310" s="1">
        <f>IF(H310 + I309 &lt; 0, H310 + I309, 0)</f>
        <v>0</v>
      </c>
      <c r="J310" s="1">
        <v>0</v>
      </c>
      <c r="K310" s="1">
        <f>IF(J310 + K309 &lt; 0, J310 + K309, 0)</f>
        <v>0</v>
      </c>
      <c r="L310" s="1">
        <v>0</v>
      </c>
      <c r="M310" s="1">
        <f>IF(L310 + M309 &lt; 0, L310 + M309, 0)</f>
        <v>0</v>
      </c>
      <c r="N310" s="1">
        <v>0</v>
      </c>
      <c r="O310" s="1">
        <f>IF(N310 + O309 &lt; 0, N310 + O309, 0)</f>
        <v>0</v>
      </c>
      <c r="P310" s="1">
        <v>0</v>
      </c>
      <c r="Q310" s="1">
        <f>IF(P310 + Q309 &lt; 0, P310 + Q309, 0)</f>
        <v>0</v>
      </c>
      <c r="R310" s="1">
        <v>0</v>
      </c>
      <c r="S310" s="1">
        <f>IF(R310 + S309 &lt; 0, R310 + S309, 0)</f>
        <v>0</v>
      </c>
      <c r="T310" s="1">
        <v>0</v>
      </c>
      <c r="U310" s="1">
        <f>IF(T310 + U309 &lt; 0, T310 + U309, 0)</f>
        <v>0</v>
      </c>
      <c r="V310" s="1">
        <v>0</v>
      </c>
      <c r="W310" s="1">
        <f>IF(V310 + W309 &lt; 0, V310 + W309, 0)</f>
        <v>0</v>
      </c>
      <c r="X310" s="1">
        <v>0</v>
      </c>
      <c r="Y310" s="1">
        <f>IF(X310 + Y309 &lt; 0, X310 + Y309, 0)</f>
        <v>0</v>
      </c>
      <c r="Z310" s="1">
        <v>0</v>
      </c>
      <c r="AA310" s="1">
        <f>IF(Z310 + AA309 &lt; 0, Z310 + AA309, 0)</f>
        <v>0</v>
      </c>
      <c r="AB310" s="1">
        <v>0</v>
      </c>
      <c r="AC310" s="1">
        <f>IF(AB310 + AC309 &lt; 0, AB310 + AC309, 0)</f>
        <v>0</v>
      </c>
      <c r="AD310" s="1">
        <v>0</v>
      </c>
      <c r="AE310" s="1">
        <f>IF(AD310 + AE309 &lt; 0, AD310 + AE309, 0)</f>
        <v>0</v>
      </c>
      <c r="AF310" s="1">
        <v>79915.26456931086</v>
      </c>
      <c r="AG310" s="1">
        <f>IF(AF310 + AG309 &lt; 0, AF310 + AG309, 0)</f>
        <v>0</v>
      </c>
      <c r="AH310" s="1">
        <v>79915.26456931086</v>
      </c>
      <c r="AI310" s="1">
        <f>IF(AH310 + AI309 &lt; 0, AH310 + AI309, 0)</f>
        <v>0</v>
      </c>
      <c r="AJ310" s="1">
        <v>-191982.1359374463</v>
      </c>
      <c r="AK310" s="1">
        <f>IF(AJ310 + AK309 &lt; 0, AJ310 + AK309, 0)</f>
        <v>0</v>
      </c>
    </row>
    <row r="311" spans="1:37" s="1" customFormat="1">
      <c r="A311" s="3">
        <v>45749</v>
      </c>
      <c r="B311" s="2" t="s">
        <v>24</v>
      </c>
      <c r="C311" s="2">
        <v>14</v>
      </c>
      <c r="D311" s="2">
        <v>14</v>
      </c>
      <c r="E311" s="2">
        <v>14</v>
      </c>
      <c r="F311" s="2">
        <v>2</v>
      </c>
      <c r="G311" s="2">
        <v>5</v>
      </c>
      <c r="H311" s="1">
        <v>0</v>
      </c>
      <c r="I311" s="1">
        <f>IF(H311 + I310 &lt; 0, H311 + I310, 0)</f>
        <v>0</v>
      </c>
      <c r="J311" s="1">
        <v>0</v>
      </c>
      <c r="K311" s="1">
        <f>IF(J311 + K310 &lt; 0, J311 + K310, 0)</f>
        <v>0</v>
      </c>
      <c r="L311" s="1">
        <v>0</v>
      </c>
      <c r="M311" s="1">
        <f>IF(L311 + M310 &lt; 0, L311 + M310, 0)</f>
        <v>0</v>
      </c>
      <c r="N311" s="1">
        <v>0</v>
      </c>
      <c r="O311" s="1">
        <f>IF(N311 + O310 &lt; 0, N311 + O310, 0)</f>
        <v>0</v>
      </c>
      <c r="P311" s="1">
        <v>0</v>
      </c>
      <c r="Q311" s="1">
        <f>IF(P311 + Q310 &lt; 0, P311 + Q310, 0)</f>
        <v>0</v>
      </c>
      <c r="R311" s="1">
        <v>0</v>
      </c>
      <c r="S311" s="1">
        <f>IF(R311 + S310 &lt; 0, R311 + S310, 0)</f>
        <v>0</v>
      </c>
      <c r="T311" s="1">
        <v>0</v>
      </c>
      <c r="U311" s="1">
        <f>IF(T311 + U310 &lt; 0, T311 + U310, 0)</f>
        <v>0</v>
      </c>
      <c r="V311" s="1">
        <v>0</v>
      </c>
      <c r="W311" s="1">
        <f>IF(V311 + W310 &lt; 0, V311 + W310, 0)</f>
        <v>0</v>
      </c>
      <c r="X311" s="1">
        <v>0</v>
      </c>
      <c r="Y311" s="1">
        <f>IF(X311 + Y310 &lt; 0, X311 + Y310, 0)</f>
        <v>0</v>
      </c>
      <c r="Z311" s="1">
        <v>0</v>
      </c>
      <c r="AA311" s="1">
        <f>IF(Z311 + AA310 &lt; 0, Z311 + AA310, 0)</f>
        <v>0</v>
      </c>
      <c r="AB311" s="1">
        <v>0</v>
      </c>
      <c r="AC311" s="1">
        <f>IF(AB311 + AC310 &lt; 0, AB311 + AC310, 0)</f>
        <v>0</v>
      </c>
      <c r="AD311" s="1">
        <v>0</v>
      </c>
      <c r="AE311" s="1">
        <f>IF(AD311 + AE310 &lt; 0, AD311 + AE310, 0)</f>
        <v>0</v>
      </c>
      <c r="AF311" s="1">
        <v>0</v>
      </c>
      <c r="AG311" s="1">
        <f>IF(AF311 + AG310 &lt; 0, AF311 + AG310, 0)</f>
        <v>0</v>
      </c>
      <c r="AH311" s="1">
        <v>0</v>
      </c>
      <c r="AI311" s="1">
        <f>IF(AH311 + AI310 &lt; 0, AH311 + AI310, 0)</f>
        <v>0</v>
      </c>
      <c r="AJ311" s="1">
        <v>0</v>
      </c>
      <c r="AK311" s="1">
        <f>IF(AJ311 + AK310 &lt; 0, AJ311 + AK310, 0)</f>
        <v>0</v>
      </c>
    </row>
    <row r="312" spans="1:37" s="1" customFormat="1">
      <c r="A312" s="3">
        <v>45750</v>
      </c>
      <c r="B312" s="2" t="s">
        <v>25</v>
      </c>
      <c r="C312" s="2">
        <v>13</v>
      </c>
      <c r="D312" s="2">
        <v>13</v>
      </c>
      <c r="E312" s="2">
        <v>13</v>
      </c>
      <c r="F312" s="2">
        <v>1</v>
      </c>
      <c r="G312" s="2">
        <v>4</v>
      </c>
      <c r="H312" s="1">
        <v>0</v>
      </c>
      <c r="I312" s="1">
        <f>IF(H312 + I311 &lt; 0, H312 + I311, 0)</f>
        <v>0</v>
      </c>
      <c r="J312" s="1">
        <v>0</v>
      </c>
      <c r="K312" s="1">
        <f>IF(J312 + K311 &lt; 0, J312 + K311, 0)</f>
        <v>0</v>
      </c>
      <c r="L312" s="1">
        <v>0</v>
      </c>
      <c r="M312" s="1">
        <f>IF(L312 + M311 &lt; 0, L312 + M311, 0)</f>
        <v>0</v>
      </c>
      <c r="N312" s="1">
        <v>0</v>
      </c>
      <c r="O312" s="1">
        <f>IF(N312 + O311 &lt; 0, N312 + O311, 0)</f>
        <v>0</v>
      </c>
      <c r="P312" s="1">
        <v>0</v>
      </c>
      <c r="Q312" s="1">
        <f>IF(P312 + Q311 &lt; 0, P312 + Q311, 0)</f>
        <v>0</v>
      </c>
      <c r="R312" s="1">
        <v>0</v>
      </c>
      <c r="S312" s="1">
        <f>IF(R312 + S311 &lt; 0, R312 + S311, 0)</f>
        <v>0</v>
      </c>
      <c r="T312" s="1">
        <v>0</v>
      </c>
      <c r="U312" s="1">
        <f>IF(T312 + U311 &lt; 0, T312 + U311, 0)</f>
        <v>0</v>
      </c>
      <c r="V312" s="1">
        <v>0</v>
      </c>
      <c r="W312" s="1">
        <f>IF(V312 + W311 &lt; 0, V312 + W311, 0)</f>
        <v>0</v>
      </c>
      <c r="X312" s="1">
        <v>0</v>
      </c>
      <c r="Y312" s="1">
        <f>IF(X312 + Y311 &lt; 0, X312 + Y311, 0)</f>
        <v>0</v>
      </c>
      <c r="Z312" s="1">
        <v>468250.489559183</v>
      </c>
      <c r="AA312" s="1">
        <f>IF(Z312 + AA311 &lt; 0, Z312 + AA311, 0)</f>
        <v>0</v>
      </c>
      <c r="AB312" s="1">
        <v>468250.489559183</v>
      </c>
      <c r="AC312" s="1">
        <f>IF(AB312 + AC311 &lt; 0, AB312 + AC311, 0)</f>
        <v>0</v>
      </c>
      <c r="AD312" s="1">
        <v>700363.815282649</v>
      </c>
      <c r="AE312" s="1">
        <f>IF(AD312 + AE311 &lt; 0, AD312 + AE311, 0)</f>
        <v>0</v>
      </c>
      <c r="AF312" s="1">
        <v>0</v>
      </c>
      <c r="AG312" s="1">
        <f>IF(AF312 + AG311 &lt; 0, AF312 + AG311, 0)</f>
        <v>0</v>
      </c>
      <c r="AH312" s="1">
        <v>0</v>
      </c>
      <c r="AI312" s="1">
        <f>IF(AH312 + AI311 &lt; 0, AH312 + AI311, 0)</f>
        <v>0</v>
      </c>
      <c r="AJ312" s="1">
        <v>0</v>
      </c>
      <c r="AK312" s="1">
        <f>IF(AJ312 + AK311 &lt; 0, AJ312 + AK311, 0)</f>
        <v>0</v>
      </c>
    </row>
    <row r="313" spans="1:37" s="1" customFormat="1">
      <c r="A313" s="3">
        <v>45751</v>
      </c>
      <c r="B313" s="2" t="s">
        <v>26</v>
      </c>
      <c r="C313" s="2">
        <v>12</v>
      </c>
      <c r="D313" s="2">
        <v>12</v>
      </c>
      <c r="E313" s="2">
        <v>12</v>
      </c>
      <c r="F313" s="2">
        <v>4</v>
      </c>
      <c r="G313" s="2">
        <v>3</v>
      </c>
      <c r="H313" s="1">
        <v>0</v>
      </c>
      <c r="I313" s="1">
        <f>IF(H313 + I312 &lt; 0, H313 + I312, 0)</f>
        <v>0</v>
      </c>
      <c r="J313" s="1">
        <v>0</v>
      </c>
      <c r="K313" s="1">
        <f>IF(J313 + K312 &lt; 0, J313 + K312, 0)</f>
        <v>0</v>
      </c>
      <c r="L313" s="1">
        <v>0</v>
      </c>
      <c r="M313" s="1">
        <f>IF(L313 + M312 &lt; 0, L313 + M312, 0)</f>
        <v>0</v>
      </c>
      <c r="N313" s="1">
        <v>0</v>
      </c>
      <c r="O313" s="1">
        <f>IF(N313 + O312 &lt; 0, N313 + O312, 0)</f>
        <v>0</v>
      </c>
      <c r="P313" s="1">
        <v>0</v>
      </c>
      <c r="Q313" s="1">
        <f>IF(P313 + Q312 &lt; 0, P313 + Q312, 0)</f>
        <v>0</v>
      </c>
      <c r="R313" s="1">
        <v>0</v>
      </c>
      <c r="S313" s="1">
        <f>IF(R313 + S312 &lt; 0, R313 + S312, 0)</f>
        <v>0</v>
      </c>
      <c r="T313" s="1">
        <v>0</v>
      </c>
      <c r="U313" s="1">
        <f>IF(T313 + U312 &lt; 0, T313 + U312, 0)</f>
        <v>0</v>
      </c>
      <c r="V313" s="1">
        <v>0</v>
      </c>
      <c r="W313" s="1">
        <f>IF(V313 + W312 &lt; 0, V313 + W312, 0)</f>
        <v>0</v>
      </c>
      <c r="X313" s="1">
        <v>0</v>
      </c>
      <c r="Y313" s="1">
        <f>IF(X313 + Y312 &lt; 0, X313 + Y312, 0)</f>
        <v>0</v>
      </c>
      <c r="Z313" s="1">
        <v>0</v>
      </c>
      <c r="AA313" s="1">
        <f>IF(Z313 + AA312 &lt; 0, Z313 + AA312, 0)</f>
        <v>0</v>
      </c>
      <c r="AB313" s="1">
        <v>0</v>
      </c>
      <c r="AC313" s="1">
        <f>IF(AB313 + AC312 &lt; 0, AB313 + AC312, 0)</f>
        <v>0</v>
      </c>
      <c r="AD313" s="1">
        <v>0</v>
      </c>
      <c r="AE313" s="1">
        <f>IF(AD313 + AE312 &lt; 0, AD313 + AE312, 0)</f>
        <v>0</v>
      </c>
      <c r="AF313" s="1">
        <v>0</v>
      </c>
      <c r="AG313" s="1">
        <f>IF(AF313 + AG312 &lt; 0, AF313 + AG312, 0)</f>
        <v>0</v>
      </c>
      <c r="AH313" s="1">
        <v>0</v>
      </c>
      <c r="AI313" s="1">
        <f>IF(AH313 + AI312 &lt; 0, AH313 + AI312, 0)</f>
        <v>0</v>
      </c>
      <c r="AJ313" s="1">
        <v>0</v>
      </c>
      <c r="AK313" s="1">
        <f>IF(AJ313 + AK312 &lt; 0, AJ313 + AK312, 0)</f>
        <v>0</v>
      </c>
    </row>
    <row r="314" spans="1:37" s="1" customFormat="1">
      <c r="A314" s="3">
        <v>45754</v>
      </c>
      <c r="B314" s="2" t="s">
        <v>22</v>
      </c>
      <c r="C314" s="2">
        <v>11</v>
      </c>
      <c r="D314" s="2">
        <v>11</v>
      </c>
      <c r="E314" s="2">
        <v>11</v>
      </c>
      <c r="F314" s="2">
        <v>3</v>
      </c>
      <c r="G314" s="2">
        <v>2</v>
      </c>
      <c r="H314" s="1">
        <v>0</v>
      </c>
      <c r="I314" s="1">
        <f>IF(H314 + I313 &lt; 0, H314 + I313, 0)</f>
        <v>0</v>
      </c>
      <c r="J314" s="1">
        <v>0</v>
      </c>
      <c r="K314" s="1">
        <f>IF(J314 + K313 &lt; 0, J314 + K313, 0)</f>
        <v>0</v>
      </c>
      <c r="L314" s="1">
        <v>0</v>
      </c>
      <c r="M314" s="1">
        <f>IF(L314 + M313 &lt; 0, L314 + M313, 0)</f>
        <v>0</v>
      </c>
      <c r="N314" s="1">
        <v>0</v>
      </c>
      <c r="O314" s="1">
        <f>IF(N314 + O313 &lt; 0, N314 + O313, 0)</f>
        <v>0</v>
      </c>
      <c r="P314" s="1">
        <v>0</v>
      </c>
      <c r="Q314" s="1">
        <f>IF(P314 + Q313 &lt; 0, P314 + Q313, 0)</f>
        <v>0</v>
      </c>
      <c r="R314" s="1">
        <v>0</v>
      </c>
      <c r="S314" s="1">
        <f>IF(R314 + S313 &lt; 0, R314 + S313, 0)</f>
        <v>0</v>
      </c>
      <c r="T314" s="1">
        <v>0</v>
      </c>
      <c r="U314" s="1">
        <f>IF(T314 + U313 &lt; 0, T314 + U313, 0)</f>
        <v>0</v>
      </c>
      <c r="V314" s="1">
        <v>0</v>
      </c>
      <c r="W314" s="1">
        <f>IF(V314 + W313 &lt; 0, V314 + W313, 0)</f>
        <v>0</v>
      </c>
      <c r="X314" s="1">
        <v>0</v>
      </c>
      <c r="Y314" s="1">
        <f>IF(X314 + Y313 &lt; 0, X314 + Y313, 0)</f>
        <v>0</v>
      </c>
      <c r="Z314" s="1">
        <v>0</v>
      </c>
      <c r="AA314" s="1">
        <f>IF(Z314 + AA313 &lt; 0, Z314 + AA313, 0)</f>
        <v>0</v>
      </c>
      <c r="AB314" s="1">
        <v>0</v>
      </c>
      <c r="AC314" s="1">
        <f>IF(AB314 + AC313 &lt; 0, AB314 + AC313, 0)</f>
        <v>0</v>
      </c>
      <c r="AD314" s="1">
        <v>0</v>
      </c>
      <c r="AE314" s="1">
        <f>IF(AD314 + AE313 &lt; 0, AD314 + AE313, 0)</f>
        <v>0</v>
      </c>
      <c r="AF314" s="1">
        <v>0</v>
      </c>
      <c r="AG314" s="1">
        <f>IF(AF314 + AG313 &lt; 0, AF314 + AG313, 0)</f>
        <v>0</v>
      </c>
      <c r="AH314" s="1">
        <v>0</v>
      </c>
      <c r="AI314" s="1">
        <f>IF(AH314 + AI313 &lt; 0, AH314 + AI313, 0)</f>
        <v>0</v>
      </c>
      <c r="AJ314" s="1">
        <v>0</v>
      </c>
      <c r="AK314" s="1">
        <f>IF(AJ314 + AK313 &lt; 0, AJ314 + AK313, 0)</f>
        <v>0</v>
      </c>
    </row>
    <row r="315" spans="1:37" s="1" customFormat="1">
      <c r="A315" s="3">
        <v>45755</v>
      </c>
      <c r="B315" s="2" t="s">
        <v>23</v>
      </c>
      <c r="C315" s="2">
        <v>10</v>
      </c>
      <c r="D315" s="2">
        <v>10</v>
      </c>
      <c r="E315" s="2">
        <v>10</v>
      </c>
      <c r="F315" s="2">
        <v>2</v>
      </c>
      <c r="G315" s="2">
        <v>1</v>
      </c>
      <c r="H315" s="1">
        <v>0</v>
      </c>
      <c r="I315" s="1">
        <f>IF(H315 + I314 &lt; 0, H315 + I314, 0)</f>
        <v>0</v>
      </c>
      <c r="J315" s="1">
        <v>0</v>
      </c>
      <c r="K315" s="1">
        <f>IF(J315 + K314 &lt; 0, J315 + K314, 0)</f>
        <v>0</v>
      </c>
      <c r="L315" s="1">
        <v>0</v>
      </c>
      <c r="M315" s="1">
        <f>IF(L315 + M314 &lt; 0, L315 + M314, 0)</f>
        <v>0</v>
      </c>
      <c r="N315" s="1">
        <v>0</v>
      </c>
      <c r="O315" s="1">
        <f>IF(N315 + O314 &lt; 0, N315 + O314, 0)</f>
        <v>0</v>
      </c>
      <c r="P315" s="1">
        <v>0</v>
      </c>
      <c r="Q315" s="1">
        <f>IF(P315 + Q314 &lt; 0, P315 + Q314, 0)</f>
        <v>0</v>
      </c>
      <c r="R315" s="1">
        <v>0</v>
      </c>
      <c r="S315" s="1">
        <f>IF(R315 + S314 &lt; 0, R315 + S314, 0)</f>
        <v>0</v>
      </c>
      <c r="T315" s="1">
        <v>0</v>
      </c>
      <c r="U315" s="1">
        <f>IF(T315 + U314 &lt; 0, T315 + U314, 0)</f>
        <v>0</v>
      </c>
      <c r="V315" s="1">
        <v>0</v>
      </c>
      <c r="W315" s="1">
        <f>IF(V315 + W314 &lt; 0, V315 + W314, 0)</f>
        <v>0</v>
      </c>
      <c r="X315" s="1">
        <v>0</v>
      </c>
      <c r="Y315" s="1">
        <f>IF(X315 + Y314 &lt; 0, X315 + Y314, 0)</f>
        <v>0</v>
      </c>
      <c r="Z315" s="1">
        <v>0</v>
      </c>
      <c r="AA315" s="1">
        <f>IF(Z315 + AA314 &lt; 0, Z315 + AA314, 0)</f>
        <v>0</v>
      </c>
      <c r="AB315" s="1">
        <v>0</v>
      </c>
      <c r="AC315" s="1">
        <f>IF(AB315 + AC314 &lt; 0, AB315 + AC314, 0)</f>
        <v>0</v>
      </c>
      <c r="AD315" s="1">
        <v>0</v>
      </c>
      <c r="AE315" s="1">
        <f>IF(AD315 + AE314 &lt; 0, AD315 + AE314, 0)</f>
        <v>0</v>
      </c>
      <c r="AF315" s="1">
        <v>-825098.4328431487</v>
      </c>
      <c r="AG315" s="1">
        <f>IF(AF315 + AG314 &lt; 0, AF315 + AG314, 0)</f>
        <v>0</v>
      </c>
      <c r="AH315" s="1">
        <v>-936961.8922585337</v>
      </c>
      <c r="AI315" s="1">
        <f>IF(AH315 + AI314 &lt; 0, AH315 + AI314, 0)</f>
        <v>0</v>
      </c>
      <c r="AJ315" s="1">
        <v>-1135004.007772768</v>
      </c>
      <c r="AK315" s="1">
        <f>IF(AJ315 + AK314 &lt; 0, AJ315 + AK314, 0)</f>
        <v>0</v>
      </c>
    </row>
    <row r="316" spans="1:37" s="1" customFormat="1">
      <c r="A316" s="3">
        <v>45756</v>
      </c>
      <c r="B316" s="2" t="s">
        <v>24</v>
      </c>
      <c r="C316" s="2">
        <v>9</v>
      </c>
      <c r="D316" s="2">
        <v>9</v>
      </c>
      <c r="E316" s="2">
        <v>9</v>
      </c>
      <c r="F316" s="2">
        <v>1</v>
      </c>
      <c r="G316" s="2">
        <v>3</v>
      </c>
      <c r="H316" s="1">
        <v>0</v>
      </c>
      <c r="I316" s="1">
        <f>IF(H316 + I315 &lt; 0, H316 + I315, 0)</f>
        <v>0</v>
      </c>
      <c r="J316" s="1">
        <v>0</v>
      </c>
      <c r="K316" s="1">
        <f>IF(J316 + K315 &lt; 0, J316 + K315, 0)</f>
        <v>0</v>
      </c>
      <c r="L316" s="1">
        <v>0</v>
      </c>
      <c r="M316" s="1">
        <f>IF(L316 + M315 &lt; 0, L316 + M315, 0)</f>
        <v>0</v>
      </c>
      <c r="N316" s="1">
        <v>0</v>
      </c>
      <c r="O316" s="1">
        <f>IF(N316 + O315 &lt; 0, N316 + O315, 0)</f>
        <v>0</v>
      </c>
      <c r="P316" s="1">
        <v>0</v>
      </c>
      <c r="Q316" s="1">
        <f>IF(P316 + Q315 &lt; 0, P316 + Q315, 0)</f>
        <v>0</v>
      </c>
      <c r="R316" s="1">
        <v>0</v>
      </c>
      <c r="S316" s="1">
        <f>IF(R316 + S315 &lt; 0, R316 + S315, 0)</f>
        <v>0</v>
      </c>
      <c r="T316" s="1">
        <v>0</v>
      </c>
      <c r="U316" s="1">
        <f>IF(T316 + U315 &lt; 0, T316 + U315, 0)</f>
        <v>0</v>
      </c>
      <c r="V316" s="1">
        <v>0</v>
      </c>
      <c r="W316" s="1">
        <f>IF(V316 + W315 &lt; 0, V316 + W315, 0)</f>
        <v>0</v>
      </c>
      <c r="X316" s="1">
        <v>0</v>
      </c>
      <c r="Y316" s="1">
        <f>IF(X316 + Y315 &lt; 0, X316 + Y315, 0)</f>
        <v>0</v>
      </c>
      <c r="Z316" s="1">
        <v>-2822471.147882892</v>
      </c>
      <c r="AA316" s="1">
        <f>IF(Z316 + AA315 &lt; 0, Z316 + AA315, 0)</f>
        <v>0</v>
      </c>
      <c r="AB316" s="1">
        <v>-2822471.147882892</v>
      </c>
      <c r="AC316" s="1">
        <f>IF(AB316 + AC315 &lt; 0, AB316 + AC315, 0)</f>
        <v>0</v>
      </c>
      <c r="AD316" s="1">
        <v>0</v>
      </c>
      <c r="AE316" s="1">
        <f>IF(AD316 + AE315 &lt; 0, AD316 + AE315, 0)</f>
        <v>0</v>
      </c>
      <c r="AF316" s="1">
        <v>0</v>
      </c>
      <c r="AG316" s="1">
        <f>IF(AF316 + AG315 &lt; 0, AF316 + AG315, 0)</f>
        <v>0</v>
      </c>
      <c r="AH316" s="1">
        <v>0</v>
      </c>
      <c r="AI316" s="1">
        <f>IF(AH316 + AI315 &lt; 0, AH316 + AI315, 0)</f>
        <v>0</v>
      </c>
      <c r="AJ316" s="1">
        <v>0</v>
      </c>
      <c r="AK316" s="1">
        <f>IF(AJ316 + AK315 &lt; 0, AJ316 + AK315, 0)</f>
        <v>0</v>
      </c>
    </row>
    <row r="317" spans="1:37" s="1" customFormat="1">
      <c r="A317" s="3">
        <v>45758</v>
      </c>
      <c r="B317" s="2" t="s">
        <v>26</v>
      </c>
      <c r="C317" s="2">
        <v>8</v>
      </c>
      <c r="D317" s="2">
        <v>8</v>
      </c>
      <c r="E317" s="2">
        <v>8</v>
      </c>
      <c r="F317" s="2">
        <v>4</v>
      </c>
      <c r="G317" s="2">
        <v>2</v>
      </c>
      <c r="H317" s="1">
        <v>0</v>
      </c>
      <c r="I317" s="1">
        <f>IF(H317 + I316 &lt; 0, H317 + I316, 0)</f>
        <v>0</v>
      </c>
      <c r="J317" s="1">
        <v>0</v>
      </c>
      <c r="K317" s="1">
        <f>IF(J317 + K316 &lt; 0, J317 + K316, 0)</f>
        <v>0</v>
      </c>
      <c r="L317" s="1">
        <v>0</v>
      </c>
      <c r="M317" s="1">
        <f>IF(L317 + M316 &lt; 0, L317 + M316, 0)</f>
        <v>0</v>
      </c>
      <c r="N317" s="1">
        <v>0</v>
      </c>
      <c r="O317" s="1">
        <f>IF(N317 + O316 &lt; 0, N317 + O316, 0)</f>
        <v>0</v>
      </c>
      <c r="P317" s="1">
        <v>0</v>
      </c>
      <c r="Q317" s="1">
        <f>IF(P317 + Q316 &lt; 0, P317 + Q316, 0)</f>
        <v>0</v>
      </c>
      <c r="R317" s="1">
        <v>0</v>
      </c>
      <c r="S317" s="1">
        <f>IF(R317 + S316 &lt; 0, R317 + S316, 0)</f>
        <v>0</v>
      </c>
      <c r="T317" s="1">
        <v>0</v>
      </c>
      <c r="U317" s="1">
        <f>IF(T317 + U316 &lt; 0, T317 + U316, 0)</f>
        <v>0</v>
      </c>
      <c r="V317" s="1">
        <v>0</v>
      </c>
      <c r="W317" s="1">
        <f>IF(V317 + W316 &lt; 0, V317 + W316, 0)</f>
        <v>0</v>
      </c>
      <c r="X317" s="1">
        <v>0</v>
      </c>
      <c r="Y317" s="1">
        <f>IF(X317 + Y316 &lt; 0, X317 + Y316, 0)</f>
        <v>0</v>
      </c>
      <c r="Z317" s="1">
        <v>0</v>
      </c>
      <c r="AA317" s="1">
        <f>IF(Z317 + AA316 &lt; 0, Z317 + AA316, 0)</f>
        <v>0</v>
      </c>
      <c r="AB317" s="1">
        <v>0</v>
      </c>
      <c r="AC317" s="1">
        <f>IF(AB317 + AC316 &lt; 0, AB317 + AC316, 0)</f>
        <v>0</v>
      </c>
      <c r="AD317" s="1">
        <v>0</v>
      </c>
      <c r="AE317" s="1">
        <f>IF(AD317 + AE316 &lt; 0, AD317 + AE316, 0)</f>
        <v>0</v>
      </c>
      <c r="AF317" s="1">
        <v>0</v>
      </c>
      <c r="AG317" s="1">
        <f>IF(AF317 + AG316 &lt; 0, AF317 + AG316, 0)</f>
        <v>0</v>
      </c>
      <c r="AH317" s="1">
        <v>0</v>
      </c>
      <c r="AI317" s="1">
        <f>IF(AH317 + AI316 &lt; 0, AH317 + AI316, 0)</f>
        <v>0</v>
      </c>
      <c r="AJ317" s="1">
        <v>0</v>
      </c>
      <c r="AK317" s="1">
        <f>IF(AJ317 + AK316 &lt; 0, AJ317 + AK316, 0)</f>
        <v>0</v>
      </c>
    </row>
    <row r="318" spans="1:37" s="1" customFormat="1">
      <c r="A318" s="3">
        <v>45762</v>
      </c>
      <c r="B318" s="2" t="s">
        <v>23</v>
      </c>
      <c r="C318" s="2">
        <v>7</v>
      </c>
      <c r="D318" s="2">
        <v>7</v>
      </c>
      <c r="E318" s="2">
        <v>7</v>
      </c>
      <c r="F318" s="2">
        <v>3</v>
      </c>
      <c r="G318" s="2">
        <v>1</v>
      </c>
      <c r="H318" s="1">
        <v>0</v>
      </c>
      <c r="I318" s="1">
        <f>IF(H318 + I317 &lt; 0, H318 + I317, 0)</f>
        <v>0</v>
      </c>
      <c r="J318" s="1">
        <v>0</v>
      </c>
      <c r="K318" s="1">
        <f>IF(J318 + K317 &lt; 0, J318 + K317, 0)</f>
        <v>0</v>
      </c>
      <c r="L318" s="1">
        <v>0</v>
      </c>
      <c r="M318" s="1">
        <f>IF(L318 + M317 &lt; 0, L318 + M317, 0)</f>
        <v>0</v>
      </c>
      <c r="N318" s="1">
        <v>0</v>
      </c>
      <c r="O318" s="1">
        <f>IF(N318 + O317 &lt; 0, N318 + O317, 0)</f>
        <v>0</v>
      </c>
      <c r="P318" s="1">
        <v>0</v>
      </c>
      <c r="Q318" s="1">
        <f>IF(P318 + Q317 &lt; 0, P318 + Q317, 0)</f>
        <v>0</v>
      </c>
      <c r="R318" s="1">
        <v>0</v>
      </c>
      <c r="S318" s="1">
        <f>IF(R318 + S317 &lt; 0, R318 + S317, 0)</f>
        <v>0</v>
      </c>
      <c r="T318" s="1">
        <v>0</v>
      </c>
      <c r="U318" s="1">
        <f>IF(T318 + U317 &lt; 0, T318 + U317, 0)</f>
        <v>0</v>
      </c>
      <c r="V318" s="1">
        <v>0</v>
      </c>
      <c r="W318" s="1">
        <f>IF(V318 + W317 &lt; 0, V318 + W317, 0)</f>
        <v>0</v>
      </c>
      <c r="X318" s="1">
        <v>0</v>
      </c>
      <c r="Y318" s="1">
        <f>IF(X318 + Y317 &lt; 0, X318 + Y317, 0)</f>
        <v>0</v>
      </c>
      <c r="Z318" s="1">
        <v>0</v>
      </c>
      <c r="AA318" s="1">
        <f>IF(Z318 + AA317 &lt; 0, Z318 + AA317, 0)</f>
        <v>0</v>
      </c>
      <c r="AB318" s="1">
        <v>0</v>
      </c>
      <c r="AC318" s="1">
        <f>IF(AB318 + AC317 &lt; 0, AB318 + AC317, 0)</f>
        <v>0</v>
      </c>
      <c r="AD318" s="1">
        <v>0</v>
      </c>
      <c r="AE318" s="1">
        <f>IF(AD318 + AE317 &lt; 0, AD318 + AE317, 0)</f>
        <v>0</v>
      </c>
      <c r="AF318" s="1">
        <v>103885.0901409477</v>
      </c>
      <c r="AG318" s="1">
        <f>IF(AF318 + AG317 &lt; 0, AF318 + AG317, 0)</f>
        <v>0</v>
      </c>
      <c r="AH318" s="1">
        <v>103885.0901409477</v>
      </c>
      <c r="AI318" s="1">
        <f>IF(AH318 + AI317 &lt; 0, AH318 + AI317, 0)</f>
        <v>0</v>
      </c>
      <c r="AJ318" s="1">
        <v>103885.0901409477</v>
      </c>
      <c r="AK318" s="1">
        <f>IF(AJ318 + AK317 &lt; 0, AJ318 + AK317, 0)</f>
        <v>0</v>
      </c>
    </row>
    <row r="319" spans="1:37" s="1" customFormat="1">
      <c r="A319" s="3">
        <v>45763</v>
      </c>
      <c r="B319" s="2" t="s">
        <v>24</v>
      </c>
      <c r="C319" s="2">
        <v>6</v>
      </c>
      <c r="D319" s="2">
        <v>6</v>
      </c>
      <c r="E319" s="2">
        <v>6</v>
      </c>
      <c r="F319" s="2">
        <v>2</v>
      </c>
      <c r="G319" s="2">
        <v>4</v>
      </c>
      <c r="H319" s="1">
        <v>0</v>
      </c>
      <c r="I319" s="1">
        <f>IF(H319 + I318 &lt; 0, H319 + I318, 0)</f>
        <v>0</v>
      </c>
      <c r="J319" s="1">
        <v>0</v>
      </c>
      <c r="K319" s="1">
        <f>IF(J319 + K318 &lt; 0, J319 + K318, 0)</f>
        <v>0</v>
      </c>
      <c r="L319" s="1">
        <v>0</v>
      </c>
      <c r="M319" s="1">
        <f>IF(L319 + M318 &lt; 0, L319 + M318, 0)</f>
        <v>0</v>
      </c>
      <c r="N319" s="1">
        <v>0</v>
      </c>
      <c r="O319" s="1">
        <f>IF(N319 + O318 &lt; 0, N319 + O318, 0)</f>
        <v>0</v>
      </c>
      <c r="P319" s="1">
        <v>0</v>
      </c>
      <c r="Q319" s="1">
        <f>IF(P319 + Q318 &lt; 0, P319 + Q318, 0)</f>
        <v>0</v>
      </c>
      <c r="R319" s="1">
        <v>0</v>
      </c>
      <c r="S319" s="1">
        <f>IF(R319 + S318 &lt; 0, R319 + S318, 0)</f>
        <v>0</v>
      </c>
      <c r="T319" s="1">
        <v>0</v>
      </c>
      <c r="U319" s="1">
        <f>IF(T319 + U318 &lt; 0, T319 + U318, 0)</f>
        <v>0</v>
      </c>
      <c r="V319" s="1">
        <v>0</v>
      </c>
      <c r="W319" s="1">
        <f>IF(V319 + W318 &lt; 0, V319 + W318, 0)</f>
        <v>0</v>
      </c>
      <c r="X319" s="1">
        <v>0</v>
      </c>
      <c r="Y319" s="1">
        <f>IF(X319 + Y318 &lt; 0, X319 + Y318, 0)</f>
        <v>0</v>
      </c>
      <c r="Z319" s="1">
        <v>0</v>
      </c>
      <c r="AA319" s="1">
        <f>IF(Z319 + AA318 &lt; 0, Z319 + AA318, 0)</f>
        <v>0</v>
      </c>
      <c r="AB319" s="1">
        <v>0</v>
      </c>
      <c r="AC319" s="1">
        <f>IF(AB319 + AC318 &lt; 0, AB319 + AC318, 0)</f>
        <v>0</v>
      </c>
      <c r="AD319" s="1">
        <v>0</v>
      </c>
      <c r="AE319" s="1">
        <f>IF(AD319 + AE318 &lt; 0, AD319 + AE318, 0)</f>
        <v>0</v>
      </c>
      <c r="AF319" s="1">
        <v>0</v>
      </c>
      <c r="AG319" s="1">
        <f>IF(AF319 + AG318 &lt; 0, AF319 + AG318, 0)</f>
        <v>0</v>
      </c>
      <c r="AH319" s="1">
        <v>0</v>
      </c>
      <c r="AI319" s="1">
        <f>IF(AH319 + AI318 &lt; 0, AH319 + AI318, 0)</f>
        <v>0</v>
      </c>
      <c r="AJ319" s="1">
        <v>0</v>
      </c>
      <c r="AK319" s="1">
        <f>IF(AJ319 + AK318 &lt; 0, AJ319 + AK318, 0)</f>
        <v>0</v>
      </c>
    </row>
    <row r="320" spans="1:37" s="1" customFormat="1">
      <c r="A320" s="3">
        <v>45764</v>
      </c>
      <c r="B320" s="2" t="s">
        <v>25</v>
      </c>
      <c r="C320" s="2">
        <v>5</v>
      </c>
      <c r="D320" s="2">
        <v>5</v>
      </c>
      <c r="E320" s="2">
        <v>5</v>
      </c>
      <c r="F320" s="2">
        <v>1</v>
      </c>
      <c r="G320" s="2">
        <v>3</v>
      </c>
      <c r="H320" s="1">
        <v>0</v>
      </c>
      <c r="I320" s="1">
        <f>IF(H320 + I319 &lt; 0, H320 + I319, 0)</f>
        <v>0</v>
      </c>
      <c r="J320" s="1">
        <v>0</v>
      </c>
      <c r="K320" s="1">
        <f>IF(J320 + K319 &lt; 0, J320 + K319, 0)</f>
        <v>0</v>
      </c>
      <c r="L320" s="1">
        <v>0</v>
      </c>
      <c r="M320" s="1">
        <f>IF(L320 + M319 &lt; 0, L320 + M319, 0)</f>
        <v>0</v>
      </c>
      <c r="N320" s="1">
        <v>0</v>
      </c>
      <c r="O320" s="1">
        <f>IF(N320 + O319 &lt; 0, N320 + O319, 0)</f>
        <v>0</v>
      </c>
      <c r="P320" s="1">
        <v>0</v>
      </c>
      <c r="Q320" s="1">
        <f>IF(P320 + Q319 &lt; 0, P320 + Q319, 0)</f>
        <v>0</v>
      </c>
      <c r="R320" s="1">
        <v>0</v>
      </c>
      <c r="S320" s="1">
        <f>IF(R320 + S319 &lt; 0, R320 + S319, 0)</f>
        <v>0</v>
      </c>
      <c r="T320" s="1">
        <v>0</v>
      </c>
      <c r="U320" s="1">
        <f>IF(T320 + U319 &lt; 0, T320 + U319, 0)</f>
        <v>0</v>
      </c>
      <c r="V320" s="1">
        <v>0</v>
      </c>
      <c r="W320" s="1">
        <f>IF(V320 + W319 &lt; 0, V320 + W319, 0)</f>
        <v>0</v>
      </c>
      <c r="X320" s="1">
        <v>0</v>
      </c>
      <c r="Y320" s="1">
        <f>IF(X320 + Y319 &lt; 0, X320 + Y319, 0)</f>
        <v>0</v>
      </c>
      <c r="Z320" s="1">
        <v>-38643.37311056125</v>
      </c>
      <c r="AA320" s="1">
        <f>IF(Z320 + AA319 &lt; 0, Z320 + AA319, 0)</f>
        <v>0</v>
      </c>
      <c r="AB320" s="1">
        <v>-38643.37311056125</v>
      </c>
      <c r="AC320" s="1">
        <f>IF(AB320 + AC319 &lt; 0, AB320 + AC319, 0)</f>
        <v>0</v>
      </c>
      <c r="AD320" s="1">
        <v>-227077.0726549347</v>
      </c>
      <c r="AE320" s="1">
        <f>IF(AD320 + AE319 &lt; 0, AD320 + AE319, 0)</f>
        <v>0</v>
      </c>
      <c r="AF320" s="1">
        <v>0</v>
      </c>
      <c r="AG320" s="1">
        <f>IF(AF320 + AG319 &lt; 0, AF320 + AG319, 0)</f>
        <v>0</v>
      </c>
      <c r="AH320" s="1">
        <v>0</v>
      </c>
      <c r="AI320" s="1">
        <f>IF(AH320 + AI319 &lt; 0, AH320 + AI319, 0)</f>
        <v>0</v>
      </c>
      <c r="AJ320" s="1">
        <v>0</v>
      </c>
      <c r="AK320" s="1">
        <f>IF(AJ320 + AK319 &lt; 0, AJ320 + AK319, 0)</f>
        <v>0</v>
      </c>
    </row>
    <row r="321" spans="1:37" s="1" customFormat="1">
      <c r="A321" s="3">
        <v>45768</v>
      </c>
      <c r="B321" s="2" t="s">
        <v>22</v>
      </c>
      <c r="C321" s="2">
        <v>4</v>
      </c>
      <c r="D321" s="2">
        <v>4</v>
      </c>
      <c r="E321" s="2">
        <v>4</v>
      </c>
      <c r="F321" s="2">
        <v>4</v>
      </c>
      <c r="G321" s="2">
        <v>2</v>
      </c>
      <c r="H321" s="1">
        <v>0</v>
      </c>
      <c r="I321" s="1">
        <f>IF(H321 + I320 &lt; 0, H321 + I320, 0)</f>
        <v>0</v>
      </c>
      <c r="J321" s="1">
        <v>0</v>
      </c>
      <c r="K321" s="1">
        <f>IF(J321 + K320 &lt; 0, J321 + K320, 0)</f>
        <v>0</v>
      </c>
      <c r="L321" s="1">
        <v>0</v>
      </c>
      <c r="M321" s="1">
        <f>IF(L321 + M320 &lt; 0, L321 + M320, 0)</f>
        <v>0</v>
      </c>
      <c r="N321" s="1">
        <v>0</v>
      </c>
      <c r="O321" s="1">
        <f>IF(N321 + O320 &lt; 0, N321 + O320, 0)</f>
        <v>0</v>
      </c>
      <c r="P321" s="1">
        <v>0</v>
      </c>
      <c r="Q321" s="1">
        <f>IF(P321 + Q320 &lt; 0, P321 + Q320, 0)</f>
        <v>0</v>
      </c>
      <c r="R321" s="1">
        <v>0</v>
      </c>
      <c r="S321" s="1">
        <f>IF(R321 + S320 &lt; 0, R321 + S320, 0)</f>
        <v>0</v>
      </c>
      <c r="T321" s="1">
        <v>0</v>
      </c>
      <c r="U321" s="1">
        <f>IF(T321 + U320 &lt; 0, T321 + U320, 0)</f>
        <v>0</v>
      </c>
      <c r="V321" s="1">
        <v>0</v>
      </c>
      <c r="W321" s="1">
        <f>IF(V321 + W320 &lt; 0, V321 + W320, 0)</f>
        <v>0</v>
      </c>
      <c r="X321" s="1">
        <v>0</v>
      </c>
      <c r="Y321" s="1">
        <f>IF(X321 + Y320 &lt; 0, X321 + Y320, 0)</f>
        <v>0</v>
      </c>
      <c r="Z321" s="1">
        <v>0</v>
      </c>
      <c r="AA321" s="1">
        <f>IF(Z321 + AA320 &lt; 0, Z321 + AA320, 0)</f>
        <v>0</v>
      </c>
      <c r="AB321" s="1">
        <v>0</v>
      </c>
      <c r="AC321" s="1">
        <f>IF(AB321 + AC320 &lt; 0, AB321 + AC320, 0)</f>
        <v>0</v>
      </c>
      <c r="AD321" s="1">
        <v>0</v>
      </c>
      <c r="AE321" s="1">
        <f>IF(AD321 + AE320 &lt; 0, AD321 + AE320, 0)</f>
        <v>0</v>
      </c>
      <c r="AF321" s="1">
        <v>0</v>
      </c>
      <c r="AG321" s="1">
        <f>IF(AF321 + AG320 &lt; 0, AF321 + AG320, 0)</f>
        <v>0</v>
      </c>
      <c r="AH321" s="1">
        <v>0</v>
      </c>
      <c r="AI321" s="1">
        <f>IF(AH321 + AI320 &lt; 0, AH321 + AI320, 0)</f>
        <v>0</v>
      </c>
      <c r="AJ321" s="1">
        <v>0</v>
      </c>
      <c r="AK321" s="1">
        <f>IF(AJ321 + AK320 &lt; 0, AJ321 + AK320, 0)</f>
        <v>0</v>
      </c>
    </row>
    <row r="322" spans="1:37" s="1" customFormat="1">
      <c r="A322" s="3">
        <v>45769</v>
      </c>
      <c r="B322" s="2" t="s">
        <v>23</v>
      </c>
      <c r="C322" s="2">
        <v>3</v>
      </c>
      <c r="D322" s="2">
        <v>3</v>
      </c>
      <c r="E322" s="2">
        <v>3</v>
      </c>
      <c r="F322" s="2">
        <v>3</v>
      </c>
      <c r="G322" s="2">
        <v>1</v>
      </c>
      <c r="H322" s="1">
        <v>0</v>
      </c>
      <c r="I322" s="1">
        <f>IF(H322 + I321 &lt; 0, H322 + I321, 0)</f>
        <v>0</v>
      </c>
      <c r="J322" s="1">
        <v>0</v>
      </c>
      <c r="K322" s="1">
        <f>IF(J322 + K321 &lt; 0, J322 + K321, 0)</f>
        <v>0</v>
      </c>
      <c r="L322" s="1">
        <v>0</v>
      </c>
      <c r="M322" s="1">
        <f>IF(L322 + M321 &lt; 0, L322 + M321, 0)</f>
        <v>0</v>
      </c>
      <c r="N322" s="1">
        <v>0</v>
      </c>
      <c r="O322" s="1">
        <f>IF(N322 + O321 &lt; 0, N322 + O321, 0)</f>
        <v>0</v>
      </c>
      <c r="P322" s="1">
        <v>0</v>
      </c>
      <c r="Q322" s="1">
        <f>IF(P322 + Q321 &lt; 0, P322 + Q321, 0)</f>
        <v>0</v>
      </c>
      <c r="R322" s="1">
        <v>0</v>
      </c>
      <c r="S322" s="1">
        <f>IF(R322 + S321 &lt; 0, R322 + S321, 0)</f>
        <v>0</v>
      </c>
      <c r="T322" s="1">
        <v>0</v>
      </c>
      <c r="U322" s="1">
        <f>IF(T322 + U321 &lt; 0, T322 + U321, 0)</f>
        <v>0</v>
      </c>
      <c r="V322" s="1">
        <v>0</v>
      </c>
      <c r="W322" s="1">
        <f>IF(V322 + W321 &lt; 0, V322 + W321, 0)</f>
        <v>0</v>
      </c>
      <c r="X322" s="1">
        <v>0</v>
      </c>
      <c r="Y322" s="1">
        <f>IF(X322 + Y321 &lt; 0, X322 + Y321, 0)</f>
        <v>0</v>
      </c>
      <c r="Z322" s="1">
        <v>0</v>
      </c>
      <c r="AA322" s="1">
        <f>IF(Z322 + AA321 &lt; 0, Z322 + AA321, 0)</f>
        <v>0</v>
      </c>
      <c r="AB322" s="1">
        <v>0</v>
      </c>
      <c r="AC322" s="1">
        <f>IF(AB322 + AC321 &lt; 0, AB322 + AC321, 0)</f>
        <v>0</v>
      </c>
      <c r="AD322" s="1">
        <v>0</v>
      </c>
      <c r="AE322" s="1">
        <f>IF(AD322 + AE321 &lt; 0, AD322 + AE321, 0)</f>
        <v>0</v>
      </c>
      <c r="AF322" s="1">
        <v>-371497.2607040827</v>
      </c>
      <c r="AG322" s="1">
        <f>IF(AF322 + AG321 &lt; 0, AF322 + AG321, 0)</f>
        <v>0</v>
      </c>
      <c r="AH322" s="1">
        <v>-371497.2607040827</v>
      </c>
      <c r="AI322" s="1">
        <f>IF(AH322 + AI321 &lt; 0, AH322 + AI321, 0)</f>
        <v>0</v>
      </c>
      <c r="AJ322" s="1">
        <v>190371.8627849439</v>
      </c>
      <c r="AK322" s="1">
        <f>IF(AJ322 + AK321 &lt; 0, AJ322 + AK321, 0)</f>
        <v>0</v>
      </c>
    </row>
    <row r="323" spans="1:37" s="1" customFormat="1">
      <c r="A323" s="3">
        <v>45770</v>
      </c>
      <c r="B323" s="2" t="s">
        <v>24</v>
      </c>
      <c r="C323" s="2">
        <v>2</v>
      </c>
      <c r="D323" s="2">
        <v>2</v>
      </c>
      <c r="E323" s="2">
        <v>2</v>
      </c>
      <c r="F323" s="2">
        <v>2</v>
      </c>
      <c r="G323" s="2">
        <v>5</v>
      </c>
      <c r="H323" s="1">
        <v>0</v>
      </c>
      <c r="I323" s="1">
        <f>IF(H323 + I322 &lt; 0, H323 + I322, 0)</f>
        <v>0</v>
      </c>
      <c r="J323" s="1">
        <v>0</v>
      </c>
      <c r="K323" s="1">
        <f>IF(J323 + K322 &lt; 0, J323 + K322, 0)</f>
        <v>0</v>
      </c>
      <c r="L323" s="1">
        <v>0</v>
      </c>
      <c r="M323" s="1">
        <f>IF(L323 + M322 &lt; 0, L323 + M322, 0)</f>
        <v>0</v>
      </c>
      <c r="N323" s="1">
        <v>0</v>
      </c>
      <c r="O323" s="1">
        <f>IF(N323 + O322 &lt; 0, N323 + O322, 0)</f>
        <v>0</v>
      </c>
      <c r="P323" s="1">
        <v>0</v>
      </c>
      <c r="Q323" s="1">
        <f>IF(P323 + Q322 &lt; 0, P323 + Q322, 0)</f>
        <v>0</v>
      </c>
      <c r="R323" s="1">
        <v>0</v>
      </c>
      <c r="S323" s="1">
        <f>IF(R323 + S322 &lt; 0, R323 + S322, 0)</f>
        <v>0</v>
      </c>
      <c r="T323" s="1">
        <v>0</v>
      </c>
      <c r="U323" s="1">
        <f>IF(T323 + U322 &lt; 0, T323 + U322, 0)</f>
        <v>0</v>
      </c>
      <c r="V323" s="1">
        <v>0</v>
      </c>
      <c r="W323" s="1">
        <f>IF(V323 + W322 &lt; 0, V323 + W322, 0)</f>
        <v>0</v>
      </c>
      <c r="X323" s="1">
        <v>0</v>
      </c>
      <c r="Y323" s="1">
        <f>IF(X323 + Y322 &lt; 0, X323 + Y322, 0)</f>
        <v>0</v>
      </c>
      <c r="Z323" s="1">
        <v>0</v>
      </c>
      <c r="AA323" s="1">
        <f>IF(Z323 + AA322 &lt; 0, Z323 + AA322, 0)</f>
        <v>0</v>
      </c>
      <c r="AB323" s="1">
        <v>0</v>
      </c>
      <c r="AC323" s="1">
        <f>IF(AB323 + AC322 &lt; 0, AB323 + AC322, 0)</f>
        <v>0</v>
      </c>
      <c r="AD323" s="1">
        <v>0</v>
      </c>
      <c r="AE323" s="1">
        <f>IF(AD323 + AE322 &lt; 0, AD323 + AE322, 0)</f>
        <v>0</v>
      </c>
      <c r="AF323" s="1">
        <v>0</v>
      </c>
      <c r="AG323" s="1">
        <f>IF(AF323 + AG322 &lt; 0, AF323 + AG322, 0)</f>
        <v>0</v>
      </c>
      <c r="AH323" s="1">
        <v>0</v>
      </c>
      <c r="AI323" s="1">
        <f>IF(AH323 + AI322 &lt; 0, AH323 + AI322, 0)</f>
        <v>0</v>
      </c>
      <c r="AJ323" s="1">
        <v>0</v>
      </c>
      <c r="AK323" s="1">
        <f>IF(AJ323 + AK322 &lt; 0, AJ323 + AK322, 0)</f>
        <v>0</v>
      </c>
    </row>
    <row r="324" spans="1:37" s="1" customFormat="1">
      <c r="A324" s="3">
        <v>45771</v>
      </c>
      <c r="B324" s="2" t="s">
        <v>25</v>
      </c>
      <c r="C324" s="2">
        <v>1</v>
      </c>
      <c r="D324" s="2">
        <v>1</v>
      </c>
      <c r="E324" s="2">
        <v>1</v>
      </c>
      <c r="F324" s="2">
        <v>1</v>
      </c>
      <c r="G324" s="2">
        <v>4</v>
      </c>
      <c r="H324" s="1">
        <v>0</v>
      </c>
      <c r="I324" s="1">
        <f>IF(H324 + I323 &lt; 0, H324 + I323, 0)</f>
        <v>0</v>
      </c>
      <c r="J324" s="1">
        <v>0</v>
      </c>
      <c r="K324" s="1">
        <f>IF(J324 + K323 &lt; 0, J324 + K323, 0)</f>
        <v>0</v>
      </c>
      <c r="L324" s="1">
        <v>0</v>
      </c>
      <c r="M324" s="1">
        <f>IF(L324 + M323 &lt; 0, L324 + M323, 0)</f>
        <v>0</v>
      </c>
      <c r="N324" s="1">
        <v>0</v>
      </c>
      <c r="O324" s="1">
        <f>IF(N324 + O323 &lt; 0, N324 + O323, 0)</f>
        <v>0</v>
      </c>
      <c r="P324" s="1">
        <v>0</v>
      </c>
      <c r="Q324" s="1">
        <f>IF(P324 + Q323 &lt; 0, P324 + Q323, 0)</f>
        <v>0</v>
      </c>
      <c r="R324" s="1">
        <v>0</v>
      </c>
      <c r="S324" s="1">
        <f>IF(R324 + S323 &lt; 0, R324 + S323, 0)</f>
        <v>0</v>
      </c>
      <c r="T324" s="1">
        <v>0</v>
      </c>
      <c r="U324" s="1">
        <f>IF(T324 + U323 &lt; 0, T324 + U323, 0)</f>
        <v>0</v>
      </c>
      <c r="V324" s="1">
        <v>0</v>
      </c>
      <c r="W324" s="1">
        <f>IF(V324 + W323 &lt; 0, V324 + W323, 0)</f>
        <v>0</v>
      </c>
      <c r="X324" s="1">
        <v>0</v>
      </c>
      <c r="Y324" s="1">
        <f>IF(X324 + Y323 &lt; 0, X324 + Y323, 0)</f>
        <v>0</v>
      </c>
      <c r="Z324" s="1">
        <v>411197.4336011016</v>
      </c>
      <c r="AA324" s="1">
        <f>IF(Z324 + AA323 &lt; 0, Z324 + AA323, 0)</f>
        <v>0</v>
      </c>
      <c r="AB324" s="1">
        <v>411197.4336011016</v>
      </c>
      <c r="AC324" s="1">
        <f>IF(AB324 + AC323 &lt; 0, AB324 + AC323, 0)</f>
        <v>0</v>
      </c>
      <c r="AD324" s="1">
        <v>174122.3402053221</v>
      </c>
      <c r="AE324" s="1">
        <f>IF(AD324 + AE323 &lt; 0, AD324 + AE323, 0)</f>
        <v>0</v>
      </c>
      <c r="AF324" s="1">
        <v>0</v>
      </c>
      <c r="AG324" s="1">
        <f>IF(AF324 + AG323 &lt; 0, AF324 + AG323, 0)</f>
        <v>0</v>
      </c>
      <c r="AH324" s="1">
        <v>0</v>
      </c>
      <c r="AI324" s="1">
        <f>IF(AH324 + AI323 &lt; 0, AH324 + AI323, 0)</f>
        <v>0</v>
      </c>
      <c r="AJ324" s="1">
        <v>0</v>
      </c>
      <c r="AK324" s="1">
        <f>IF(AJ324 + AK323 &lt; 0, AJ324 + AK323, 0)</f>
        <v>0</v>
      </c>
    </row>
    <row r="325" spans="1:37" s="1" customFormat="1">
      <c r="A325" s="3">
        <v>45772</v>
      </c>
      <c r="B325" s="2" t="s">
        <v>26</v>
      </c>
      <c r="C325" s="2">
        <v>24</v>
      </c>
      <c r="D325" s="2">
        <v>24</v>
      </c>
      <c r="E325" s="2">
        <v>24</v>
      </c>
      <c r="F325" s="2">
        <v>4</v>
      </c>
      <c r="G325" s="2">
        <v>3</v>
      </c>
      <c r="H325" s="1">
        <v>0</v>
      </c>
      <c r="I325" s="1">
        <f>IF(H325 + I324 &lt; 0, H325 + I324, 0)</f>
        <v>0</v>
      </c>
      <c r="J325" s="1">
        <v>0</v>
      </c>
      <c r="K325" s="1">
        <f>IF(J325 + K324 &lt; 0, J325 + K324, 0)</f>
        <v>0</v>
      </c>
      <c r="L325" s="1">
        <v>0</v>
      </c>
      <c r="M325" s="1">
        <f>IF(L325 + M324 &lt; 0, L325 + M324, 0)</f>
        <v>0</v>
      </c>
      <c r="N325" s="1">
        <v>0</v>
      </c>
      <c r="O325" s="1">
        <f>IF(N325 + O324 &lt; 0, N325 + O324, 0)</f>
        <v>0</v>
      </c>
      <c r="P325" s="1">
        <v>0</v>
      </c>
      <c r="Q325" s="1">
        <f>IF(P325 + Q324 &lt; 0, P325 + Q324, 0)</f>
        <v>0</v>
      </c>
      <c r="R325" s="1">
        <v>0</v>
      </c>
      <c r="S325" s="1">
        <f>IF(R325 + S324 &lt; 0, R325 + S324, 0)</f>
        <v>0</v>
      </c>
      <c r="T325" s="1">
        <v>0</v>
      </c>
      <c r="U325" s="1">
        <f>IF(T325 + U324 &lt; 0, T325 + U324, 0)</f>
        <v>0</v>
      </c>
      <c r="V325" s="1">
        <v>0</v>
      </c>
      <c r="W325" s="1">
        <f>IF(V325 + W324 &lt; 0, V325 + W324, 0)</f>
        <v>0</v>
      </c>
      <c r="X325" s="1">
        <v>0</v>
      </c>
      <c r="Y325" s="1">
        <f>IF(X325 + Y324 &lt; 0, X325 + Y324, 0)</f>
        <v>0</v>
      </c>
      <c r="Z325" s="1">
        <v>0</v>
      </c>
      <c r="AA325" s="1">
        <f>IF(Z325 + AA324 &lt; 0, Z325 + AA324, 0)</f>
        <v>0</v>
      </c>
      <c r="AB325" s="1">
        <v>0</v>
      </c>
      <c r="AC325" s="1">
        <f>IF(AB325 + AC324 &lt; 0, AB325 + AC324, 0)</f>
        <v>0</v>
      </c>
      <c r="AD325" s="1">
        <v>0</v>
      </c>
      <c r="AE325" s="1">
        <f>IF(AD325 + AE324 &lt; 0, AD325 + AE324, 0)</f>
        <v>0</v>
      </c>
      <c r="AF325" s="1">
        <v>0</v>
      </c>
      <c r="AG325" s="1">
        <f>IF(AF325 + AG324 &lt; 0, AF325 + AG324, 0)</f>
        <v>0</v>
      </c>
      <c r="AH325" s="1">
        <v>0</v>
      </c>
      <c r="AI325" s="1">
        <f>IF(AH325 + AI324 &lt; 0, AH325 + AI324, 0)</f>
        <v>0</v>
      </c>
      <c r="AJ325" s="1">
        <v>0</v>
      </c>
      <c r="AK325" s="1">
        <f>IF(AJ325 + AK324 &lt; 0, AJ325 + AK324, 0)</f>
        <v>0</v>
      </c>
    </row>
    <row r="326" spans="1:37" s="1" customFormat="1">
      <c r="A326" s="3">
        <v>45775</v>
      </c>
      <c r="B326" s="2" t="s">
        <v>22</v>
      </c>
      <c r="C326" s="2">
        <v>23</v>
      </c>
      <c r="D326" s="2">
        <v>23</v>
      </c>
      <c r="E326" s="2">
        <v>23</v>
      </c>
      <c r="F326" s="2">
        <v>3</v>
      </c>
      <c r="G326" s="2">
        <v>2</v>
      </c>
      <c r="H326" s="1">
        <v>0</v>
      </c>
      <c r="I326" s="1">
        <f>IF(H326 + I325 &lt; 0, H326 + I325, 0)</f>
        <v>0</v>
      </c>
      <c r="J326" s="1">
        <v>0</v>
      </c>
      <c r="K326" s="1">
        <f>IF(J326 + K325 &lt; 0, J326 + K325, 0)</f>
        <v>0</v>
      </c>
      <c r="L326" s="1">
        <v>0</v>
      </c>
      <c r="M326" s="1">
        <f>IF(L326 + M325 &lt; 0, L326 + M325, 0)</f>
        <v>0</v>
      </c>
      <c r="N326" s="1">
        <v>0</v>
      </c>
      <c r="O326" s="1">
        <f>IF(N326 + O325 &lt; 0, N326 + O325, 0)</f>
        <v>0</v>
      </c>
      <c r="P326" s="1">
        <v>0</v>
      </c>
      <c r="Q326" s="1">
        <f>IF(P326 + Q325 &lt; 0, P326 + Q325, 0)</f>
        <v>0</v>
      </c>
      <c r="R326" s="1">
        <v>0</v>
      </c>
      <c r="S326" s="1">
        <f>IF(R326 + S325 &lt; 0, R326 + S325, 0)</f>
        <v>0</v>
      </c>
      <c r="T326" s="1">
        <v>0</v>
      </c>
      <c r="U326" s="1">
        <f>IF(T326 + U325 &lt; 0, T326 + U325, 0)</f>
        <v>0</v>
      </c>
      <c r="V326" s="1">
        <v>0</v>
      </c>
      <c r="W326" s="1">
        <f>IF(V326 + W325 &lt; 0, V326 + W325, 0)</f>
        <v>0</v>
      </c>
      <c r="X326" s="1">
        <v>0</v>
      </c>
      <c r="Y326" s="1">
        <f>IF(X326 + Y325 &lt; 0, X326 + Y325, 0)</f>
        <v>0</v>
      </c>
      <c r="Z326" s="1">
        <v>0</v>
      </c>
      <c r="AA326" s="1">
        <f>IF(Z326 + AA325 &lt; 0, Z326 + AA325, 0)</f>
        <v>0</v>
      </c>
      <c r="AB326" s="1">
        <v>0</v>
      </c>
      <c r="AC326" s="1">
        <f>IF(AB326 + AC325 &lt; 0, AB326 + AC325, 0)</f>
        <v>0</v>
      </c>
      <c r="AD326" s="1">
        <v>0</v>
      </c>
      <c r="AE326" s="1">
        <f>IF(AD326 + AE325 &lt; 0, AD326 + AE325, 0)</f>
        <v>0</v>
      </c>
      <c r="AF326" s="1">
        <v>0</v>
      </c>
      <c r="AG326" s="1">
        <f>IF(AF326 + AG325 &lt; 0, AF326 + AG325, 0)</f>
        <v>0</v>
      </c>
      <c r="AH326" s="1">
        <v>0</v>
      </c>
      <c r="AI326" s="1">
        <f>IF(AH326 + AI325 &lt; 0, AH326 + AI325, 0)</f>
        <v>0</v>
      </c>
      <c r="AJ326" s="1">
        <v>0</v>
      </c>
      <c r="AK326" s="1">
        <f>IF(AJ326 + AK325 &lt; 0, AJ326 + AK325, 0)</f>
        <v>0</v>
      </c>
    </row>
    <row r="327" spans="1:37" s="1" customFormat="1">
      <c r="A327" s="3">
        <v>45776</v>
      </c>
      <c r="B327" s="2" t="s">
        <v>23</v>
      </c>
      <c r="C327" s="2">
        <v>22</v>
      </c>
      <c r="D327" s="2">
        <v>22</v>
      </c>
      <c r="E327" s="2">
        <v>22</v>
      </c>
      <c r="F327" s="2">
        <v>2</v>
      </c>
      <c r="G327" s="2">
        <v>1</v>
      </c>
      <c r="H327" s="1">
        <v>0</v>
      </c>
      <c r="I327" s="1">
        <f>IF(H327 + I326 &lt; 0, H327 + I326, 0)</f>
        <v>0</v>
      </c>
      <c r="J327" s="1">
        <v>0</v>
      </c>
      <c r="K327" s="1">
        <f>IF(J327 + K326 &lt; 0, J327 + K326, 0)</f>
        <v>0</v>
      </c>
      <c r="L327" s="1">
        <v>0</v>
      </c>
      <c r="M327" s="1">
        <f>IF(L327 + M326 &lt; 0, L327 + M326, 0)</f>
        <v>0</v>
      </c>
      <c r="N327" s="1">
        <v>0</v>
      </c>
      <c r="O327" s="1">
        <f>IF(N327 + O326 &lt; 0, N327 + O326, 0)</f>
        <v>0</v>
      </c>
      <c r="P327" s="1">
        <v>0</v>
      </c>
      <c r="Q327" s="1">
        <f>IF(P327 + Q326 &lt; 0, P327 + Q326, 0)</f>
        <v>0</v>
      </c>
      <c r="R327" s="1">
        <v>0</v>
      </c>
      <c r="S327" s="1">
        <f>IF(R327 + S326 &lt; 0, R327 + S326, 0)</f>
        <v>0</v>
      </c>
      <c r="T327" s="1">
        <v>0</v>
      </c>
      <c r="U327" s="1">
        <f>IF(T327 + U326 &lt; 0, T327 + U326, 0)</f>
        <v>0</v>
      </c>
      <c r="V327" s="1">
        <v>0</v>
      </c>
      <c r="W327" s="1">
        <f>IF(V327 + W326 &lt; 0, V327 + W326, 0)</f>
        <v>0</v>
      </c>
      <c r="X327" s="1">
        <v>0</v>
      </c>
      <c r="Y327" s="1">
        <f>IF(X327 + Y326 &lt; 0, X327 + Y326, 0)</f>
        <v>0</v>
      </c>
      <c r="Z327" s="1">
        <v>0</v>
      </c>
      <c r="AA327" s="1">
        <f>IF(Z327 + AA326 &lt; 0, Z327 + AA326, 0)</f>
        <v>0</v>
      </c>
      <c r="AB327" s="1">
        <v>0</v>
      </c>
      <c r="AC327" s="1">
        <f>IF(AB327 + AC326 &lt; 0, AB327 + AC326, 0)</f>
        <v>0</v>
      </c>
      <c r="AD327" s="1">
        <v>0</v>
      </c>
      <c r="AE327" s="1">
        <f>IF(AD327 + AE326 &lt; 0, AD327 + AE326, 0)</f>
        <v>0</v>
      </c>
      <c r="AF327" s="1">
        <v>-314658.9499705216</v>
      </c>
      <c r="AG327" s="1">
        <f>IF(AF327 + AG326 &lt; 0, AF327 + AG326, 0)</f>
        <v>0</v>
      </c>
      <c r="AH327" s="1">
        <v>-639945.5263217767</v>
      </c>
      <c r="AI327" s="1">
        <f>IF(AH327 + AI326 &lt; 0, AH327 + AI326, 0)</f>
        <v>0</v>
      </c>
      <c r="AJ327" s="1">
        <v>-53281.11764632018</v>
      </c>
      <c r="AK327" s="1">
        <f>IF(AJ327 + AK326 &lt; 0, AJ327 + AK326, 0)</f>
        <v>0</v>
      </c>
    </row>
    <row r="328" spans="1:37" s="1" customFormat="1">
      <c r="A328" s="3">
        <v>45777</v>
      </c>
      <c r="B328" s="2" t="s">
        <v>24</v>
      </c>
      <c r="C328" s="2">
        <v>21</v>
      </c>
      <c r="D328" s="2">
        <v>21</v>
      </c>
      <c r="E328" s="2">
        <v>21</v>
      </c>
      <c r="F328" s="2">
        <v>1</v>
      </c>
      <c r="G328" s="2">
        <v>4</v>
      </c>
      <c r="H328" s="1">
        <v>0</v>
      </c>
      <c r="I328" s="1">
        <f>IF(H328 + I327 &lt; 0, H328 + I327, 0)</f>
        <v>0</v>
      </c>
      <c r="J328" s="1">
        <v>0</v>
      </c>
      <c r="K328" s="1">
        <f>IF(J328 + K327 &lt; 0, J328 + K327, 0)</f>
        <v>0</v>
      </c>
      <c r="L328" s="1">
        <v>0</v>
      </c>
      <c r="M328" s="1">
        <f>IF(L328 + M327 &lt; 0, L328 + M327, 0)</f>
        <v>0</v>
      </c>
      <c r="N328" s="1">
        <v>0</v>
      </c>
      <c r="O328" s="1">
        <f>IF(N328 + O327 &lt; 0, N328 + O327, 0)</f>
        <v>0</v>
      </c>
      <c r="P328" s="1">
        <v>0</v>
      </c>
      <c r="Q328" s="1">
        <f>IF(P328 + Q327 &lt; 0, P328 + Q327, 0)</f>
        <v>0</v>
      </c>
      <c r="R328" s="1">
        <v>0</v>
      </c>
      <c r="S328" s="1">
        <f>IF(R328 + S327 &lt; 0, R328 + S327, 0)</f>
        <v>0</v>
      </c>
      <c r="T328" s="1">
        <v>0</v>
      </c>
      <c r="U328" s="1">
        <f>IF(T328 + U327 &lt; 0, T328 + U327, 0)</f>
        <v>0</v>
      </c>
      <c r="V328" s="1">
        <v>0</v>
      </c>
      <c r="W328" s="1">
        <f>IF(V328 + W327 &lt; 0, V328 + W327, 0)</f>
        <v>0</v>
      </c>
      <c r="X328" s="1">
        <v>0</v>
      </c>
      <c r="Y328" s="1">
        <f>IF(X328 + Y327 &lt; 0, X328 + Y327, 0)</f>
        <v>0</v>
      </c>
      <c r="Z328" s="1">
        <v>380562.6478302496</v>
      </c>
      <c r="AA328" s="1">
        <f>IF(Z328 + AA327 &lt; 0, Z328 + AA327, 0)</f>
        <v>0</v>
      </c>
      <c r="AB328" s="1">
        <v>380562.6478302496</v>
      </c>
      <c r="AC328" s="1">
        <f>IF(AB328 + AC327 &lt; 0, AB328 + AC327, 0)</f>
        <v>0</v>
      </c>
      <c r="AD328" s="1">
        <v>552186.3327845748</v>
      </c>
      <c r="AE328" s="1">
        <f>IF(AD328 + AE327 &lt; 0, AD328 + AE327, 0)</f>
        <v>0</v>
      </c>
      <c r="AF328" s="1">
        <v>0</v>
      </c>
      <c r="AG328" s="1">
        <f>IF(AF328 + AG327 &lt; 0, AF328 + AG327, 0)</f>
        <v>0</v>
      </c>
      <c r="AH328" s="1">
        <v>0</v>
      </c>
      <c r="AI328" s="1">
        <f>IF(AH328 + AI327 &lt; 0, AH328 + AI327, 0)</f>
        <v>0</v>
      </c>
      <c r="AJ328" s="1">
        <v>0</v>
      </c>
      <c r="AK328" s="1">
        <f>IF(AJ328 + AK327 &lt; 0, AJ328 + AK327, 0)</f>
        <v>0</v>
      </c>
    </row>
    <row r="329" spans="1:37" s="1" customFormat="1">
      <c r="A329" s="3">
        <v>45779</v>
      </c>
      <c r="B329" s="2" t="s">
        <v>26</v>
      </c>
      <c r="C329" s="2">
        <v>20</v>
      </c>
      <c r="D329" s="2">
        <v>20</v>
      </c>
      <c r="E329" s="2">
        <v>20</v>
      </c>
      <c r="F329" s="2">
        <v>5</v>
      </c>
      <c r="G329" s="2">
        <v>3</v>
      </c>
      <c r="H329" s="1">
        <v>0</v>
      </c>
      <c r="I329" s="1">
        <f>IF(H329 + I328 &lt; 0, H329 + I328, 0)</f>
        <v>0</v>
      </c>
      <c r="J329" s="1">
        <v>0</v>
      </c>
      <c r="K329" s="1">
        <f>IF(J329 + K328 &lt; 0, J329 + K328, 0)</f>
        <v>0</v>
      </c>
      <c r="L329" s="1">
        <v>0</v>
      </c>
      <c r="M329" s="1">
        <f>IF(L329 + M328 &lt; 0, L329 + M328, 0)</f>
        <v>0</v>
      </c>
      <c r="N329" s="1">
        <v>0</v>
      </c>
      <c r="O329" s="1">
        <f>IF(N329 + O328 &lt; 0, N329 + O328, 0)</f>
        <v>0</v>
      </c>
      <c r="P329" s="1">
        <v>0</v>
      </c>
      <c r="Q329" s="1">
        <f>IF(P329 + Q328 &lt; 0, P329 + Q328, 0)</f>
        <v>0</v>
      </c>
      <c r="R329" s="1">
        <v>0</v>
      </c>
      <c r="S329" s="1">
        <f>IF(R329 + S328 &lt; 0, R329 + S328, 0)</f>
        <v>0</v>
      </c>
      <c r="T329" s="1">
        <v>0</v>
      </c>
      <c r="U329" s="1">
        <f>IF(T329 + U328 &lt; 0, T329 + U328, 0)</f>
        <v>0</v>
      </c>
      <c r="V329" s="1">
        <v>0</v>
      </c>
      <c r="W329" s="1">
        <f>IF(V329 + W328 &lt; 0, V329 + W328, 0)</f>
        <v>0</v>
      </c>
      <c r="X329" s="1">
        <v>0</v>
      </c>
      <c r="Y329" s="1">
        <f>IF(X329 + Y328 &lt; 0, X329 + Y328, 0)</f>
        <v>0</v>
      </c>
      <c r="Z329" s="1">
        <v>0</v>
      </c>
      <c r="AA329" s="1">
        <f>IF(Z329 + AA328 &lt; 0, Z329 + AA328, 0)</f>
        <v>0</v>
      </c>
      <c r="AB329" s="1">
        <v>0</v>
      </c>
      <c r="AC329" s="1">
        <f>IF(AB329 + AC328 &lt; 0, AB329 + AC328, 0)</f>
        <v>0</v>
      </c>
      <c r="AD329" s="1">
        <v>0</v>
      </c>
      <c r="AE329" s="1">
        <f>IF(AD329 + AE328 &lt; 0, AD329 + AE328, 0)</f>
        <v>0</v>
      </c>
      <c r="AF329" s="1">
        <v>0</v>
      </c>
      <c r="AG329" s="1">
        <f>IF(AF329 + AG328 &lt; 0, AF329 + AG328, 0)</f>
        <v>0</v>
      </c>
      <c r="AH329" s="1">
        <v>0</v>
      </c>
      <c r="AI329" s="1">
        <f>IF(AH329 + AI328 &lt; 0, AH329 + AI328, 0)</f>
        <v>0</v>
      </c>
      <c r="AJ329" s="1">
        <v>0</v>
      </c>
      <c r="AK329" s="1">
        <f>IF(AJ329 + AK328 &lt; 0, AJ329 + AK328, 0)</f>
        <v>0</v>
      </c>
    </row>
    <row r="330" spans="1:37" s="1" customFormat="1">
      <c r="A330" s="3">
        <v>45782</v>
      </c>
      <c r="B330" s="2" t="s">
        <v>22</v>
      </c>
      <c r="C330" s="2">
        <v>19</v>
      </c>
      <c r="D330" s="2">
        <v>19</v>
      </c>
      <c r="E330" s="2">
        <v>19</v>
      </c>
      <c r="F330" s="2">
        <v>4</v>
      </c>
      <c r="G330" s="2">
        <v>2</v>
      </c>
      <c r="H330" s="1">
        <v>0</v>
      </c>
      <c r="I330" s="1">
        <f>IF(H330 + I329 &lt; 0, H330 + I329, 0)</f>
        <v>0</v>
      </c>
      <c r="J330" s="1">
        <v>0</v>
      </c>
      <c r="K330" s="1">
        <f>IF(J330 + K329 &lt; 0, J330 + K329, 0)</f>
        <v>0</v>
      </c>
      <c r="L330" s="1">
        <v>0</v>
      </c>
      <c r="M330" s="1">
        <f>IF(L330 + M329 &lt; 0, L330 + M329, 0)</f>
        <v>0</v>
      </c>
      <c r="N330" s="1">
        <v>0</v>
      </c>
      <c r="O330" s="1">
        <f>IF(N330 + O329 &lt; 0, N330 + O329, 0)</f>
        <v>0</v>
      </c>
      <c r="P330" s="1">
        <v>0</v>
      </c>
      <c r="Q330" s="1">
        <f>IF(P330 + Q329 &lt; 0, P330 + Q329, 0)</f>
        <v>0</v>
      </c>
      <c r="R330" s="1">
        <v>0</v>
      </c>
      <c r="S330" s="1">
        <f>IF(R330 + S329 &lt; 0, R330 + S329, 0)</f>
        <v>0</v>
      </c>
      <c r="T330" s="1">
        <v>0</v>
      </c>
      <c r="U330" s="1">
        <f>IF(T330 + U329 &lt; 0, T330 + U329, 0)</f>
        <v>0</v>
      </c>
      <c r="V330" s="1">
        <v>0</v>
      </c>
      <c r="W330" s="1">
        <f>IF(V330 + W329 &lt; 0, V330 + W329, 0)</f>
        <v>0</v>
      </c>
      <c r="X330" s="1">
        <v>0</v>
      </c>
      <c r="Y330" s="1">
        <f>IF(X330 + Y329 &lt; 0, X330 + Y329, 0)</f>
        <v>0</v>
      </c>
      <c r="Z330" s="1">
        <v>0</v>
      </c>
      <c r="AA330" s="1">
        <f>IF(Z330 + AA329 &lt; 0, Z330 + AA329, 0)</f>
        <v>0</v>
      </c>
      <c r="AB330" s="1">
        <v>0</v>
      </c>
      <c r="AC330" s="1">
        <f>IF(AB330 + AC329 &lt; 0, AB330 + AC329, 0)</f>
        <v>0</v>
      </c>
      <c r="AD330" s="1">
        <v>0</v>
      </c>
      <c r="AE330" s="1">
        <f>IF(AD330 + AE329 &lt; 0, AD330 + AE329, 0)</f>
        <v>0</v>
      </c>
      <c r="AF330" s="1">
        <v>0</v>
      </c>
      <c r="AG330" s="1">
        <f>IF(AF330 + AG329 &lt; 0, AF330 + AG329, 0)</f>
        <v>0</v>
      </c>
      <c r="AH330" s="1">
        <v>0</v>
      </c>
      <c r="AI330" s="1">
        <f>IF(AH330 + AI329 &lt; 0, AH330 + AI329, 0)</f>
        <v>0</v>
      </c>
      <c r="AJ330" s="1">
        <v>0</v>
      </c>
      <c r="AK330" s="1">
        <f>IF(AJ330 + AK329 &lt; 0, AJ330 + AK329, 0)</f>
        <v>0</v>
      </c>
    </row>
    <row r="331" spans="1:37" s="1" customFormat="1">
      <c r="A331" s="3">
        <v>45783</v>
      </c>
      <c r="B331" s="2" t="s">
        <v>23</v>
      </c>
      <c r="C331" s="2">
        <v>18</v>
      </c>
      <c r="D331" s="2">
        <v>18</v>
      </c>
      <c r="E331" s="2">
        <v>18</v>
      </c>
      <c r="F331" s="2">
        <v>3</v>
      </c>
      <c r="G331" s="2">
        <v>1</v>
      </c>
      <c r="H331" s="1">
        <v>0</v>
      </c>
      <c r="I331" s="1">
        <f>IF(H331 + I330 &lt; 0, H331 + I330, 0)</f>
        <v>0</v>
      </c>
      <c r="J331" s="1">
        <v>0</v>
      </c>
      <c r="K331" s="1">
        <f>IF(J331 + K330 &lt; 0, J331 + K330, 0)</f>
        <v>0</v>
      </c>
      <c r="L331" s="1">
        <v>0</v>
      </c>
      <c r="M331" s="1">
        <f>IF(L331 + M330 &lt; 0, L331 + M330, 0)</f>
        <v>0</v>
      </c>
      <c r="N331" s="1">
        <v>0</v>
      </c>
      <c r="O331" s="1">
        <f>IF(N331 + O330 &lt; 0, N331 + O330, 0)</f>
        <v>0</v>
      </c>
      <c r="P331" s="1">
        <v>0</v>
      </c>
      <c r="Q331" s="1">
        <f>IF(P331 + Q330 &lt; 0, P331 + Q330, 0)</f>
        <v>0</v>
      </c>
      <c r="R331" s="1">
        <v>0</v>
      </c>
      <c r="S331" s="1">
        <f>IF(R331 + S330 &lt; 0, R331 + S330, 0)</f>
        <v>0</v>
      </c>
      <c r="T331" s="1">
        <v>0</v>
      </c>
      <c r="U331" s="1">
        <f>IF(T331 + U330 &lt; 0, T331 + U330, 0)</f>
        <v>0</v>
      </c>
      <c r="V331" s="1">
        <v>0</v>
      </c>
      <c r="W331" s="1">
        <f>IF(V331 + W330 &lt; 0, V331 + W330, 0)</f>
        <v>0</v>
      </c>
      <c r="X331" s="1">
        <v>0</v>
      </c>
      <c r="Y331" s="1">
        <f>IF(X331 + Y330 &lt; 0, X331 + Y330, 0)</f>
        <v>0</v>
      </c>
      <c r="Z331" s="1">
        <v>0</v>
      </c>
      <c r="AA331" s="1">
        <f>IF(Z331 + AA330 &lt; 0, Z331 + AA330, 0)</f>
        <v>0</v>
      </c>
      <c r="AB331" s="1">
        <v>0</v>
      </c>
      <c r="AC331" s="1">
        <f>IF(AB331 + AC330 &lt; 0, AB331 + AC330, 0)</f>
        <v>0</v>
      </c>
      <c r="AD331" s="1">
        <v>0</v>
      </c>
      <c r="AE331" s="1">
        <f>IF(AD331 + AE330 &lt; 0, AD331 + AE330, 0)</f>
        <v>0</v>
      </c>
      <c r="AF331" s="1">
        <v>1116648.644850378</v>
      </c>
      <c r="AG331" s="1">
        <f>IF(AF331 + AG330 &lt; 0, AF331 + AG330, 0)</f>
        <v>0</v>
      </c>
      <c r="AH331" s="1">
        <v>1116648.644850378</v>
      </c>
      <c r="AI331" s="1">
        <f>IF(AH331 + AI330 &lt; 0, AH331 + AI330, 0)</f>
        <v>0</v>
      </c>
      <c r="AJ331" s="1">
        <v>704561.5189724612</v>
      </c>
      <c r="AK331" s="1">
        <f>IF(AJ331 + AK330 &lt; 0, AJ331 + AK330, 0)</f>
        <v>0</v>
      </c>
    </row>
    <row r="332" spans="1:37" s="1" customFormat="1">
      <c r="A332" s="3">
        <v>45784</v>
      </c>
      <c r="B332" s="2" t="s">
        <v>24</v>
      </c>
      <c r="C332" s="2">
        <v>17</v>
      </c>
      <c r="D332" s="2">
        <v>17</v>
      </c>
      <c r="E332" s="2">
        <v>17</v>
      </c>
      <c r="F332" s="2">
        <v>2</v>
      </c>
      <c r="G332" s="2">
        <v>5</v>
      </c>
      <c r="H332" s="1">
        <v>0</v>
      </c>
      <c r="I332" s="1">
        <f>IF(H332 + I331 &lt; 0, H332 + I331, 0)</f>
        <v>0</v>
      </c>
      <c r="J332" s="1">
        <v>0</v>
      </c>
      <c r="K332" s="1">
        <f>IF(J332 + K331 &lt; 0, J332 + K331, 0)</f>
        <v>0</v>
      </c>
      <c r="L332" s="1">
        <v>0</v>
      </c>
      <c r="M332" s="1">
        <f>IF(L332 + M331 &lt; 0, L332 + M331, 0)</f>
        <v>0</v>
      </c>
      <c r="N332" s="1">
        <v>0</v>
      </c>
      <c r="O332" s="1">
        <f>IF(N332 + O331 &lt; 0, N332 + O331, 0)</f>
        <v>0</v>
      </c>
      <c r="P332" s="1">
        <v>0</v>
      </c>
      <c r="Q332" s="1">
        <f>IF(P332 + Q331 &lt; 0, P332 + Q331, 0)</f>
        <v>0</v>
      </c>
      <c r="R332" s="1">
        <v>0</v>
      </c>
      <c r="S332" s="1">
        <f>IF(R332 + S331 &lt; 0, R332 + S331, 0)</f>
        <v>0</v>
      </c>
      <c r="T332" s="1">
        <v>0</v>
      </c>
      <c r="U332" s="1">
        <f>IF(T332 + U331 &lt; 0, T332 + U331, 0)</f>
        <v>0</v>
      </c>
      <c r="V332" s="1">
        <v>0</v>
      </c>
      <c r="W332" s="1">
        <f>IF(V332 + W331 &lt; 0, V332 + W331, 0)</f>
        <v>0</v>
      </c>
      <c r="X332" s="1">
        <v>0</v>
      </c>
      <c r="Y332" s="1">
        <f>IF(X332 + Y331 &lt; 0, X332 + Y331, 0)</f>
        <v>0</v>
      </c>
      <c r="Z332" s="1">
        <v>0</v>
      </c>
      <c r="AA332" s="1">
        <f>IF(Z332 + AA331 &lt; 0, Z332 + AA331, 0)</f>
        <v>0</v>
      </c>
      <c r="AB332" s="1">
        <v>0</v>
      </c>
      <c r="AC332" s="1">
        <f>IF(AB332 + AC331 &lt; 0, AB332 + AC331, 0)</f>
        <v>0</v>
      </c>
      <c r="AD332" s="1">
        <v>0</v>
      </c>
      <c r="AE332" s="1">
        <f>IF(AD332 + AE331 &lt; 0, AD332 + AE331, 0)</f>
        <v>0</v>
      </c>
      <c r="AF332" s="1">
        <v>0</v>
      </c>
      <c r="AG332" s="1">
        <f>IF(AF332 + AG331 &lt; 0, AF332 + AG331, 0)</f>
        <v>0</v>
      </c>
      <c r="AH332" s="1">
        <v>0</v>
      </c>
      <c r="AI332" s="1">
        <f>IF(AH332 + AI331 &lt; 0, AH332 + AI331, 0)</f>
        <v>0</v>
      </c>
      <c r="AJ332" s="1">
        <v>0</v>
      </c>
      <c r="AK332" s="1">
        <f>IF(AJ332 + AK331 &lt; 0, AJ332 + AK331, 0)</f>
        <v>0</v>
      </c>
    </row>
    <row r="333" spans="1:37" s="1" customFormat="1">
      <c r="A333" s="3">
        <v>45785</v>
      </c>
      <c r="B333" s="2" t="s">
        <v>25</v>
      </c>
      <c r="C333" s="2">
        <v>16</v>
      </c>
      <c r="D333" s="2">
        <v>16</v>
      </c>
      <c r="E333" s="2">
        <v>16</v>
      </c>
      <c r="F333" s="2">
        <v>1</v>
      </c>
      <c r="G333" s="2">
        <v>4</v>
      </c>
      <c r="H333" s="1">
        <v>0</v>
      </c>
      <c r="I333" s="1">
        <f>IF(H333 + I332 &lt; 0, H333 + I332, 0)</f>
        <v>0</v>
      </c>
      <c r="J333" s="1">
        <v>0</v>
      </c>
      <c r="K333" s="1">
        <f>IF(J333 + K332 &lt; 0, J333 + K332, 0)</f>
        <v>0</v>
      </c>
      <c r="L333" s="1">
        <v>0</v>
      </c>
      <c r="M333" s="1">
        <f>IF(L333 + M332 &lt; 0, L333 + M332, 0)</f>
        <v>0</v>
      </c>
      <c r="N333" s="1">
        <v>0</v>
      </c>
      <c r="O333" s="1">
        <f>IF(N333 + O332 &lt; 0, N333 + O332, 0)</f>
        <v>0</v>
      </c>
      <c r="P333" s="1">
        <v>0</v>
      </c>
      <c r="Q333" s="1">
        <f>IF(P333 + Q332 &lt; 0, P333 + Q332, 0)</f>
        <v>0</v>
      </c>
      <c r="R333" s="1">
        <v>0</v>
      </c>
      <c r="S333" s="1">
        <f>IF(R333 + S332 &lt; 0, R333 + S332, 0)</f>
        <v>0</v>
      </c>
      <c r="T333" s="1">
        <v>0</v>
      </c>
      <c r="U333" s="1">
        <f>IF(T333 + U332 &lt; 0, T333 + U332, 0)</f>
        <v>0</v>
      </c>
      <c r="V333" s="1">
        <v>0</v>
      </c>
      <c r="W333" s="1">
        <f>IF(V333 + W332 &lt; 0, V333 + W332, 0)</f>
        <v>0</v>
      </c>
      <c r="X333" s="1">
        <v>0</v>
      </c>
      <c r="Y333" s="1">
        <f>IF(X333 + Y332 &lt; 0, X333 + Y332, 0)</f>
        <v>0</v>
      </c>
      <c r="Z333" s="1">
        <v>1086543.545802323</v>
      </c>
      <c r="AA333" s="1">
        <f>IF(Z333 + AA332 &lt; 0, Z333 + AA332, 0)</f>
        <v>0</v>
      </c>
      <c r="AB333" s="1">
        <v>509801.4233611106</v>
      </c>
      <c r="AC333" s="1">
        <f>IF(AB333 + AC332 &lt; 0, AB333 + AC332, 0)</f>
        <v>0</v>
      </c>
      <c r="AD333" s="1">
        <v>334299.6399409102</v>
      </c>
      <c r="AE333" s="1">
        <f>IF(AD333 + AE332 &lt; 0, AD333 + AE332, 0)</f>
        <v>0</v>
      </c>
      <c r="AF333" s="1">
        <v>0</v>
      </c>
      <c r="AG333" s="1">
        <f>IF(AF333 + AG332 &lt; 0, AF333 + AG332, 0)</f>
        <v>0</v>
      </c>
      <c r="AH333" s="1">
        <v>0</v>
      </c>
      <c r="AI333" s="1">
        <f>IF(AH333 + AI332 &lt; 0, AH333 + AI332, 0)</f>
        <v>0</v>
      </c>
      <c r="AJ333" s="1">
        <v>0</v>
      </c>
      <c r="AK333" s="1">
        <f>IF(AJ333 + AK332 &lt; 0, AJ333 + AK332, 0)</f>
        <v>0</v>
      </c>
    </row>
    <row r="334" spans="1:37" s="1" customFormat="1">
      <c r="A334" s="3">
        <v>45786</v>
      </c>
      <c r="B334" s="2" t="s">
        <v>26</v>
      </c>
      <c r="C334" s="2">
        <v>15</v>
      </c>
      <c r="D334" s="2">
        <v>15</v>
      </c>
      <c r="E334" s="2">
        <v>15</v>
      </c>
      <c r="F334" s="2">
        <v>5</v>
      </c>
      <c r="G334" s="2">
        <v>3</v>
      </c>
      <c r="H334" s="1">
        <v>0</v>
      </c>
      <c r="I334" s="1">
        <f>IF(H334 + I333 &lt; 0, H334 + I333, 0)</f>
        <v>0</v>
      </c>
      <c r="J334" s="1">
        <v>0</v>
      </c>
      <c r="K334" s="1">
        <f>IF(J334 + K333 &lt; 0, J334 + K333, 0)</f>
        <v>0</v>
      </c>
      <c r="L334" s="1">
        <v>0</v>
      </c>
      <c r="M334" s="1">
        <f>IF(L334 + M333 &lt; 0, L334 + M333, 0)</f>
        <v>0</v>
      </c>
      <c r="N334" s="1">
        <v>0</v>
      </c>
      <c r="O334" s="1">
        <f>IF(N334 + O333 &lt; 0, N334 + O333, 0)</f>
        <v>0</v>
      </c>
      <c r="P334" s="1">
        <v>0</v>
      </c>
      <c r="Q334" s="1">
        <f>IF(P334 + Q333 &lt; 0, P334 + Q333, 0)</f>
        <v>0</v>
      </c>
      <c r="R334" s="1">
        <v>0</v>
      </c>
      <c r="S334" s="1">
        <f>IF(R334 + S333 &lt; 0, R334 + S333, 0)</f>
        <v>0</v>
      </c>
      <c r="T334" s="1">
        <v>0</v>
      </c>
      <c r="U334" s="1">
        <f>IF(T334 + U333 &lt; 0, T334 + U333, 0)</f>
        <v>0</v>
      </c>
      <c r="V334" s="1">
        <v>0</v>
      </c>
      <c r="W334" s="1">
        <f>IF(V334 + W333 &lt; 0, V334 + W333, 0)</f>
        <v>0</v>
      </c>
      <c r="X334" s="1">
        <v>0</v>
      </c>
      <c r="Y334" s="1">
        <f>IF(X334 + Y333 &lt; 0, X334 + Y333, 0)</f>
        <v>0</v>
      </c>
      <c r="Z334" s="1">
        <v>0</v>
      </c>
      <c r="AA334" s="1">
        <f>IF(Z334 + AA333 &lt; 0, Z334 + AA333, 0)</f>
        <v>0</v>
      </c>
      <c r="AB334" s="1">
        <v>0</v>
      </c>
      <c r="AC334" s="1">
        <f>IF(AB334 + AC333 &lt; 0, AB334 + AC333, 0)</f>
        <v>0</v>
      </c>
      <c r="AD334" s="1">
        <v>0</v>
      </c>
      <c r="AE334" s="1">
        <f>IF(AD334 + AE333 &lt; 0, AD334 + AE333, 0)</f>
        <v>0</v>
      </c>
      <c r="AF334" s="1">
        <v>0</v>
      </c>
      <c r="AG334" s="1">
        <f>IF(AF334 + AG333 &lt; 0, AF334 + AG333, 0)</f>
        <v>0</v>
      </c>
      <c r="AH334" s="1">
        <v>0</v>
      </c>
      <c r="AI334" s="1">
        <f>IF(AH334 + AI333 &lt; 0, AH334 + AI333, 0)</f>
        <v>0</v>
      </c>
      <c r="AJ334" s="1">
        <v>0</v>
      </c>
      <c r="AK334" s="1">
        <f>IF(AJ334 + AK333 &lt; 0, AJ334 + AK333, 0)</f>
        <v>0</v>
      </c>
    </row>
    <row r="335" spans="1:37" s="1" customFormat="1">
      <c r="A335" s="3">
        <v>45789</v>
      </c>
      <c r="B335" s="2" t="s">
        <v>22</v>
      </c>
      <c r="C335" s="2">
        <v>14</v>
      </c>
      <c r="D335" s="2">
        <v>14</v>
      </c>
      <c r="E335" s="2">
        <v>14</v>
      </c>
      <c r="F335" s="2">
        <v>4</v>
      </c>
      <c r="G335" s="2">
        <v>2</v>
      </c>
      <c r="H335" s="1">
        <v>0</v>
      </c>
      <c r="I335" s="1">
        <f>IF(H335 + I334 &lt; 0, H335 + I334, 0)</f>
        <v>0</v>
      </c>
      <c r="J335" s="1">
        <v>0</v>
      </c>
      <c r="K335" s="1">
        <f>IF(J335 + K334 &lt; 0, J335 + K334, 0)</f>
        <v>0</v>
      </c>
      <c r="L335" s="1">
        <v>0</v>
      </c>
      <c r="M335" s="1">
        <f>IF(L335 + M334 &lt; 0, L335 + M334, 0)</f>
        <v>0</v>
      </c>
      <c r="N335" s="1">
        <v>0</v>
      </c>
      <c r="O335" s="1">
        <f>IF(N335 + O334 &lt; 0, N335 + O334, 0)</f>
        <v>0</v>
      </c>
      <c r="P335" s="1">
        <v>0</v>
      </c>
      <c r="Q335" s="1">
        <f>IF(P335 + Q334 &lt; 0, P335 + Q334, 0)</f>
        <v>0</v>
      </c>
      <c r="R335" s="1">
        <v>0</v>
      </c>
      <c r="S335" s="1">
        <f>IF(R335 + S334 &lt; 0, R335 + S334, 0)</f>
        <v>0</v>
      </c>
      <c r="T335" s="1">
        <v>0</v>
      </c>
      <c r="U335" s="1">
        <f>IF(T335 + U334 &lt; 0, T335 + U334, 0)</f>
        <v>0</v>
      </c>
      <c r="V335" s="1">
        <v>0</v>
      </c>
      <c r="W335" s="1">
        <f>IF(V335 + W334 &lt; 0, V335 + W334, 0)</f>
        <v>0</v>
      </c>
      <c r="X335" s="1">
        <v>0</v>
      </c>
      <c r="Y335" s="1">
        <f>IF(X335 + Y334 &lt; 0, X335 + Y334, 0)</f>
        <v>0</v>
      </c>
      <c r="Z335" s="1">
        <v>0</v>
      </c>
      <c r="AA335" s="1">
        <f>IF(Z335 + AA334 &lt; 0, Z335 + AA334, 0)</f>
        <v>0</v>
      </c>
      <c r="AB335" s="1">
        <v>0</v>
      </c>
      <c r="AC335" s="1">
        <f>IF(AB335 + AC334 &lt; 0, AB335 + AC334, 0)</f>
        <v>0</v>
      </c>
      <c r="AD335" s="1">
        <v>0</v>
      </c>
      <c r="AE335" s="1">
        <f>IF(AD335 + AE334 &lt; 0, AD335 + AE334, 0)</f>
        <v>0</v>
      </c>
      <c r="AF335" s="1">
        <v>0</v>
      </c>
      <c r="AG335" s="1">
        <f>IF(AF335 + AG334 &lt; 0, AF335 + AG334, 0)</f>
        <v>0</v>
      </c>
      <c r="AH335" s="1">
        <v>0</v>
      </c>
      <c r="AI335" s="1">
        <f>IF(AH335 + AI334 &lt; 0, AH335 + AI334, 0)</f>
        <v>0</v>
      </c>
      <c r="AJ335" s="1">
        <v>0</v>
      </c>
      <c r="AK335" s="1">
        <f>IF(AJ335 + AK334 &lt; 0, AJ335 + AK334, 0)</f>
        <v>0</v>
      </c>
    </row>
    <row r="336" spans="1:37" s="1" customFormat="1">
      <c r="A336" s="3">
        <v>45790</v>
      </c>
      <c r="B336" s="2" t="s">
        <v>23</v>
      </c>
      <c r="C336" s="2">
        <v>13</v>
      </c>
      <c r="D336" s="2">
        <v>13</v>
      </c>
      <c r="E336" s="2">
        <v>13</v>
      </c>
      <c r="F336" s="2">
        <v>3</v>
      </c>
      <c r="G336" s="2">
        <v>1</v>
      </c>
      <c r="H336" s="1">
        <v>0</v>
      </c>
      <c r="I336" s="1">
        <f>IF(H336 + I335 &lt; 0, H336 + I335, 0)</f>
        <v>0</v>
      </c>
      <c r="J336" s="1">
        <v>0</v>
      </c>
      <c r="K336" s="1">
        <f>IF(J336 + K335 &lt; 0, J336 + K335, 0)</f>
        <v>0</v>
      </c>
      <c r="L336" s="1">
        <v>0</v>
      </c>
      <c r="M336" s="1">
        <f>IF(L336 + M335 &lt; 0, L336 + M335, 0)</f>
        <v>0</v>
      </c>
      <c r="N336" s="1">
        <v>0</v>
      </c>
      <c r="O336" s="1">
        <f>IF(N336 + O335 &lt; 0, N336 + O335, 0)</f>
        <v>0</v>
      </c>
      <c r="P336" s="1">
        <v>0</v>
      </c>
      <c r="Q336" s="1">
        <f>IF(P336 + Q335 &lt; 0, P336 + Q335, 0)</f>
        <v>0</v>
      </c>
      <c r="R336" s="1">
        <v>0</v>
      </c>
      <c r="S336" s="1">
        <f>IF(R336 + S335 &lt; 0, R336 + S335, 0)</f>
        <v>0</v>
      </c>
      <c r="T336" s="1">
        <v>0</v>
      </c>
      <c r="U336" s="1">
        <f>IF(T336 + U335 &lt; 0, T336 + U335, 0)</f>
        <v>0</v>
      </c>
      <c r="V336" s="1">
        <v>0</v>
      </c>
      <c r="W336" s="1">
        <f>IF(V336 + W335 &lt; 0, V336 + W335, 0)</f>
        <v>0</v>
      </c>
      <c r="X336" s="1">
        <v>0</v>
      </c>
      <c r="Y336" s="1">
        <f>IF(X336 + Y335 &lt; 0, X336 + Y335, 0)</f>
        <v>0</v>
      </c>
      <c r="Z336" s="1">
        <v>0</v>
      </c>
      <c r="AA336" s="1">
        <f>IF(Z336 + AA335 &lt; 0, Z336 + AA335, 0)</f>
        <v>0</v>
      </c>
      <c r="AB336" s="1">
        <v>0</v>
      </c>
      <c r="AC336" s="1">
        <f>IF(AB336 + AC335 &lt; 0, AB336 + AC335, 0)</f>
        <v>0</v>
      </c>
      <c r="AD336" s="1">
        <v>0</v>
      </c>
      <c r="AE336" s="1">
        <f>IF(AD336 + AE335 &lt; 0, AD336 + AE335, 0)</f>
        <v>0</v>
      </c>
      <c r="AF336" s="1">
        <v>-1045425.797129242</v>
      </c>
      <c r="AG336" s="1">
        <f>IF(AF336 + AG335 &lt; 0, AF336 + AG335, 0)</f>
        <v>0</v>
      </c>
      <c r="AH336" s="1">
        <v>-1520677.974470688</v>
      </c>
      <c r="AI336" s="1">
        <f>IF(AH336 + AI335 &lt; 0, AH336 + AI335, 0)</f>
        <v>0</v>
      </c>
      <c r="AJ336" s="1">
        <v>-767138.1682404623</v>
      </c>
      <c r="AK336" s="1">
        <f>IF(AJ336 + AK335 &lt; 0, AJ336 + AK335, 0)</f>
        <v>0</v>
      </c>
    </row>
    <row r="337" spans="1:37" s="1" customFormat="1">
      <c r="A337" s="3">
        <v>45791</v>
      </c>
      <c r="B337" s="2" t="s">
        <v>24</v>
      </c>
      <c r="C337" s="2">
        <v>12</v>
      </c>
      <c r="D337" s="2">
        <v>12</v>
      </c>
      <c r="E337" s="2">
        <v>12</v>
      </c>
      <c r="F337" s="2">
        <v>2</v>
      </c>
      <c r="G337" s="2">
        <v>5</v>
      </c>
      <c r="H337" s="1">
        <v>0</v>
      </c>
      <c r="I337" s="1">
        <f>IF(H337 + I336 &lt; 0, H337 + I336, 0)</f>
        <v>0</v>
      </c>
      <c r="J337" s="1">
        <v>0</v>
      </c>
      <c r="K337" s="1">
        <f>IF(J337 + K336 &lt; 0, J337 + K336, 0)</f>
        <v>0</v>
      </c>
      <c r="L337" s="1">
        <v>0</v>
      </c>
      <c r="M337" s="1">
        <f>IF(L337 + M336 &lt; 0, L337 + M336, 0)</f>
        <v>0</v>
      </c>
      <c r="N337" s="1">
        <v>0</v>
      </c>
      <c r="O337" s="1">
        <f>IF(N337 + O336 &lt; 0, N337 + O336, 0)</f>
        <v>0</v>
      </c>
      <c r="P337" s="1">
        <v>0</v>
      </c>
      <c r="Q337" s="1">
        <f>IF(P337 + Q336 &lt; 0, P337 + Q336, 0)</f>
        <v>0</v>
      </c>
      <c r="R337" s="1">
        <v>0</v>
      </c>
      <c r="S337" s="1">
        <f>IF(R337 + S336 &lt; 0, R337 + S336, 0)</f>
        <v>0</v>
      </c>
      <c r="T337" s="1">
        <v>0</v>
      </c>
      <c r="U337" s="1">
        <f>IF(T337 + U336 &lt; 0, T337 + U336, 0)</f>
        <v>0</v>
      </c>
      <c r="V337" s="1">
        <v>0</v>
      </c>
      <c r="W337" s="1">
        <f>IF(V337 + W336 &lt; 0, V337 + W336, 0)</f>
        <v>0</v>
      </c>
      <c r="X337" s="1">
        <v>0</v>
      </c>
      <c r="Y337" s="1">
        <f>IF(X337 + Y336 &lt; 0, X337 + Y336, 0)</f>
        <v>0</v>
      </c>
      <c r="Z337" s="1">
        <v>0</v>
      </c>
      <c r="AA337" s="1">
        <f>IF(Z337 + AA336 &lt; 0, Z337 + AA336, 0)</f>
        <v>0</v>
      </c>
      <c r="AB337" s="1">
        <v>0</v>
      </c>
      <c r="AC337" s="1">
        <f>IF(AB337 + AC336 &lt; 0, AB337 + AC336, 0)</f>
        <v>0</v>
      </c>
      <c r="AD337" s="1">
        <v>0</v>
      </c>
      <c r="AE337" s="1">
        <f>IF(AD337 + AE336 &lt; 0, AD337 + AE336, 0)</f>
        <v>0</v>
      </c>
      <c r="AF337" s="1">
        <v>0</v>
      </c>
      <c r="AG337" s="1">
        <f>IF(AF337 + AG336 &lt; 0, AF337 + AG336, 0)</f>
        <v>0</v>
      </c>
      <c r="AH337" s="1">
        <v>0</v>
      </c>
      <c r="AI337" s="1">
        <f>IF(AH337 + AI336 &lt; 0, AH337 + AI336, 0)</f>
        <v>0</v>
      </c>
      <c r="AJ337" s="1">
        <v>0</v>
      </c>
      <c r="AK337" s="1">
        <f>IF(AJ337 + AK336 &lt; 0, AJ337 + AK336, 0)</f>
        <v>0</v>
      </c>
    </row>
    <row r="338" spans="1:37" s="1" customFormat="1">
      <c r="A338" s="3">
        <v>45792</v>
      </c>
      <c r="B338" s="2" t="s">
        <v>25</v>
      </c>
      <c r="C338" s="2">
        <v>11</v>
      </c>
      <c r="D338" s="2">
        <v>11</v>
      </c>
      <c r="E338" s="2">
        <v>11</v>
      </c>
      <c r="F338" s="2">
        <v>1</v>
      </c>
      <c r="G338" s="2">
        <v>4</v>
      </c>
      <c r="H338" s="1">
        <v>0</v>
      </c>
      <c r="I338" s="1">
        <f>IF(H338 + I337 &lt; 0, H338 + I337, 0)</f>
        <v>0</v>
      </c>
      <c r="J338" s="1">
        <v>0</v>
      </c>
      <c r="K338" s="1">
        <f>IF(J338 + K337 &lt; 0, J338 + K337, 0)</f>
        <v>0</v>
      </c>
      <c r="L338" s="1">
        <v>0</v>
      </c>
      <c r="M338" s="1">
        <f>IF(L338 + M337 &lt; 0, L338 + M337, 0)</f>
        <v>0</v>
      </c>
      <c r="N338" s="1">
        <v>0</v>
      </c>
      <c r="O338" s="1">
        <f>IF(N338 + O337 &lt; 0, N338 + O337, 0)</f>
        <v>0</v>
      </c>
      <c r="P338" s="1">
        <v>0</v>
      </c>
      <c r="Q338" s="1">
        <f>IF(P338 + Q337 &lt; 0, P338 + Q337, 0)</f>
        <v>0</v>
      </c>
      <c r="R338" s="1">
        <v>0</v>
      </c>
      <c r="S338" s="1">
        <f>IF(R338 + S337 &lt; 0, R338 + S337, 0)</f>
        <v>0</v>
      </c>
      <c r="T338" s="1">
        <v>0</v>
      </c>
      <c r="U338" s="1">
        <f>IF(T338 + U337 &lt; 0, T338 + U337, 0)</f>
        <v>0</v>
      </c>
      <c r="V338" s="1">
        <v>0</v>
      </c>
      <c r="W338" s="1">
        <f>IF(V338 + W337 &lt; 0, V338 + W337, 0)</f>
        <v>0</v>
      </c>
      <c r="X338" s="1">
        <v>0</v>
      </c>
      <c r="Y338" s="1">
        <f>IF(X338 + Y337 &lt; 0, X338 + Y337, 0)</f>
        <v>0</v>
      </c>
      <c r="Z338" s="1">
        <v>-305029.9998693139</v>
      </c>
      <c r="AA338" s="1">
        <f>IF(Z338 + AA337 &lt; 0, Z338 + AA337, 0)</f>
        <v>0</v>
      </c>
      <c r="AB338" s="1">
        <v>-268.3994915072752</v>
      </c>
      <c r="AC338" s="1">
        <f>IF(AB338 + AC337 &lt; 0, AB338 + AC337, 0)</f>
        <v>0</v>
      </c>
      <c r="AD338" s="1">
        <v>233479.4429807246</v>
      </c>
      <c r="AE338" s="1">
        <f>IF(AD338 + AE337 &lt; 0, AD338 + AE337, 0)</f>
        <v>0</v>
      </c>
      <c r="AF338" s="1">
        <v>0</v>
      </c>
      <c r="AG338" s="1">
        <f>IF(AF338 + AG337 &lt; 0, AF338 + AG337, 0)</f>
        <v>0</v>
      </c>
      <c r="AH338" s="1">
        <v>0</v>
      </c>
      <c r="AI338" s="1">
        <f>IF(AH338 + AI337 &lt; 0, AH338 + AI337, 0)</f>
        <v>0</v>
      </c>
      <c r="AJ338" s="1">
        <v>0</v>
      </c>
      <c r="AK338" s="1">
        <f>IF(AJ338 + AK337 &lt; 0, AJ338 + AK337, 0)</f>
        <v>0</v>
      </c>
    </row>
    <row r="339" spans="1:37" s="1" customFormat="1">
      <c r="A339" s="3">
        <v>45793</v>
      </c>
      <c r="B339" s="2" t="s">
        <v>26</v>
      </c>
      <c r="C339" s="2">
        <v>10</v>
      </c>
      <c r="D339" s="2">
        <v>10</v>
      </c>
      <c r="E339" s="2">
        <v>10</v>
      </c>
      <c r="F339" s="2">
        <v>5</v>
      </c>
      <c r="G339" s="2">
        <v>3</v>
      </c>
      <c r="H339" s="1">
        <v>0</v>
      </c>
      <c r="I339" s="1">
        <f>IF(H339 + I338 &lt; 0, H339 + I338, 0)</f>
        <v>0</v>
      </c>
      <c r="J339" s="1">
        <v>0</v>
      </c>
      <c r="K339" s="1">
        <f>IF(J339 + K338 &lt; 0, J339 + K338, 0)</f>
        <v>0</v>
      </c>
      <c r="L339" s="1">
        <v>0</v>
      </c>
      <c r="M339" s="1">
        <f>IF(L339 + M338 &lt; 0, L339 + M338, 0)</f>
        <v>0</v>
      </c>
      <c r="N339" s="1">
        <v>0</v>
      </c>
      <c r="O339" s="1">
        <f>IF(N339 + O338 &lt; 0, N339 + O338, 0)</f>
        <v>0</v>
      </c>
      <c r="P339" s="1">
        <v>0</v>
      </c>
      <c r="Q339" s="1">
        <f>IF(P339 + Q338 &lt; 0, P339 + Q338, 0)</f>
        <v>0</v>
      </c>
      <c r="R339" s="1">
        <v>0</v>
      </c>
      <c r="S339" s="1">
        <f>IF(R339 + S338 &lt; 0, R339 + S338, 0)</f>
        <v>0</v>
      </c>
      <c r="T339" s="1">
        <v>0</v>
      </c>
      <c r="U339" s="1">
        <f>IF(T339 + U338 &lt; 0, T339 + U338, 0)</f>
        <v>0</v>
      </c>
      <c r="V339" s="1">
        <v>0</v>
      </c>
      <c r="W339" s="1">
        <f>IF(V339 + W338 &lt; 0, V339 + W338, 0)</f>
        <v>0</v>
      </c>
      <c r="X339" s="1">
        <v>0</v>
      </c>
      <c r="Y339" s="1">
        <f>IF(X339 + Y338 &lt; 0, X339 + Y338, 0)</f>
        <v>0</v>
      </c>
      <c r="Z339" s="1">
        <v>0</v>
      </c>
      <c r="AA339" s="1">
        <f>IF(Z339 + AA338 &lt; 0, Z339 + AA338, 0)</f>
        <v>0</v>
      </c>
      <c r="AB339" s="1">
        <v>0</v>
      </c>
      <c r="AC339" s="1">
        <f>IF(AB339 + AC338 &lt; 0, AB339 + AC338, 0)</f>
        <v>0</v>
      </c>
      <c r="AD339" s="1">
        <v>0</v>
      </c>
      <c r="AE339" s="1">
        <f>IF(AD339 + AE338 &lt; 0, AD339 + AE338, 0)</f>
        <v>0</v>
      </c>
      <c r="AF339" s="1">
        <v>0</v>
      </c>
      <c r="AG339" s="1">
        <f>IF(AF339 + AG338 &lt; 0, AF339 + AG338, 0)</f>
        <v>0</v>
      </c>
      <c r="AH339" s="1">
        <v>0</v>
      </c>
      <c r="AI339" s="1">
        <f>IF(AH339 + AI338 &lt; 0, AH339 + AI338, 0)</f>
        <v>0</v>
      </c>
      <c r="AJ339" s="1">
        <v>0</v>
      </c>
      <c r="AK339" s="1">
        <f>IF(AJ339 + AK338 &lt; 0, AJ339 + AK338, 0)</f>
        <v>0</v>
      </c>
    </row>
    <row r="340" spans="1:37" s="1" customFormat="1">
      <c r="A340" s="3">
        <v>45796</v>
      </c>
      <c r="B340" s="2" t="s">
        <v>22</v>
      </c>
      <c r="C340" s="2">
        <v>9</v>
      </c>
      <c r="D340" s="2">
        <v>9</v>
      </c>
      <c r="E340" s="2">
        <v>9</v>
      </c>
      <c r="F340" s="2">
        <v>4</v>
      </c>
      <c r="G340" s="2">
        <v>2</v>
      </c>
      <c r="H340" s="1">
        <v>0</v>
      </c>
      <c r="I340" s="1">
        <f>IF(H340 + I339 &lt; 0, H340 + I339, 0)</f>
        <v>0</v>
      </c>
      <c r="J340" s="1">
        <v>0</v>
      </c>
      <c r="K340" s="1">
        <f>IF(J340 + K339 &lt; 0, J340 + K339, 0)</f>
        <v>0</v>
      </c>
      <c r="L340" s="1">
        <v>0</v>
      </c>
      <c r="M340" s="1">
        <f>IF(L340 + M339 &lt; 0, L340 + M339, 0)</f>
        <v>0</v>
      </c>
      <c r="N340" s="1">
        <v>0</v>
      </c>
      <c r="O340" s="1">
        <f>IF(N340 + O339 &lt; 0, N340 + O339, 0)</f>
        <v>0</v>
      </c>
      <c r="P340" s="1">
        <v>0</v>
      </c>
      <c r="Q340" s="1">
        <f>IF(P340 + Q339 &lt; 0, P340 + Q339, 0)</f>
        <v>0</v>
      </c>
      <c r="R340" s="1">
        <v>0</v>
      </c>
      <c r="S340" s="1">
        <f>IF(R340 + S339 &lt; 0, R340 + S339, 0)</f>
        <v>0</v>
      </c>
      <c r="T340" s="1">
        <v>0</v>
      </c>
      <c r="U340" s="1">
        <f>IF(T340 + U339 &lt; 0, T340 + U339, 0)</f>
        <v>0</v>
      </c>
      <c r="V340" s="1">
        <v>0</v>
      </c>
      <c r="W340" s="1">
        <f>IF(V340 + W339 &lt; 0, V340 + W339, 0)</f>
        <v>0</v>
      </c>
      <c r="X340" s="1">
        <v>0</v>
      </c>
      <c r="Y340" s="1">
        <f>IF(X340 + Y339 &lt; 0, X340 + Y339, 0)</f>
        <v>0</v>
      </c>
      <c r="Z340" s="1">
        <v>0</v>
      </c>
      <c r="AA340" s="1">
        <f>IF(Z340 + AA339 &lt; 0, Z340 + AA339, 0)</f>
        <v>0</v>
      </c>
      <c r="AB340" s="1">
        <v>0</v>
      </c>
      <c r="AC340" s="1">
        <f>IF(AB340 + AC339 &lt; 0, AB340 + AC339, 0)</f>
        <v>0</v>
      </c>
      <c r="AD340" s="1">
        <v>0</v>
      </c>
      <c r="AE340" s="1">
        <f>IF(AD340 + AE339 &lt; 0, AD340 + AE339, 0)</f>
        <v>0</v>
      </c>
      <c r="AF340" s="1">
        <v>0</v>
      </c>
      <c r="AG340" s="1">
        <f>IF(AF340 + AG339 &lt; 0, AF340 + AG339, 0)</f>
        <v>0</v>
      </c>
      <c r="AH340" s="1">
        <v>0</v>
      </c>
      <c r="AI340" s="1">
        <f>IF(AH340 + AI339 &lt; 0, AH340 + AI339, 0)</f>
        <v>0</v>
      </c>
      <c r="AJ340" s="1">
        <v>0</v>
      </c>
      <c r="AK340" s="1">
        <f>IF(AJ340 + AK339 &lt; 0, AJ340 + AK339, 0)</f>
        <v>0</v>
      </c>
    </row>
    <row r="341" spans="1:37" s="1" customFormat="1">
      <c r="A341" s="3">
        <v>45797</v>
      </c>
      <c r="B341" s="2" t="s">
        <v>23</v>
      </c>
      <c r="C341" s="2">
        <v>8</v>
      </c>
      <c r="D341" s="2">
        <v>8</v>
      </c>
      <c r="E341" s="2">
        <v>8</v>
      </c>
      <c r="F341" s="2">
        <v>3</v>
      </c>
      <c r="G341" s="2">
        <v>1</v>
      </c>
      <c r="H341" s="1">
        <v>0</v>
      </c>
      <c r="I341" s="1">
        <f>IF(H341 + I340 &lt; 0, H341 + I340, 0)</f>
        <v>0</v>
      </c>
      <c r="J341" s="1">
        <v>0</v>
      </c>
      <c r="K341" s="1">
        <f>IF(J341 + K340 &lt; 0, J341 + K340, 0)</f>
        <v>0</v>
      </c>
      <c r="L341" s="1">
        <v>0</v>
      </c>
      <c r="M341" s="1">
        <f>IF(L341 + M340 &lt; 0, L341 + M340, 0)</f>
        <v>0</v>
      </c>
      <c r="N341" s="1">
        <v>0</v>
      </c>
      <c r="O341" s="1">
        <f>IF(N341 + O340 &lt; 0, N341 + O340, 0)</f>
        <v>0</v>
      </c>
      <c r="P341" s="1">
        <v>0</v>
      </c>
      <c r="Q341" s="1">
        <f>IF(P341 + Q340 &lt; 0, P341 + Q340, 0)</f>
        <v>0</v>
      </c>
      <c r="R341" s="1">
        <v>0</v>
      </c>
      <c r="S341" s="1">
        <f>IF(R341 + S340 &lt; 0, R341 + S340, 0)</f>
        <v>0</v>
      </c>
      <c r="T341" s="1">
        <v>0</v>
      </c>
      <c r="U341" s="1">
        <f>IF(T341 + U340 &lt; 0, T341 + U340, 0)</f>
        <v>0</v>
      </c>
      <c r="V341" s="1">
        <v>0</v>
      </c>
      <c r="W341" s="1">
        <f>IF(V341 + W340 &lt; 0, V341 + W340, 0)</f>
        <v>0</v>
      </c>
      <c r="X341" s="1">
        <v>0</v>
      </c>
      <c r="Y341" s="1">
        <f>IF(X341 + Y340 &lt; 0, X341 + Y340, 0)</f>
        <v>0</v>
      </c>
      <c r="Z341" s="1">
        <v>0</v>
      </c>
      <c r="AA341" s="1">
        <f>IF(Z341 + AA340 &lt; 0, Z341 + AA340, 0)</f>
        <v>0</v>
      </c>
      <c r="AB341" s="1">
        <v>0</v>
      </c>
      <c r="AC341" s="1">
        <f>IF(AB341 + AC340 &lt; 0, AB341 + AC340, 0)</f>
        <v>0</v>
      </c>
      <c r="AD341" s="1">
        <v>0</v>
      </c>
      <c r="AE341" s="1">
        <f>IF(AD341 + AE340 &lt; 0, AD341 + AE340, 0)</f>
        <v>0</v>
      </c>
      <c r="AF341" s="1">
        <v>362762.0984541198</v>
      </c>
      <c r="AG341" s="1">
        <f>IF(AF341 + AG340 &lt; 0, AF341 + AG340, 0)</f>
        <v>0</v>
      </c>
      <c r="AH341" s="1">
        <v>391731.4649449047</v>
      </c>
      <c r="AI341" s="1">
        <f>IF(AH341 + AI340 &lt; 0, AH341 + AI340, 0)</f>
        <v>0</v>
      </c>
      <c r="AJ341" s="1">
        <v>480241.8913378298</v>
      </c>
      <c r="AK341" s="1">
        <f>IF(AJ341 + AK340 &lt; 0, AJ341 + AK340, 0)</f>
        <v>0</v>
      </c>
    </row>
    <row r="342" spans="1:37" s="1" customFormat="1">
      <c r="A342" s="3">
        <v>45798</v>
      </c>
      <c r="B342" s="2" t="s">
        <v>24</v>
      </c>
      <c r="C342" s="2">
        <v>7</v>
      </c>
      <c r="D342" s="2">
        <v>7</v>
      </c>
      <c r="E342" s="2">
        <v>7</v>
      </c>
      <c r="F342" s="2">
        <v>2</v>
      </c>
      <c r="G342" s="2">
        <v>5</v>
      </c>
      <c r="H342" s="1">
        <v>0</v>
      </c>
      <c r="I342" s="1">
        <f>IF(H342 + I341 &lt; 0, H342 + I341, 0)</f>
        <v>0</v>
      </c>
      <c r="J342" s="1">
        <v>0</v>
      </c>
      <c r="K342" s="1">
        <f>IF(J342 + K341 &lt; 0, J342 + K341, 0)</f>
        <v>0</v>
      </c>
      <c r="L342" s="1">
        <v>0</v>
      </c>
      <c r="M342" s="1">
        <f>IF(L342 + M341 &lt; 0, L342 + M341, 0)</f>
        <v>0</v>
      </c>
      <c r="N342" s="1">
        <v>0</v>
      </c>
      <c r="O342" s="1">
        <f>IF(N342 + O341 &lt; 0, N342 + O341, 0)</f>
        <v>0</v>
      </c>
      <c r="P342" s="1">
        <v>0</v>
      </c>
      <c r="Q342" s="1">
        <f>IF(P342 + Q341 &lt; 0, P342 + Q341, 0)</f>
        <v>0</v>
      </c>
      <c r="R342" s="1">
        <v>0</v>
      </c>
      <c r="S342" s="1">
        <f>IF(R342 + S341 &lt; 0, R342 + S341, 0)</f>
        <v>0</v>
      </c>
      <c r="T342" s="1">
        <v>0</v>
      </c>
      <c r="U342" s="1">
        <f>IF(T342 + U341 &lt; 0, T342 + U341, 0)</f>
        <v>0</v>
      </c>
      <c r="V342" s="1">
        <v>0</v>
      </c>
      <c r="W342" s="1">
        <f>IF(V342 + W341 &lt; 0, V342 + W341, 0)</f>
        <v>0</v>
      </c>
      <c r="X342" s="1">
        <v>0</v>
      </c>
      <c r="Y342" s="1">
        <f>IF(X342 + Y341 &lt; 0, X342 + Y341, 0)</f>
        <v>0</v>
      </c>
      <c r="Z342" s="1">
        <v>0</v>
      </c>
      <c r="AA342" s="1">
        <f>IF(Z342 + AA341 &lt; 0, Z342 + AA341, 0)</f>
        <v>0</v>
      </c>
      <c r="AB342" s="1">
        <v>0</v>
      </c>
      <c r="AC342" s="1">
        <f>IF(AB342 + AC341 &lt; 0, AB342 + AC341, 0)</f>
        <v>0</v>
      </c>
      <c r="AD342" s="1">
        <v>0</v>
      </c>
      <c r="AE342" s="1">
        <f>IF(AD342 + AE341 &lt; 0, AD342 + AE341, 0)</f>
        <v>0</v>
      </c>
      <c r="AF342" s="1">
        <v>0</v>
      </c>
      <c r="AG342" s="1">
        <f>IF(AF342 + AG341 &lt; 0, AF342 + AG341, 0)</f>
        <v>0</v>
      </c>
      <c r="AH342" s="1">
        <v>0</v>
      </c>
      <c r="AI342" s="1">
        <f>IF(AH342 + AI341 &lt; 0, AH342 + AI341, 0)</f>
        <v>0</v>
      </c>
      <c r="AJ342" s="1">
        <v>0</v>
      </c>
      <c r="AK342" s="1">
        <f>IF(AJ342 + AK341 &lt; 0, AJ342 + AK341, 0)</f>
        <v>0</v>
      </c>
    </row>
    <row r="343" spans="1:37" s="1" customFormat="1">
      <c r="A343" s="3">
        <v>45799</v>
      </c>
      <c r="B343" s="2" t="s">
        <v>25</v>
      </c>
      <c r="C343" s="2">
        <v>6</v>
      </c>
      <c r="D343" s="2">
        <v>6</v>
      </c>
      <c r="E343" s="2">
        <v>6</v>
      </c>
      <c r="F343" s="2">
        <v>1</v>
      </c>
      <c r="G343" s="2">
        <v>4</v>
      </c>
      <c r="H343" s="1">
        <v>0</v>
      </c>
      <c r="I343" s="1">
        <f>IF(H343 + I342 &lt; 0, H343 + I342, 0)</f>
        <v>0</v>
      </c>
      <c r="J343" s="1">
        <v>0</v>
      </c>
      <c r="K343" s="1">
        <f>IF(J343 + K342 &lt; 0, J343 + K342, 0)</f>
        <v>0</v>
      </c>
      <c r="L343" s="1">
        <v>0</v>
      </c>
      <c r="M343" s="1">
        <f>IF(L343 + M342 &lt; 0, L343 + M342, 0)</f>
        <v>0</v>
      </c>
      <c r="N343" s="1">
        <v>0</v>
      </c>
      <c r="O343" s="1">
        <f>IF(N343 + O342 &lt; 0, N343 + O342, 0)</f>
        <v>0</v>
      </c>
      <c r="P343" s="1">
        <v>0</v>
      </c>
      <c r="Q343" s="1">
        <f>IF(P343 + Q342 &lt; 0, P343 + Q342, 0)</f>
        <v>0</v>
      </c>
      <c r="R343" s="1">
        <v>0</v>
      </c>
      <c r="S343" s="1">
        <f>IF(R343 + S342 &lt; 0, R343 + S342, 0)</f>
        <v>0</v>
      </c>
      <c r="T343" s="1">
        <v>0</v>
      </c>
      <c r="U343" s="1">
        <f>IF(T343 + U342 &lt; 0, T343 + U342, 0)</f>
        <v>0</v>
      </c>
      <c r="V343" s="1">
        <v>0</v>
      </c>
      <c r="W343" s="1">
        <f>IF(V343 + W342 &lt; 0, V343 + W342, 0)</f>
        <v>0</v>
      </c>
      <c r="X343" s="1">
        <v>0</v>
      </c>
      <c r="Y343" s="1">
        <f>IF(X343 + Y342 &lt; 0, X343 + Y342, 0)</f>
        <v>0</v>
      </c>
      <c r="Z343" s="1">
        <v>-58410.63271277588</v>
      </c>
      <c r="AA343" s="1">
        <f>IF(Z343 + AA342 &lt; 0, Z343 + AA342, 0)</f>
        <v>0</v>
      </c>
      <c r="AB343" s="1">
        <v>-111066.4002738275</v>
      </c>
      <c r="AC343" s="1">
        <f>IF(AB343 + AC342 &lt; 0, AB343 + AC342, 0)</f>
        <v>0</v>
      </c>
      <c r="AD343" s="1">
        <v>-5782.51102536819</v>
      </c>
      <c r="AE343" s="1">
        <f>IF(AD343 + AE342 &lt; 0, AD343 + AE342, 0)</f>
        <v>0</v>
      </c>
      <c r="AF343" s="1">
        <v>0</v>
      </c>
      <c r="AG343" s="1">
        <f>IF(AF343 + AG342 &lt; 0, AF343 + AG342, 0)</f>
        <v>0</v>
      </c>
      <c r="AH343" s="1">
        <v>0</v>
      </c>
      <c r="AI343" s="1">
        <f>IF(AH343 + AI342 &lt; 0, AH343 + AI342, 0)</f>
        <v>0</v>
      </c>
      <c r="AJ343" s="1">
        <v>0</v>
      </c>
      <c r="AK343" s="1">
        <f>IF(AJ343 + AK342 &lt; 0, AJ343 + AK342, 0)</f>
        <v>0</v>
      </c>
    </row>
    <row r="344" spans="1:37" s="1" customFormat="1">
      <c r="A344" s="3">
        <v>45800</v>
      </c>
      <c r="B344" s="2" t="s">
        <v>26</v>
      </c>
      <c r="C344" s="2">
        <v>5</v>
      </c>
      <c r="D344" s="2">
        <v>5</v>
      </c>
      <c r="E344" s="2">
        <v>5</v>
      </c>
      <c r="F344" s="2">
        <v>5</v>
      </c>
      <c r="G344" s="2">
        <v>3</v>
      </c>
      <c r="H344" s="1">
        <v>0</v>
      </c>
      <c r="I344" s="1">
        <f>IF(H344 + I343 &lt; 0, H344 + I343, 0)</f>
        <v>0</v>
      </c>
      <c r="J344" s="1">
        <v>0</v>
      </c>
      <c r="K344" s="1">
        <f>IF(J344 + K343 &lt; 0, J344 + K343, 0)</f>
        <v>0</v>
      </c>
      <c r="L344" s="1">
        <v>0</v>
      </c>
      <c r="M344" s="1">
        <f>IF(L344 + M343 &lt; 0, L344 + M343, 0)</f>
        <v>0</v>
      </c>
      <c r="N344" s="1">
        <v>0</v>
      </c>
      <c r="O344" s="1">
        <f>IF(N344 + O343 &lt; 0, N344 + O343, 0)</f>
        <v>0</v>
      </c>
      <c r="P344" s="1">
        <v>0</v>
      </c>
      <c r="Q344" s="1">
        <f>IF(P344 + Q343 &lt; 0, P344 + Q343, 0)</f>
        <v>0</v>
      </c>
      <c r="R344" s="1">
        <v>0</v>
      </c>
      <c r="S344" s="1">
        <f>IF(R344 + S343 &lt; 0, R344 + S343, 0)</f>
        <v>0</v>
      </c>
      <c r="T344" s="1">
        <v>0</v>
      </c>
      <c r="U344" s="1">
        <f>IF(T344 + U343 &lt; 0, T344 + U343, 0)</f>
        <v>0</v>
      </c>
      <c r="V344" s="1">
        <v>0</v>
      </c>
      <c r="W344" s="1">
        <f>IF(V344 + W343 &lt; 0, V344 + W343, 0)</f>
        <v>0</v>
      </c>
      <c r="X344" s="1">
        <v>0</v>
      </c>
      <c r="Y344" s="1">
        <f>IF(X344 + Y343 &lt; 0, X344 + Y343, 0)</f>
        <v>0</v>
      </c>
      <c r="Z344" s="1">
        <v>0</v>
      </c>
      <c r="AA344" s="1">
        <f>IF(Z344 + AA343 &lt; 0, Z344 + AA343, 0)</f>
        <v>0</v>
      </c>
      <c r="AB344" s="1">
        <v>0</v>
      </c>
      <c r="AC344" s="1">
        <f>IF(AB344 + AC343 &lt; 0, AB344 + AC343, 0)</f>
        <v>0</v>
      </c>
      <c r="AD344" s="1">
        <v>0</v>
      </c>
      <c r="AE344" s="1">
        <f>IF(AD344 + AE343 &lt; 0, AD344 + AE343, 0)</f>
        <v>0</v>
      </c>
      <c r="AF344" s="1">
        <v>0</v>
      </c>
      <c r="AG344" s="1">
        <f>IF(AF344 + AG343 &lt; 0, AF344 + AG343, 0)</f>
        <v>0</v>
      </c>
      <c r="AH344" s="1">
        <v>0</v>
      </c>
      <c r="AI344" s="1">
        <f>IF(AH344 + AI343 &lt; 0, AH344 + AI343, 0)</f>
        <v>0</v>
      </c>
      <c r="AJ344" s="1">
        <v>0</v>
      </c>
      <c r="AK344" s="1">
        <f>IF(AJ344 + AK343 &lt; 0, AJ344 + AK343, 0)</f>
        <v>0</v>
      </c>
    </row>
    <row r="345" spans="1:37" s="1" customFormat="1">
      <c r="A345" s="3">
        <v>45803</v>
      </c>
      <c r="B345" s="2" t="s">
        <v>22</v>
      </c>
      <c r="C345" s="2">
        <v>4</v>
      </c>
      <c r="D345" s="2">
        <v>4</v>
      </c>
      <c r="E345" s="2">
        <v>4</v>
      </c>
      <c r="F345" s="2">
        <v>4</v>
      </c>
      <c r="G345" s="2">
        <v>2</v>
      </c>
      <c r="H345" s="1">
        <v>0</v>
      </c>
      <c r="I345" s="1">
        <f>IF(H345 + I344 &lt; 0, H345 + I344, 0)</f>
        <v>0</v>
      </c>
      <c r="J345" s="1">
        <v>0</v>
      </c>
      <c r="K345" s="1">
        <f>IF(J345 + K344 &lt; 0, J345 + K344, 0)</f>
        <v>0</v>
      </c>
      <c r="L345" s="1">
        <v>0</v>
      </c>
      <c r="M345" s="1">
        <f>IF(L345 + M344 &lt; 0, L345 + M344, 0)</f>
        <v>0</v>
      </c>
      <c r="N345" s="1">
        <v>0</v>
      </c>
      <c r="O345" s="1">
        <f>IF(N345 + O344 &lt; 0, N345 + O344, 0)</f>
        <v>0</v>
      </c>
      <c r="P345" s="1">
        <v>0</v>
      </c>
      <c r="Q345" s="1">
        <f>IF(P345 + Q344 &lt; 0, P345 + Q344, 0)</f>
        <v>0</v>
      </c>
      <c r="R345" s="1">
        <v>0</v>
      </c>
      <c r="S345" s="1">
        <f>IF(R345 + S344 &lt; 0, R345 + S344, 0)</f>
        <v>0</v>
      </c>
      <c r="T345" s="1">
        <v>0</v>
      </c>
      <c r="U345" s="1">
        <f>IF(T345 + U344 &lt; 0, T345 + U344, 0)</f>
        <v>0</v>
      </c>
      <c r="V345" s="1">
        <v>0</v>
      </c>
      <c r="W345" s="1">
        <f>IF(V345 + W344 &lt; 0, V345 + W344, 0)</f>
        <v>0</v>
      </c>
      <c r="X345" s="1">
        <v>0</v>
      </c>
      <c r="Y345" s="1">
        <f>IF(X345 + Y344 &lt; 0, X345 + Y344, 0)</f>
        <v>0</v>
      </c>
      <c r="Z345" s="1">
        <v>0</v>
      </c>
      <c r="AA345" s="1">
        <f>IF(Z345 + AA344 &lt; 0, Z345 + AA344, 0)</f>
        <v>0</v>
      </c>
      <c r="AB345" s="1">
        <v>0</v>
      </c>
      <c r="AC345" s="1">
        <f>IF(AB345 + AC344 &lt; 0, AB345 + AC344, 0)</f>
        <v>0</v>
      </c>
      <c r="AD345" s="1">
        <v>0</v>
      </c>
      <c r="AE345" s="1">
        <f>IF(AD345 + AE344 &lt; 0, AD345 + AE344, 0)</f>
        <v>0</v>
      </c>
      <c r="AF345" s="1">
        <v>0</v>
      </c>
      <c r="AG345" s="1">
        <f>IF(AF345 + AG344 &lt; 0, AF345 + AG344, 0)</f>
        <v>0</v>
      </c>
      <c r="AH345" s="1">
        <v>0</v>
      </c>
      <c r="AI345" s="1">
        <f>IF(AH345 + AI344 &lt; 0, AH345 + AI344, 0)</f>
        <v>0</v>
      </c>
      <c r="AJ345" s="1">
        <v>0</v>
      </c>
      <c r="AK345" s="1">
        <f>IF(AJ345 + AK344 &lt; 0, AJ345 + AK344, 0)</f>
        <v>0</v>
      </c>
    </row>
    <row r="346" spans="1:37" s="1" customFormat="1">
      <c r="A346" s="3">
        <v>45804</v>
      </c>
      <c r="B346" s="2" t="s">
        <v>23</v>
      </c>
      <c r="C346" s="2">
        <v>3</v>
      </c>
      <c r="D346" s="2">
        <v>3</v>
      </c>
      <c r="E346" s="2">
        <v>3</v>
      </c>
      <c r="F346" s="2">
        <v>3</v>
      </c>
      <c r="G346" s="2">
        <v>1</v>
      </c>
      <c r="H346" s="1">
        <v>0</v>
      </c>
      <c r="I346" s="1">
        <f>IF(H346 + I345 &lt; 0, H346 + I345, 0)</f>
        <v>0</v>
      </c>
      <c r="J346" s="1">
        <v>0</v>
      </c>
      <c r="K346" s="1">
        <f>IF(J346 + K345 &lt; 0, J346 + K345, 0)</f>
        <v>0</v>
      </c>
      <c r="L346" s="1">
        <v>0</v>
      </c>
      <c r="M346" s="1">
        <f>IF(L346 + M345 &lt; 0, L346 + M345, 0)</f>
        <v>0</v>
      </c>
      <c r="N346" s="1">
        <v>0</v>
      </c>
      <c r="O346" s="1">
        <f>IF(N346 + O345 &lt; 0, N346 + O345, 0)</f>
        <v>0</v>
      </c>
      <c r="P346" s="1">
        <v>0</v>
      </c>
      <c r="Q346" s="1">
        <f>IF(P346 + Q345 &lt; 0, P346 + Q345, 0)</f>
        <v>0</v>
      </c>
      <c r="R346" s="1">
        <v>0</v>
      </c>
      <c r="S346" s="1">
        <f>IF(R346 + S345 &lt; 0, R346 + S345, 0)</f>
        <v>0</v>
      </c>
      <c r="T346" s="1">
        <v>0</v>
      </c>
      <c r="U346" s="1">
        <f>IF(T346 + U345 &lt; 0, T346 + U345, 0)</f>
        <v>0</v>
      </c>
      <c r="V346" s="1">
        <v>0</v>
      </c>
      <c r="W346" s="1">
        <f>IF(V346 + W345 &lt; 0, V346 + W345, 0)</f>
        <v>0</v>
      </c>
      <c r="X346" s="1">
        <v>0</v>
      </c>
      <c r="Y346" s="1">
        <f>IF(X346 + Y345 &lt; 0, X346 + Y345, 0)</f>
        <v>0</v>
      </c>
      <c r="Z346" s="1">
        <v>0</v>
      </c>
      <c r="AA346" s="1">
        <f>IF(Z346 + AA345 &lt; 0, Z346 + AA345, 0)</f>
        <v>0</v>
      </c>
      <c r="AB346" s="1">
        <v>0</v>
      </c>
      <c r="AC346" s="1">
        <f>IF(AB346 + AC345 &lt; 0, AB346 + AC345, 0)</f>
        <v>0</v>
      </c>
      <c r="AD346" s="1">
        <v>0</v>
      </c>
      <c r="AE346" s="1">
        <f>IF(AD346 + AE345 &lt; 0, AD346 + AE345, 0)</f>
        <v>0</v>
      </c>
      <c r="AF346" s="1">
        <v>-5424.988204542707</v>
      </c>
      <c r="AG346" s="1">
        <f>IF(AF346 + AG345 &lt; 0, AF346 + AG345, 0)</f>
        <v>0</v>
      </c>
      <c r="AH346" s="1">
        <v>76681.45338593544</v>
      </c>
      <c r="AI346" s="1">
        <f>IF(AH346 + AI345 &lt; 0, AH346 + AI345, 0)</f>
        <v>0</v>
      </c>
      <c r="AJ346" s="1">
        <v>317339.1728295418</v>
      </c>
      <c r="AK346" s="1">
        <f>IF(AJ346 + AK345 &lt; 0, AJ346 + AK345, 0)</f>
        <v>0</v>
      </c>
    </row>
    <row r="347" spans="1:37" s="1" customFormat="1">
      <c r="A347" s="3">
        <v>45805</v>
      </c>
      <c r="B347" s="2" t="s">
        <v>24</v>
      </c>
      <c r="C347" s="2">
        <v>2</v>
      </c>
      <c r="D347" s="2">
        <v>2</v>
      </c>
      <c r="E347" s="2">
        <v>2</v>
      </c>
      <c r="F347" s="2">
        <v>2</v>
      </c>
      <c r="G347" s="2">
        <v>5</v>
      </c>
      <c r="H347" s="1">
        <v>0</v>
      </c>
      <c r="I347" s="1">
        <f>IF(H347 + I346 &lt; 0, H347 + I346, 0)</f>
        <v>0</v>
      </c>
      <c r="J347" s="1">
        <v>0</v>
      </c>
      <c r="K347" s="1">
        <f>IF(J347 + K346 &lt; 0, J347 + K346, 0)</f>
        <v>0</v>
      </c>
      <c r="L347" s="1">
        <v>0</v>
      </c>
      <c r="M347" s="1">
        <f>IF(L347 + M346 &lt; 0, L347 + M346, 0)</f>
        <v>0</v>
      </c>
      <c r="N347" s="1">
        <v>0</v>
      </c>
      <c r="O347" s="1">
        <f>IF(N347 + O346 &lt; 0, N347 + O346, 0)</f>
        <v>0</v>
      </c>
      <c r="P347" s="1">
        <v>0</v>
      </c>
      <c r="Q347" s="1">
        <f>IF(P347 + Q346 &lt; 0, P347 + Q346, 0)</f>
        <v>0</v>
      </c>
      <c r="R347" s="1">
        <v>0</v>
      </c>
      <c r="S347" s="1">
        <f>IF(R347 + S346 &lt; 0, R347 + S346, 0)</f>
        <v>0</v>
      </c>
      <c r="T347" s="1">
        <v>0</v>
      </c>
      <c r="U347" s="1">
        <f>IF(T347 + U346 &lt; 0, T347 + U346, 0)</f>
        <v>0</v>
      </c>
      <c r="V347" s="1">
        <v>0</v>
      </c>
      <c r="W347" s="1">
        <f>IF(V347 + W346 &lt; 0, V347 + W346, 0)</f>
        <v>0</v>
      </c>
      <c r="X347" s="1">
        <v>0</v>
      </c>
      <c r="Y347" s="1">
        <f>IF(X347 + Y346 &lt; 0, X347 + Y346, 0)</f>
        <v>0</v>
      </c>
      <c r="Z347" s="1">
        <v>0</v>
      </c>
      <c r="AA347" s="1">
        <f>IF(Z347 + AA346 &lt; 0, Z347 + AA346, 0)</f>
        <v>0</v>
      </c>
      <c r="AB347" s="1">
        <v>0</v>
      </c>
      <c r="AC347" s="1">
        <f>IF(AB347 + AC346 &lt; 0, AB347 + AC346, 0)</f>
        <v>0</v>
      </c>
      <c r="AD347" s="1">
        <v>0</v>
      </c>
      <c r="AE347" s="1">
        <f>IF(AD347 + AE346 &lt; 0, AD347 + AE346, 0)</f>
        <v>0</v>
      </c>
      <c r="AF347" s="1">
        <v>0</v>
      </c>
      <c r="AG347" s="1">
        <f>IF(AF347 + AG346 &lt; 0, AF347 + AG346, 0)</f>
        <v>0</v>
      </c>
      <c r="AH347" s="1">
        <v>0</v>
      </c>
      <c r="AI347" s="1">
        <f>IF(AH347 + AI346 &lt; 0, AH347 + AI346, 0)</f>
        <v>0</v>
      </c>
      <c r="AJ347" s="1">
        <v>0</v>
      </c>
      <c r="AK347" s="1">
        <f>IF(AJ347 + AK346 &lt; 0, AJ347 + AK346, 0)</f>
        <v>0</v>
      </c>
    </row>
    <row r="348" spans="1:37" s="1" customFormat="1">
      <c r="A348" s="3">
        <v>45806</v>
      </c>
      <c r="B348" s="2" t="s">
        <v>25</v>
      </c>
      <c r="C348" s="2">
        <v>1</v>
      </c>
      <c r="D348" s="2">
        <v>1</v>
      </c>
      <c r="E348" s="2">
        <v>1</v>
      </c>
      <c r="F348" s="2">
        <v>1</v>
      </c>
      <c r="G348" s="2">
        <v>4</v>
      </c>
      <c r="H348" s="1">
        <v>0</v>
      </c>
      <c r="I348" s="1">
        <f>IF(H348 + I347 &lt; 0, H348 + I347, 0)</f>
        <v>0</v>
      </c>
      <c r="J348" s="1">
        <v>0</v>
      </c>
      <c r="K348" s="1">
        <f>IF(J348 + K347 &lt; 0, J348 + K347, 0)</f>
        <v>0</v>
      </c>
      <c r="L348" s="1">
        <v>0</v>
      </c>
      <c r="M348" s="1">
        <f>IF(L348 + M347 &lt; 0, L348 + M347, 0)</f>
        <v>0</v>
      </c>
      <c r="N348" s="1">
        <v>0</v>
      </c>
      <c r="O348" s="1">
        <f>IF(N348 + O347 &lt; 0, N348 + O347, 0)</f>
        <v>0</v>
      </c>
      <c r="P348" s="1">
        <v>0</v>
      </c>
      <c r="Q348" s="1">
        <f>IF(P348 + Q347 &lt; 0, P348 + Q347, 0)</f>
        <v>0</v>
      </c>
      <c r="R348" s="1">
        <v>0</v>
      </c>
      <c r="S348" s="1">
        <f>IF(R348 + S347 &lt; 0, R348 + S347, 0)</f>
        <v>0</v>
      </c>
      <c r="T348" s="1">
        <v>0</v>
      </c>
      <c r="U348" s="1">
        <f>IF(T348 + U347 &lt; 0, T348 + U347, 0)</f>
        <v>0</v>
      </c>
      <c r="V348" s="1">
        <v>0</v>
      </c>
      <c r="W348" s="1">
        <f>IF(V348 + W347 &lt; 0, V348 + W347, 0)</f>
        <v>0</v>
      </c>
      <c r="X348" s="1">
        <v>0</v>
      </c>
      <c r="Y348" s="1">
        <f>IF(X348 + Y347 &lt; 0, X348 + Y347, 0)</f>
        <v>0</v>
      </c>
      <c r="Z348" s="1">
        <v>1116237.019332245</v>
      </c>
      <c r="AA348" s="1">
        <f>IF(Z348 + AA347 &lt; 0, Z348 + AA347, 0)</f>
        <v>0</v>
      </c>
      <c r="AB348" s="1">
        <v>989569.1092736839</v>
      </c>
      <c r="AC348" s="1">
        <f>IF(AB348 + AC347 &lt; 0, AB348 + AC347, 0)</f>
        <v>0</v>
      </c>
      <c r="AD348" s="1">
        <v>1052147.701967745</v>
      </c>
      <c r="AE348" s="1">
        <f>IF(AD348 + AE347 &lt; 0, AD348 + AE347, 0)</f>
        <v>0</v>
      </c>
      <c r="AF348" s="1">
        <v>0</v>
      </c>
      <c r="AG348" s="1">
        <f>IF(AF348 + AG347 &lt; 0, AF348 + AG347, 0)</f>
        <v>0</v>
      </c>
      <c r="AH348" s="1">
        <v>0</v>
      </c>
      <c r="AI348" s="1">
        <f>IF(AH348 + AI347 &lt; 0, AH348 + AI347, 0)</f>
        <v>0</v>
      </c>
      <c r="AJ348" s="1">
        <v>0</v>
      </c>
      <c r="AK348" s="1">
        <f>IF(AJ348 + AK347 &lt; 0, AJ348 + AK347, 0)</f>
        <v>0</v>
      </c>
    </row>
    <row r="349" spans="1:37" s="1" customFormat="1">
      <c r="A349" s="3">
        <v>45807</v>
      </c>
      <c r="B349" s="2" t="s">
        <v>26</v>
      </c>
      <c r="C349" s="2">
        <v>20</v>
      </c>
      <c r="D349" s="2">
        <v>20</v>
      </c>
      <c r="E349" s="2">
        <v>20</v>
      </c>
      <c r="F349" s="2">
        <v>5</v>
      </c>
      <c r="G349" s="2">
        <v>3</v>
      </c>
      <c r="H349" s="1">
        <v>0</v>
      </c>
      <c r="I349" s="1">
        <f>IF(H349 + I348 &lt; 0, H349 + I348, 0)</f>
        <v>0</v>
      </c>
      <c r="J349" s="1">
        <v>0</v>
      </c>
      <c r="K349" s="1">
        <f>IF(J349 + K348 &lt; 0, J349 + K348, 0)</f>
        <v>0</v>
      </c>
      <c r="L349" s="1">
        <v>0</v>
      </c>
      <c r="M349" s="1">
        <f>IF(L349 + M348 &lt; 0, L349 + M348, 0)</f>
        <v>0</v>
      </c>
      <c r="N349" s="1">
        <v>0</v>
      </c>
      <c r="O349" s="1">
        <f>IF(N349 + O348 &lt; 0, N349 + O348, 0)</f>
        <v>0</v>
      </c>
      <c r="P349" s="1">
        <v>0</v>
      </c>
      <c r="Q349" s="1">
        <f>IF(P349 + Q348 &lt; 0, P349 + Q348, 0)</f>
        <v>0</v>
      </c>
      <c r="R349" s="1">
        <v>0</v>
      </c>
      <c r="S349" s="1">
        <f>IF(R349 + S348 &lt; 0, R349 + S348, 0)</f>
        <v>0</v>
      </c>
      <c r="T349" s="1">
        <v>0</v>
      </c>
      <c r="U349" s="1">
        <f>IF(T349 + U348 &lt; 0, T349 + U348, 0)</f>
        <v>0</v>
      </c>
      <c r="V349" s="1">
        <v>0</v>
      </c>
      <c r="W349" s="1">
        <f>IF(V349 + W348 &lt; 0, V349 + W348, 0)</f>
        <v>0</v>
      </c>
      <c r="X349" s="1">
        <v>0</v>
      </c>
      <c r="Y349" s="1">
        <f>IF(X349 + Y348 &lt; 0, X349 + Y348, 0)</f>
        <v>0</v>
      </c>
      <c r="Z349" s="1">
        <v>0</v>
      </c>
      <c r="AA349" s="1">
        <f>IF(Z349 + AA348 &lt; 0, Z349 + AA348, 0)</f>
        <v>0</v>
      </c>
      <c r="AB349" s="1">
        <v>0</v>
      </c>
      <c r="AC349" s="1">
        <f>IF(AB349 + AC348 &lt; 0, AB349 + AC348, 0)</f>
        <v>0</v>
      </c>
      <c r="AD349" s="1">
        <v>0</v>
      </c>
      <c r="AE349" s="1">
        <f>IF(AD349 + AE348 &lt; 0, AD349 + AE348, 0)</f>
        <v>0</v>
      </c>
      <c r="AF349" s="1">
        <v>0</v>
      </c>
      <c r="AG349" s="1">
        <f>IF(AF349 + AG348 &lt; 0, AF349 + AG348, 0)</f>
        <v>0</v>
      </c>
      <c r="AH349" s="1">
        <v>0</v>
      </c>
      <c r="AI349" s="1">
        <f>IF(AH349 + AI348 &lt; 0, AH349 + AI348, 0)</f>
        <v>0</v>
      </c>
      <c r="AJ349" s="1">
        <v>0</v>
      </c>
      <c r="AK349" s="1">
        <f>IF(AJ349 + AK348 &lt; 0, AJ349 + AK348, 0)</f>
        <v>0</v>
      </c>
    </row>
    <row r="350" spans="1:37" s="1" customFormat="1">
      <c r="A350" s="3">
        <v>45810</v>
      </c>
      <c r="B350" s="2" t="s">
        <v>22</v>
      </c>
      <c r="C350" s="2">
        <v>19</v>
      </c>
      <c r="D350" s="2">
        <v>19</v>
      </c>
      <c r="E350" s="2">
        <v>19</v>
      </c>
      <c r="F350" s="2">
        <v>4</v>
      </c>
      <c r="G350" s="2">
        <v>2</v>
      </c>
      <c r="H350" s="1">
        <v>0</v>
      </c>
      <c r="I350" s="1">
        <f>IF(H350 + I349 &lt; 0, H350 + I349, 0)</f>
        <v>0</v>
      </c>
      <c r="J350" s="1">
        <v>0</v>
      </c>
      <c r="K350" s="1">
        <f>IF(J350 + K349 &lt; 0, J350 + K349, 0)</f>
        <v>0</v>
      </c>
      <c r="L350" s="1">
        <v>0</v>
      </c>
      <c r="M350" s="1">
        <f>IF(L350 + M349 &lt; 0, L350 + M349, 0)</f>
        <v>0</v>
      </c>
      <c r="N350" s="1">
        <v>0</v>
      </c>
      <c r="O350" s="1">
        <f>IF(N350 + O349 &lt; 0, N350 + O349, 0)</f>
        <v>0</v>
      </c>
      <c r="P350" s="1">
        <v>0</v>
      </c>
      <c r="Q350" s="1">
        <f>IF(P350 + Q349 &lt; 0, P350 + Q349, 0)</f>
        <v>0</v>
      </c>
      <c r="R350" s="1">
        <v>0</v>
      </c>
      <c r="S350" s="1">
        <f>IF(R350 + S349 &lt; 0, R350 + S349, 0)</f>
        <v>0</v>
      </c>
      <c r="T350" s="1">
        <v>0</v>
      </c>
      <c r="U350" s="1">
        <f>IF(T350 + U349 &lt; 0, T350 + U349, 0)</f>
        <v>0</v>
      </c>
      <c r="V350" s="1">
        <v>0</v>
      </c>
      <c r="W350" s="1">
        <f>IF(V350 + W349 &lt; 0, V350 + W349, 0)</f>
        <v>0</v>
      </c>
      <c r="X350" s="1">
        <v>0</v>
      </c>
      <c r="Y350" s="1">
        <f>IF(X350 + Y349 &lt; 0, X350 + Y349, 0)</f>
        <v>0</v>
      </c>
      <c r="Z350" s="1">
        <v>0</v>
      </c>
      <c r="AA350" s="1">
        <f>IF(Z350 + AA349 &lt; 0, Z350 + AA349, 0)</f>
        <v>0</v>
      </c>
      <c r="AB350" s="1">
        <v>0</v>
      </c>
      <c r="AC350" s="1">
        <f>IF(AB350 + AC349 &lt; 0, AB350 + AC349, 0)</f>
        <v>0</v>
      </c>
      <c r="AD350" s="1">
        <v>0</v>
      </c>
      <c r="AE350" s="1">
        <f>IF(AD350 + AE349 &lt; 0, AD350 + AE349, 0)</f>
        <v>0</v>
      </c>
      <c r="AF350" s="1">
        <v>0</v>
      </c>
      <c r="AG350" s="1">
        <f>IF(AF350 + AG349 &lt; 0, AF350 + AG349, 0)</f>
        <v>0</v>
      </c>
      <c r="AH350" s="1">
        <v>0</v>
      </c>
      <c r="AI350" s="1">
        <f>IF(AH350 + AI349 &lt; 0, AH350 + AI349, 0)</f>
        <v>0</v>
      </c>
      <c r="AJ350" s="1">
        <v>0</v>
      </c>
      <c r="AK350" s="1">
        <f>IF(AJ350 + AK349 &lt; 0, AJ350 + AK349, 0)</f>
        <v>0</v>
      </c>
    </row>
    <row r="351" spans="1:37" s="1" customFormat="1">
      <c r="A351" s="3">
        <v>45811</v>
      </c>
      <c r="B351" s="2" t="s">
        <v>23</v>
      </c>
      <c r="C351" s="2">
        <v>18</v>
      </c>
      <c r="D351" s="2">
        <v>18</v>
      </c>
      <c r="E351" s="2">
        <v>18</v>
      </c>
      <c r="F351" s="2">
        <v>3</v>
      </c>
      <c r="G351" s="2">
        <v>1</v>
      </c>
      <c r="H351" s="1">
        <v>0</v>
      </c>
      <c r="I351" s="1">
        <f>IF(H351 + I350 &lt; 0, H351 + I350, 0)</f>
        <v>0</v>
      </c>
      <c r="J351" s="1">
        <v>0</v>
      </c>
      <c r="K351" s="1">
        <f>IF(J351 + K350 &lt; 0, J351 + K350, 0)</f>
        <v>0</v>
      </c>
      <c r="L351" s="1">
        <v>0</v>
      </c>
      <c r="M351" s="1">
        <f>IF(L351 + M350 &lt; 0, L351 + M350, 0)</f>
        <v>0</v>
      </c>
      <c r="N351" s="1">
        <v>0</v>
      </c>
      <c r="O351" s="1">
        <f>IF(N351 + O350 &lt; 0, N351 + O350, 0)</f>
        <v>0</v>
      </c>
      <c r="P351" s="1">
        <v>0</v>
      </c>
      <c r="Q351" s="1">
        <f>IF(P351 + Q350 &lt; 0, P351 + Q350, 0)</f>
        <v>0</v>
      </c>
      <c r="R351" s="1">
        <v>0</v>
      </c>
      <c r="S351" s="1">
        <f>IF(R351 + S350 &lt; 0, R351 + S350, 0)</f>
        <v>0</v>
      </c>
      <c r="T351" s="1">
        <v>0</v>
      </c>
      <c r="U351" s="1">
        <f>IF(T351 + U350 &lt; 0, T351 + U350, 0)</f>
        <v>0</v>
      </c>
      <c r="V351" s="1">
        <v>0</v>
      </c>
      <c r="W351" s="1">
        <f>IF(V351 + W350 &lt; 0, V351 + W350, 0)</f>
        <v>0</v>
      </c>
      <c r="X351" s="1">
        <v>0</v>
      </c>
      <c r="Y351" s="1">
        <f>IF(X351 + Y350 &lt; 0, X351 + Y350, 0)</f>
        <v>0</v>
      </c>
      <c r="Z351" s="1">
        <v>0</v>
      </c>
      <c r="AA351" s="1">
        <f>IF(Z351 + AA350 &lt; 0, Z351 + AA350, 0)</f>
        <v>0</v>
      </c>
      <c r="AB351" s="1">
        <v>0</v>
      </c>
      <c r="AC351" s="1">
        <f>IF(AB351 + AC350 &lt; 0, AB351 + AC350, 0)</f>
        <v>0</v>
      </c>
      <c r="AD351" s="1">
        <v>0</v>
      </c>
      <c r="AE351" s="1">
        <f>IF(AD351 + AE350 &lt; 0, AD351 + AE350, 0)</f>
        <v>0</v>
      </c>
      <c r="AF351" s="1">
        <v>1111729.811229898</v>
      </c>
      <c r="AG351" s="1">
        <f>IF(AF351 + AG350 &lt; 0, AF351 + AG350, 0)</f>
        <v>0</v>
      </c>
      <c r="AH351" s="1">
        <v>512215.7378463544</v>
      </c>
      <c r="AI351" s="1">
        <f>IF(AH351 + AI350 &lt; 0, AH351 + AI350, 0)</f>
        <v>0</v>
      </c>
      <c r="AJ351" s="1">
        <v>-101426.008275973</v>
      </c>
      <c r="AK351" s="1">
        <f>IF(AJ351 + AK350 &lt; 0, AJ351 + AK350, 0)</f>
        <v>0</v>
      </c>
    </row>
    <row r="352" spans="1:37" s="1" customFormat="1">
      <c r="A352" s="3">
        <v>45812</v>
      </c>
      <c r="B352" s="2" t="s">
        <v>24</v>
      </c>
      <c r="C352" s="2">
        <v>17</v>
      </c>
      <c r="D352" s="2">
        <v>17</v>
      </c>
      <c r="E352" s="2">
        <v>17</v>
      </c>
      <c r="F352" s="2">
        <v>2</v>
      </c>
      <c r="G352" s="2">
        <v>5</v>
      </c>
      <c r="H352" s="1">
        <v>0</v>
      </c>
      <c r="I352" s="1">
        <f>IF(H352 + I351 &lt; 0, H352 + I351, 0)</f>
        <v>0</v>
      </c>
      <c r="J352" s="1">
        <v>0</v>
      </c>
      <c r="K352" s="1">
        <f>IF(J352 + K351 &lt; 0, J352 + K351, 0)</f>
        <v>0</v>
      </c>
      <c r="L352" s="1">
        <v>0</v>
      </c>
      <c r="M352" s="1">
        <f>IF(L352 + M351 &lt; 0, L352 + M351, 0)</f>
        <v>0</v>
      </c>
      <c r="N352" s="1">
        <v>0</v>
      </c>
      <c r="O352" s="1">
        <f>IF(N352 + O351 &lt; 0, N352 + O351, 0)</f>
        <v>0</v>
      </c>
      <c r="P352" s="1">
        <v>0</v>
      </c>
      <c r="Q352" s="1">
        <f>IF(P352 + Q351 &lt; 0, P352 + Q351, 0)</f>
        <v>0</v>
      </c>
      <c r="R352" s="1">
        <v>0</v>
      </c>
      <c r="S352" s="1">
        <f>IF(R352 + S351 &lt; 0, R352 + S351, 0)</f>
        <v>0</v>
      </c>
      <c r="T352" s="1">
        <v>0</v>
      </c>
      <c r="U352" s="1">
        <f>IF(T352 + U351 &lt; 0, T352 + U351, 0)</f>
        <v>0</v>
      </c>
      <c r="V352" s="1">
        <v>0</v>
      </c>
      <c r="W352" s="1">
        <f>IF(V352 + W351 &lt; 0, V352 + W351, 0)</f>
        <v>0</v>
      </c>
      <c r="X352" s="1">
        <v>0</v>
      </c>
      <c r="Y352" s="1">
        <f>IF(X352 + Y351 &lt; 0, X352 + Y351, 0)</f>
        <v>0</v>
      </c>
      <c r="Z352" s="1">
        <v>0</v>
      </c>
      <c r="AA352" s="1">
        <f>IF(Z352 + AA351 &lt; 0, Z352 + AA351, 0)</f>
        <v>0</v>
      </c>
      <c r="AB352" s="1">
        <v>0</v>
      </c>
      <c r="AC352" s="1">
        <f>IF(AB352 + AC351 &lt; 0, AB352 + AC351, 0)</f>
        <v>0</v>
      </c>
      <c r="AD352" s="1">
        <v>0</v>
      </c>
      <c r="AE352" s="1">
        <f>IF(AD352 + AE351 &lt; 0, AD352 + AE351, 0)</f>
        <v>0</v>
      </c>
      <c r="AF352" s="1">
        <v>0</v>
      </c>
      <c r="AG352" s="1">
        <f>IF(AF352 + AG351 &lt; 0, AF352 + AG351, 0)</f>
        <v>0</v>
      </c>
      <c r="AH352" s="1">
        <v>0</v>
      </c>
      <c r="AI352" s="1">
        <f>IF(AH352 + AI351 &lt; 0, AH352 + AI351, 0)</f>
        <v>0</v>
      </c>
      <c r="AJ352" s="1">
        <v>0</v>
      </c>
      <c r="AK352" s="1">
        <f>IF(AJ352 + AK351 &lt; 0, AJ352 + AK351, 0)</f>
        <v>0</v>
      </c>
    </row>
    <row r="353" spans="1:37" s="1" customFormat="1">
      <c r="A353" s="3">
        <v>45813</v>
      </c>
      <c r="B353" s="2" t="s">
        <v>25</v>
      </c>
      <c r="C353" s="2">
        <v>16</v>
      </c>
      <c r="D353" s="2">
        <v>16</v>
      </c>
      <c r="E353" s="2">
        <v>16</v>
      </c>
      <c r="F353" s="2">
        <v>1</v>
      </c>
      <c r="G353" s="2">
        <v>4</v>
      </c>
      <c r="H353" s="1">
        <v>0</v>
      </c>
      <c r="I353" s="1">
        <f>IF(H353 + I352 &lt; 0, H353 + I352, 0)</f>
        <v>0</v>
      </c>
      <c r="J353" s="1">
        <v>0</v>
      </c>
      <c r="K353" s="1">
        <f>IF(J353 + K352 &lt; 0, J353 + K352, 0)</f>
        <v>0</v>
      </c>
      <c r="L353" s="1">
        <v>0</v>
      </c>
      <c r="M353" s="1">
        <f>IF(L353 + M352 &lt; 0, L353 + M352, 0)</f>
        <v>0</v>
      </c>
      <c r="N353" s="1">
        <v>0</v>
      </c>
      <c r="O353" s="1">
        <f>IF(N353 + O352 &lt; 0, N353 + O352, 0)</f>
        <v>0</v>
      </c>
      <c r="P353" s="1">
        <v>0</v>
      </c>
      <c r="Q353" s="1">
        <f>IF(P353 + Q352 &lt; 0, P353 + Q352, 0)</f>
        <v>0</v>
      </c>
      <c r="R353" s="1">
        <v>0</v>
      </c>
      <c r="S353" s="1">
        <f>IF(R353 + S352 &lt; 0, R353 + S352, 0)</f>
        <v>0</v>
      </c>
      <c r="T353" s="1">
        <v>0</v>
      </c>
      <c r="U353" s="1">
        <f>IF(T353 + U352 &lt; 0, T353 + U352, 0)</f>
        <v>0</v>
      </c>
      <c r="V353" s="1">
        <v>0</v>
      </c>
      <c r="W353" s="1">
        <f>IF(V353 + W352 &lt; 0, V353 + W352, 0)</f>
        <v>0</v>
      </c>
      <c r="X353" s="1">
        <v>0</v>
      </c>
      <c r="Y353" s="1">
        <f>IF(X353 + Y352 &lt; 0, X353 + Y352, 0)</f>
        <v>0</v>
      </c>
      <c r="Z353" s="1">
        <v>935888.2762797656</v>
      </c>
      <c r="AA353" s="1">
        <f>IF(Z353 + AA352 &lt; 0, Z353 + AA352, 0)</f>
        <v>0</v>
      </c>
      <c r="AB353" s="1">
        <v>1245557.633611503</v>
      </c>
      <c r="AC353" s="1">
        <f>IF(AB353 + AC352 &lt; 0, AB353 + AC352, 0)</f>
        <v>0</v>
      </c>
      <c r="AD353" s="1">
        <v>1040211.754745639</v>
      </c>
      <c r="AE353" s="1">
        <f>IF(AD353 + AE352 &lt; 0, AD353 + AE352, 0)</f>
        <v>0</v>
      </c>
      <c r="AF353" s="1">
        <v>0</v>
      </c>
      <c r="AG353" s="1">
        <f>IF(AF353 + AG352 &lt; 0, AF353 + AG352, 0)</f>
        <v>0</v>
      </c>
      <c r="AH353" s="1">
        <v>0</v>
      </c>
      <c r="AI353" s="1">
        <f>IF(AH353 + AI352 &lt; 0, AH353 + AI352, 0)</f>
        <v>0</v>
      </c>
      <c r="AJ353" s="1">
        <v>0</v>
      </c>
      <c r="AK353" s="1">
        <f>IF(AJ353 + AK352 &lt; 0, AJ353 + AK352, 0)</f>
        <v>0</v>
      </c>
    </row>
    <row r="354" spans="1:37" s="1" customFormat="1">
      <c r="A354" s="3">
        <v>45814</v>
      </c>
      <c r="B354" s="2" t="s">
        <v>26</v>
      </c>
      <c r="C354" s="2">
        <v>15</v>
      </c>
      <c r="D354" s="2">
        <v>15</v>
      </c>
      <c r="E354" s="2">
        <v>15</v>
      </c>
      <c r="F354" s="2">
        <v>5</v>
      </c>
      <c r="G354" s="2">
        <v>3</v>
      </c>
      <c r="H354" s="1">
        <v>0</v>
      </c>
      <c r="I354" s="1">
        <f>IF(H354 + I353 &lt; 0, H354 + I353, 0)</f>
        <v>0</v>
      </c>
      <c r="J354" s="1">
        <v>0</v>
      </c>
      <c r="K354" s="1">
        <f>IF(J354 + K353 &lt; 0, J354 + K353, 0)</f>
        <v>0</v>
      </c>
      <c r="L354" s="1">
        <v>0</v>
      </c>
      <c r="M354" s="1">
        <f>IF(L354 + M353 &lt; 0, L354 + M353, 0)</f>
        <v>0</v>
      </c>
      <c r="N354" s="1">
        <v>0</v>
      </c>
      <c r="O354" s="1">
        <f>IF(N354 + O353 &lt; 0, N354 + O353, 0)</f>
        <v>0</v>
      </c>
      <c r="P354" s="1">
        <v>0</v>
      </c>
      <c r="Q354" s="1">
        <f>IF(P354 + Q353 &lt; 0, P354 + Q353, 0)</f>
        <v>0</v>
      </c>
      <c r="R354" s="1">
        <v>0</v>
      </c>
      <c r="S354" s="1">
        <f>IF(R354 + S353 &lt; 0, R354 + S353, 0)</f>
        <v>0</v>
      </c>
      <c r="T354" s="1">
        <v>0</v>
      </c>
      <c r="U354" s="1">
        <f>IF(T354 + U353 &lt; 0, T354 + U353, 0)</f>
        <v>0</v>
      </c>
      <c r="V354" s="1">
        <v>0</v>
      </c>
      <c r="W354" s="1">
        <f>IF(V354 + W353 &lt; 0, V354 + W353, 0)</f>
        <v>0</v>
      </c>
      <c r="X354" s="1">
        <v>0</v>
      </c>
      <c r="Y354" s="1">
        <f>IF(X354 + Y353 &lt; 0, X354 + Y353, 0)</f>
        <v>0</v>
      </c>
      <c r="Z354" s="1">
        <v>0</v>
      </c>
      <c r="AA354" s="1">
        <f>IF(Z354 + AA353 &lt; 0, Z354 + AA353, 0)</f>
        <v>0</v>
      </c>
      <c r="AB354" s="1">
        <v>0</v>
      </c>
      <c r="AC354" s="1">
        <f>IF(AB354 + AC353 &lt; 0, AB354 + AC353, 0)</f>
        <v>0</v>
      </c>
      <c r="AD354" s="1">
        <v>0</v>
      </c>
      <c r="AE354" s="1">
        <f>IF(AD354 + AE353 &lt; 0, AD354 + AE353, 0)</f>
        <v>0</v>
      </c>
      <c r="AF354" s="1">
        <v>0</v>
      </c>
      <c r="AG354" s="1">
        <f>IF(AF354 + AG353 &lt; 0, AF354 + AG353, 0)</f>
        <v>0</v>
      </c>
      <c r="AH354" s="1">
        <v>0</v>
      </c>
      <c r="AI354" s="1">
        <f>IF(AH354 + AI353 &lt; 0, AH354 + AI353, 0)</f>
        <v>0</v>
      </c>
      <c r="AJ354" s="1">
        <v>0</v>
      </c>
      <c r="AK354" s="1">
        <f>IF(AJ354 + AK353 &lt; 0, AJ354 + AK353, 0)</f>
        <v>0</v>
      </c>
    </row>
    <row r="355" spans="1:37" s="1" customFormat="1">
      <c r="A355" s="3">
        <v>45817</v>
      </c>
      <c r="B355" s="2" t="s">
        <v>22</v>
      </c>
      <c r="C355" s="2">
        <v>14</v>
      </c>
      <c r="D355" s="2">
        <v>14</v>
      </c>
      <c r="E355" s="2">
        <v>14</v>
      </c>
      <c r="F355" s="2">
        <v>4</v>
      </c>
      <c r="G355" s="2">
        <v>2</v>
      </c>
      <c r="H355" s="1">
        <v>0</v>
      </c>
      <c r="I355" s="1">
        <f>IF(H355 + I354 &lt; 0, H355 + I354, 0)</f>
        <v>0</v>
      </c>
      <c r="J355" s="1">
        <v>0</v>
      </c>
      <c r="K355" s="1">
        <f>IF(J355 + K354 &lt; 0, J355 + K354, 0)</f>
        <v>0</v>
      </c>
      <c r="L355" s="1">
        <v>0</v>
      </c>
      <c r="M355" s="1">
        <f>IF(L355 + M354 &lt; 0, L355 + M354, 0)</f>
        <v>0</v>
      </c>
      <c r="N355" s="1">
        <v>0</v>
      </c>
      <c r="O355" s="1">
        <f>IF(N355 + O354 &lt; 0, N355 + O354, 0)</f>
        <v>0</v>
      </c>
      <c r="P355" s="1">
        <v>0</v>
      </c>
      <c r="Q355" s="1">
        <f>IF(P355 + Q354 &lt; 0, P355 + Q354, 0)</f>
        <v>0</v>
      </c>
      <c r="R355" s="1">
        <v>0</v>
      </c>
      <c r="S355" s="1">
        <f>IF(R355 + S354 &lt; 0, R355 + S354, 0)</f>
        <v>0</v>
      </c>
      <c r="T355" s="1">
        <v>0</v>
      </c>
      <c r="U355" s="1">
        <f>IF(T355 + U354 &lt; 0, T355 + U354, 0)</f>
        <v>0</v>
      </c>
      <c r="V355" s="1">
        <v>0</v>
      </c>
      <c r="W355" s="1">
        <f>IF(V355 + W354 &lt; 0, V355 + W354, 0)</f>
        <v>0</v>
      </c>
      <c r="X355" s="1">
        <v>0</v>
      </c>
      <c r="Y355" s="1">
        <f>IF(X355 + Y354 &lt; 0, X355 + Y354, 0)</f>
        <v>0</v>
      </c>
      <c r="Z355" s="1">
        <v>0</v>
      </c>
      <c r="AA355" s="1">
        <f>IF(Z355 + AA354 &lt; 0, Z355 + AA354, 0)</f>
        <v>0</v>
      </c>
      <c r="AB355" s="1">
        <v>0</v>
      </c>
      <c r="AC355" s="1">
        <f>IF(AB355 + AC354 &lt; 0, AB355 + AC354, 0)</f>
        <v>0</v>
      </c>
      <c r="AD355" s="1">
        <v>0</v>
      </c>
      <c r="AE355" s="1">
        <f>IF(AD355 + AE354 &lt; 0, AD355 + AE354, 0)</f>
        <v>0</v>
      </c>
      <c r="AF355" s="1">
        <v>0</v>
      </c>
      <c r="AG355" s="1">
        <f>IF(AF355 + AG354 &lt; 0, AF355 + AG354, 0)</f>
        <v>0</v>
      </c>
      <c r="AH355" s="1">
        <v>0</v>
      </c>
      <c r="AI355" s="1">
        <f>IF(AH355 + AI354 &lt; 0, AH355 + AI354, 0)</f>
        <v>0</v>
      </c>
      <c r="AJ355" s="1">
        <v>0</v>
      </c>
      <c r="AK355" s="1">
        <f>IF(AJ355 + AK354 &lt; 0, AJ355 + AK354, 0)</f>
        <v>0</v>
      </c>
    </row>
    <row r="356" spans="1:37" s="1" customFormat="1">
      <c r="A356" s="3">
        <v>45818</v>
      </c>
      <c r="B356" s="2" t="s">
        <v>23</v>
      </c>
      <c r="C356" s="2">
        <v>13</v>
      </c>
      <c r="D356" s="2">
        <v>13</v>
      </c>
      <c r="E356" s="2">
        <v>13</v>
      </c>
      <c r="F356" s="2">
        <v>3</v>
      </c>
      <c r="G356" s="2">
        <v>1</v>
      </c>
      <c r="H356" s="1">
        <v>0</v>
      </c>
      <c r="I356" s="1">
        <f>IF(H356 + I355 &lt; 0, H356 + I355, 0)</f>
        <v>0</v>
      </c>
      <c r="J356" s="1">
        <v>0</v>
      </c>
      <c r="K356" s="1">
        <f>IF(J356 + K355 &lt; 0, J356 + K355, 0)</f>
        <v>0</v>
      </c>
      <c r="L356" s="1">
        <v>0</v>
      </c>
      <c r="M356" s="1">
        <f>IF(L356 + M355 &lt; 0, L356 + M355, 0)</f>
        <v>0</v>
      </c>
      <c r="N356" s="1">
        <v>0</v>
      </c>
      <c r="O356" s="1">
        <f>IF(N356 + O355 &lt; 0, N356 + O355, 0)</f>
        <v>0</v>
      </c>
      <c r="P356" s="1">
        <v>0</v>
      </c>
      <c r="Q356" s="1">
        <f>IF(P356 + Q355 &lt; 0, P356 + Q355, 0)</f>
        <v>0</v>
      </c>
      <c r="R356" s="1">
        <v>0</v>
      </c>
      <c r="S356" s="1">
        <f>IF(R356 + S355 &lt; 0, R356 + S355, 0)</f>
        <v>0</v>
      </c>
      <c r="T356" s="1">
        <v>0</v>
      </c>
      <c r="U356" s="1">
        <f>IF(T356 + U355 &lt; 0, T356 + U355, 0)</f>
        <v>0</v>
      </c>
      <c r="V356" s="1">
        <v>0</v>
      </c>
      <c r="W356" s="1">
        <f>IF(V356 + W355 &lt; 0, V356 + W355, 0)</f>
        <v>0</v>
      </c>
      <c r="X356" s="1">
        <v>0</v>
      </c>
      <c r="Y356" s="1">
        <f>IF(X356 + Y355 &lt; 0, X356 + Y355, 0)</f>
        <v>0</v>
      </c>
      <c r="Z356" s="1">
        <v>0</v>
      </c>
      <c r="AA356" s="1">
        <f>IF(Z356 + AA355 &lt; 0, Z356 + AA355, 0)</f>
        <v>0</v>
      </c>
      <c r="AB356" s="1">
        <v>0</v>
      </c>
      <c r="AC356" s="1">
        <f>IF(AB356 + AC355 &lt; 0, AB356 + AC355, 0)</f>
        <v>0</v>
      </c>
      <c r="AD356" s="1">
        <v>0</v>
      </c>
      <c r="AE356" s="1">
        <f>IF(AD356 + AE355 &lt; 0, AD356 + AE355, 0)</f>
        <v>0</v>
      </c>
      <c r="AF356" s="1">
        <v>764181.6419349107</v>
      </c>
      <c r="AG356" s="1">
        <f>IF(AF356 + AG355 &lt; 0, AF356 + AG355, 0)</f>
        <v>0</v>
      </c>
      <c r="AH356" s="1">
        <v>599706.113252119</v>
      </c>
      <c r="AI356" s="1">
        <f>IF(AH356 + AI355 &lt; 0, AH356 + AI355, 0)</f>
        <v>0</v>
      </c>
      <c r="AJ356" s="1">
        <v>640126.8357000521</v>
      </c>
      <c r="AK356" s="1">
        <f>IF(AJ356 + AK355 &lt; 0, AJ356 + AK355, 0)</f>
        <v>0</v>
      </c>
    </row>
    <row r="357" spans="1:37" s="1" customFormat="1">
      <c r="A357" s="3">
        <v>45819</v>
      </c>
      <c r="B357" s="2" t="s">
        <v>24</v>
      </c>
      <c r="C357" s="2">
        <v>12</v>
      </c>
      <c r="D357" s="2">
        <v>12</v>
      </c>
      <c r="E357" s="2">
        <v>12</v>
      </c>
      <c r="F357" s="2">
        <v>2</v>
      </c>
      <c r="G357" s="2">
        <v>5</v>
      </c>
      <c r="H357" s="1">
        <v>0</v>
      </c>
      <c r="I357" s="1">
        <f>IF(H357 + I356 &lt; 0, H357 + I356, 0)</f>
        <v>0</v>
      </c>
      <c r="J357" s="1">
        <v>0</v>
      </c>
      <c r="K357" s="1">
        <f>IF(J357 + K356 &lt; 0, J357 + K356, 0)</f>
        <v>0</v>
      </c>
      <c r="L357" s="1">
        <v>0</v>
      </c>
      <c r="M357" s="1">
        <f>IF(L357 + M356 &lt; 0, L357 + M356, 0)</f>
        <v>0</v>
      </c>
      <c r="N357" s="1">
        <v>0</v>
      </c>
      <c r="O357" s="1">
        <f>IF(N357 + O356 &lt; 0, N357 + O356, 0)</f>
        <v>0</v>
      </c>
      <c r="P357" s="1">
        <v>0</v>
      </c>
      <c r="Q357" s="1">
        <f>IF(P357 + Q356 &lt; 0, P357 + Q356, 0)</f>
        <v>0</v>
      </c>
      <c r="R357" s="1">
        <v>0</v>
      </c>
      <c r="S357" s="1">
        <f>IF(R357 + S356 &lt; 0, R357 + S356, 0)</f>
        <v>0</v>
      </c>
      <c r="T357" s="1">
        <v>0</v>
      </c>
      <c r="U357" s="1">
        <f>IF(T357 + U356 &lt; 0, T357 + U356, 0)</f>
        <v>0</v>
      </c>
      <c r="V357" s="1">
        <v>0</v>
      </c>
      <c r="W357" s="1">
        <f>IF(V357 + W356 &lt; 0, V357 + W356, 0)</f>
        <v>0</v>
      </c>
      <c r="X357" s="1">
        <v>0</v>
      </c>
      <c r="Y357" s="1">
        <f>IF(X357 + Y356 &lt; 0, X357 + Y356, 0)</f>
        <v>0</v>
      </c>
      <c r="Z357" s="1">
        <v>0</v>
      </c>
      <c r="AA357" s="1">
        <f>IF(Z357 + AA356 &lt; 0, Z357 + AA356, 0)</f>
        <v>0</v>
      </c>
      <c r="AB357" s="1">
        <v>0</v>
      </c>
      <c r="AC357" s="1">
        <f>IF(AB357 + AC356 &lt; 0, AB357 + AC356, 0)</f>
        <v>0</v>
      </c>
      <c r="AD357" s="1">
        <v>0</v>
      </c>
      <c r="AE357" s="1">
        <f>IF(AD357 + AE356 &lt; 0, AD357 + AE356, 0)</f>
        <v>0</v>
      </c>
      <c r="AF357" s="1">
        <v>0</v>
      </c>
      <c r="AG357" s="1">
        <f>IF(AF357 + AG356 &lt; 0, AF357 + AG356, 0)</f>
        <v>0</v>
      </c>
      <c r="AH357" s="1">
        <v>0</v>
      </c>
      <c r="AI357" s="1">
        <f>IF(AH357 + AI356 &lt; 0, AH357 + AI356, 0)</f>
        <v>0</v>
      </c>
      <c r="AJ357" s="1">
        <v>0</v>
      </c>
      <c r="AK357" s="1">
        <f>IF(AJ357 + AK356 &lt; 0, AJ357 + AK356, 0)</f>
        <v>0</v>
      </c>
    </row>
    <row r="358" spans="1:37" s="1" customFormat="1">
      <c r="A358" s="3">
        <v>45820</v>
      </c>
      <c r="B358" s="2" t="s">
        <v>25</v>
      </c>
      <c r="C358" s="2">
        <v>11</v>
      </c>
      <c r="D358" s="2">
        <v>11</v>
      </c>
      <c r="E358" s="2">
        <v>11</v>
      </c>
      <c r="F358" s="2">
        <v>1</v>
      </c>
      <c r="G358" s="2">
        <v>4</v>
      </c>
      <c r="H358" s="1">
        <v>0</v>
      </c>
      <c r="I358" s="1">
        <f>IF(H358 + I357 &lt; 0, H358 + I357, 0)</f>
        <v>0</v>
      </c>
      <c r="J358" s="1">
        <v>0</v>
      </c>
      <c r="K358" s="1">
        <f>IF(J358 + K357 &lt; 0, J358 + K357, 0)</f>
        <v>0</v>
      </c>
      <c r="L358" s="1">
        <v>0</v>
      </c>
      <c r="M358" s="1">
        <f>IF(L358 + M357 &lt; 0, L358 + M357, 0)</f>
        <v>0</v>
      </c>
      <c r="N358" s="1">
        <v>0</v>
      </c>
      <c r="O358" s="1">
        <f>IF(N358 + O357 &lt; 0, N358 + O357, 0)</f>
        <v>0</v>
      </c>
      <c r="P358" s="1">
        <v>0</v>
      </c>
      <c r="Q358" s="1">
        <f>IF(P358 + Q357 &lt; 0, P358 + Q357, 0)</f>
        <v>0</v>
      </c>
      <c r="R358" s="1">
        <v>0</v>
      </c>
      <c r="S358" s="1">
        <f>IF(R358 + S357 &lt; 0, R358 + S357, 0)</f>
        <v>0</v>
      </c>
      <c r="T358" s="1">
        <v>0</v>
      </c>
      <c r="U358" s="1">
        <f>IF(T358 + U357 &lt; 0, T358 + U357, 0)</f>
        <v>0</v>
      </c>
      <c r="V358" s="1">
        <v>0</v>
      </c>
      <c r="W358" s="1">
        <f>IF(V358 + W357 &lt; 0, V358 + W357, 0)</f>
        <v>0</v>
      </c>
      <c r="X358" s="1">
        <v>0</v>
      </c>
      <c r="Y358" s="1">
        <f>IF(X358 + Y357 &lt; 0, X358 + Y357, 0)</f>
        <v>0</v>
      </c>
      <c r="Z358" s="1">
        <v>470353.4831751825</v>
      </c>
      <c r="AA358" s="1">
        <f>IF(Z358 + AA357 &lt; 0, Z358 + AA357, 0)</f>
        <v>0</v>
      </c>
      <c r="AB358" s="1">
        <v>537660.9413553611</v>
      </c>
      <c r="AC358" s="1">
        <f>IF(AB358 + AC357 &lt; 0, AB358 + AC357, 0)</f>
        <v>0</v>
      </c>
      <c r="AD358" s="1">
        <v>75934.03266847279</v>
      </c>
      <c r="AE358" s="1">
        <f>IF(AD358 + AE357 &lt; 0, AD358 + AE357, 0)</f>
        <v>0</v>
      </c>
      <c r="AF358" s="1">
        <v>0</v>
      </c>
      <c r="AG358" s="1">
        <f>IF(AF358 + AG357 &lt; 0, AF358 + AG357, 0)</f>
        <v>0</v>
      </c>
      <c r="AH358" s="1">
        <v>0</v>
      </c>
      <c r="AI358" s="1">
        <f>IF(AH358 + AI357 &lt; 0, AH358 + AI357, 0)</f>
        <v>0</v>
      </c>
      <c r="AJ358" s="1">
        <v>0</v>
      </c>
      <c r="AK358" s="1">
        <f>IF(AJ358 + AK357 &lt; 0, AJ358 + AK357, 0)</f>
        <v>0</v>
      </c>
    </row>
    <row r="359" spans="1:37" s="1" customFormat="1">
      <c r="A359" s="3">
        <v>45821</v>
      </c>
      <c r="B359" s="2" t="s">
        <v>26</v>
      </c>
      <c r="C359" s="2">
        <v>10</v>
      </c>
      <c r="D359" s="2">
        <v>10</v>
      </c>
      <c r="E359" s="2">
        <v>10</v>
      </c>
      <c r="F359" s="2">
        <v>5</v>
      </c>
      <c r="G359" s="2">
        <v>3</v>
      </c>
      <c r="H359" s="1">
        <v>0</v>
      </c>
      <c r="I359" s="1">
        <f>IF(H359 + I358 &lt; 0, H359 + I358, 0)</f>
        <v>0</v>
      </c>
      <c r="J359" s="1">
        <v>0</v>
      </c>
      <c r="K359" s="1">
        <f>IF(J359 + K358 &lt; 0, J359 + K358, 0)</f>
        <v>0</v>
      </c>
      <c r="L359" s="1">
        <v>0</v>
      </c>
      <c r="M359" s="1">
        <f>IF(L359 + M358 &lt; 0, L359 + M358, 0)</f>
        <v>0</v>
      </c>
      <c r="N359" s="1">
        <v>0</v>
      </c>
      <c r="O359" s="1">
        <f>IF(N359 + O358 &lt; 0, N359 + O358, 0)</f>
        <v>0</v>
      </c>
      <c r="P359" s="1">
        <v>0</v>
      </c>
      <c r="Q359" s="1">
        <f>IF(P359 + Q358 &lt; 0, P359 + Q358, 0)</f>
        <v>0</v>
      </c>
      <c r="R359" s="1">
        <v>0</v>
      </c>
      <c r="S359" s="1">
        <f>IF(R359 + S358 &lt; 0, R359 + S358, 0)</f>
        <v>0</v>
      </c>
      <c r="T359" s="1">
        <v>0</v>
      </c>
      <c r="U359" s="1">
        <f>IF(T359 + U358 &lt; 0, T359 + U358, 0)</f>
        <v>0</v>
      </c>
      <c r="V359" s="1">
        <v>0</v>
      </c>
      <c r="W359" s="1">
        <f>IF(V359 + W358 &lt; 0, V359 + W358, 0)</f>
        <v>0</v>
      </c>
      <c r="X359" s="1">
        <v>0</v>
      </c>
      <c r="Y359" s="1">
        <f>IF(X359 + Y358 &lt; 0, X359 + Y358, 0)</f>
        <v>0</v>
      </c>
      <c r="Z359" s="1">
        <v>0</v>
      </c>
      <c r="AA359" s="1">
        <f>IF(Z359 + AA358 &lt; 0, Z359 + AA358, 0)</f>
        <v>0</v>
      </c>
      <c r="AB359" s="1">
        <v>0</v>
      </c>
      <c r="AC359" s="1">
        <f>IF(AB359 + AC358 &lt; 0, AB359 + AC358, 0)</f>
        <v>0</v>
      </c>
      <c r="AD359" s="1">
        <v>0</v>
      </c>
      <c r="AE359" s="1">
        <f>IF(AD359 + AE358 &lt; 0, AD359 + AE358, 0)</f>
        <v>0</v>
      </c>
      <c r="AF359" s="1">
        <v>0</v>
      </c>
      <c r="AG359" s="1">
        <f>IF(AF359 + AG358 &lt; 0, AF359 + AG358, 0)</f>
        <v>0</v>
      </c>
      <c r="AH359" s="1">
        <v>0</v>
      </c>
      <c r="AI359" s="1">
        <f>IF(AH359 + AI358 &lt; 0, AH359 + AI358, 0)</f>
        <v>0</v>
      </c>
      <c r="AJ359" s="1">
        <v>0</v>
      </c>
      <c r="AK359" s="1">
        <f>IF(AJ359 + AK358 &lt; 0, AJ359 + AK358, 0)</f>
        <v>0</v>
      </c>
    </row>
    <row r="360" spans="1:37" s="1" customFormat="1">
      <c r="A360" s="3">
        <v>45824</v>
      </c>
      <c r="B360" s="2" t="s">
        <v>22</v>
      </c>
      <c r="C360" s="2">
        <v>9</v>
      </c>
      <c r="D360" s="2">
        <v>9</v>
      </c>
      <c r="E360" s="2">
        <v>9</v>
      </c>
      <c r="F360" s="2">
        <v>4</v>
      </c>
      <c r="G360" s="2">
        <v>2</v>
      </c>
      <c r="H360" s="1">
        <v>0</v>
      </c>
      <c r="I360" s="1">
        <f>IF(H360 + I359 &lt; 0, H360 + I359, 0)</f>
        <v>0</v>
      </c>
      <c r="J360" s="1">
        <v>0</v>
      </c>
      <c r="K360" s="1">
        <f>IF(J360 + K359 &lt; 0, J360 + K359, 0)</f>
        <v>0</v>
      </c>
      <c r="L360" s="1">
        <v>0</v>
      </c>
      <c r="M360" s="1">
        <f>IF(L360 + M359 &lt; 0, L360 + M359, 0)</f>
        <v>0</v>
      </c>
      <c r="N360" s="1">
        <v>0</v>
      </c>
      <c r="O360" s="1">
        <f>IF(N360 + O359 &lt; 0, N360 + O359, 0)</f>
        <v>0</v>
      </c>
      <c r="P360" s="1">
        <v>0</v>
      </c>
      <c r="Q360" s="1">
        <f>IF(P360 + Q359 &lt; 0, P360 + Q359, 0)</f>
        <v>0</v>
      </c>
      <c r="R360" s="1">
        <v>0</v>
      </c>
      <c r="S360" s="1">
        <f>IF(R360 + S359 &lt; 0, R360 + S359, 0)</f>
        <v>0</v>
      </c>
      <c r="T360" s="1">
        <v>0</v>
      </c>
      <c r="U360" s="1">
        <f>IF(T360 + U359 &lt; 0, T360 + U359, 0)</f>
        <v>0</v>
      </c>
      <c r="V360" s="1">
        <v>0</v>
      </c>
      <c r="W360" s="1">
        <f>IF(V360 + W359 &lt; 0, V360 + W359, 0)</f>
        <v>0</v>
      </c>
      <c r="X360" s="1">
        <v>0</v>
      </c>
      <c r="Y360" s="1">
        <f>IF(X360 + Y359 &lt; 0, X360 + Y359, 0)</f>
        <v>0</v>
      </c>
      <c r="Z360" s="1">
        <v>0</v>
      </c>
      <c r="AA360" s="1">
        <f>IF(Z360 + AA359 &lt; 0, Z360 + AA359, 0)</f>
        <v>0</v>
      </c>
      <c r="AB360" s="1">
        <v>0</v>
      </c>
      <c r="AC360" s="1">
        <f>IF(AB360 + AC359 &lt; 0, AB360 + AC359, 0)</f>
        <v>0</v>
      </c>
      <c r="AD360" s="1">
        <v>0</v>
      </c>
      <c r="AE360" s="1">
        <f>IF(AD360 + AE359 &lt; 0, AD360 + AE359, 0)</f>
        <v>0</v>
      </c>
      <c r="AF360" s="1">
        <v>0</v>
      </c>
      <c r="AG360" s="1">
        <f>IF(AF360 + AG359 &lt; 0, AF360 + AG359, 0)</f>
        <v>0</v>
      </c>
      <c r="AH360" s="1">
        <v>0</v>
      </c>
      <c r="AI360" s="1">
        <f>IF(AH360 + AI359 &lt; 0, AH360 + AI359, 0)</f>
        <v>0</v>
      </c>
      <c r="AJ360" s="1">
        <v>0</v>
      </c>
      <c r="AK360" s="1">
        <f>IF(AJ360 + AK359 &lt; 0, AJ360 + AK359, 0)</f>
        <v>0</v>
      </c>
    </row>
    <row r="361" spans="1:37" s="1" customFormat="1">
      <c r="A361" s="3">
        <v>45825</v>
      </c>
      <c r="B361" s="2" t="s">
        <v>23</v>
      </c>
      <c r="C361" s="2">
        <v>8</v>
      </c>
      <c r="D361" s="2">
        <v>8</v>
      </c>
      <c r="E361" s="2">
        <v>8</v>
      </c>
      <c r="F361" s="2">
        <v>3</v>
      </c>
      <c r="G361" s="2">
        <v>1</v>
      </c>
      <c r="H361" s="1">
        <v>0</v>
      </c>
      <c r="I361" s="1">
        <f>IF(H361 + I360 &lt; 0, H361 + I360, 0)</f>
        <v>0</v>
      </c>
      <c r="J361" s="1">
        <v>0</v>
      </c>
      <c r="K361" s="1">
        <f>IF(J361 + K360 &lt; 0, J361 + K360, 0)</f>
        <v>0</v>
      </c>
      <c r="L361" s="1">
        <v>0</v>
      </c>
      <c r="M361" s="1">
        <f>IF(L361 + M360 &lt; 0, L361 + M360, 0)</f>
        <v>0</v>
      </c>
      <c r="N361" s="1">
        <v>0</v>
      </c>
      <c r="O361" s="1">
        <f>IF(N361 + O360 &lt; 0, N361 + O360, 0)</f>
        <v>0</v>
      </c>
      <c r="P361" s="1">
        <v>0</v>
      </c>
      <c r="Q361" s="1">
        <f>IF(P361 + Q360 &lt; 0, P361 + Q360, 0)</f>
        <v>0</v>
      </c>
      <c r="R361" s="1">
        <v>0</v>
      </c>
      <c r="S361" s="1">
        <f>IF(R361 + S360 &lt; 0, R361 + S360, 0)</f>
        <v>0</v>
      </c>
      <c r="T361" s="1">
        <v>0</v>
      </c>
      <c r="U361" s="1">
        <f>IF(T361 + U360 &lt; 0, T361 + U360, 0)</f>
        <v>0</v>
      </c>
      <c r="V361" s="1">
        <v>0</v>
      </c>
      <c r="W361" s="1">
        <f>IF(V361 + W360 &lt; 0, V361 + W360, 0)</f>
        <v>0</v>
      </c>
      <c r="X361" s="1">
        <v>0</v>
      </c>
      <c r="Y361" s="1">
        <f>IF(X361 + Y360 &lt; 0, X361 + Y360, 0)</f>
        <v>0</v>
      </c>
      <c r="Z361" s="1">
        <v>0</v>
      </c>
      <c r="AA361" s="1">
        <f>IF(Z361 + AA360 &lt; 0, Z361 + AA360, 0)</f>
        <v>0</v>
      </c>
      <c r="AB361" s="1">
        <v>0</v>
      </c>
      <c r="AC361" s="1">
        <f>IF(AB361 + AC360 &lt; 0, AB361 + AC360, 0)</f>
        <v>0</v>
      </c>
      <c r="AD361" s="1">
        <v>0</v>
      </c>
      <c r="AE361" s="1">
        <f>IF(AD361 + AE360 &lt; 0, AD361 + AE360, 0)</f>
        <v>0</v>
      </c>
      <c r="AF361" s="1">
        <v>-434641.7897900677</v>
      </c>
      <c r="AG361" s="1">
        <f>IF(AF361 + AG360 &lt; 0, AF361 + AG360, 0)</f>
        <v>0</v>
      </c>
      <c r="AH361" s="1">
        <v>-396389.0738055144</v>
      </c>
      <c r="AI361" s="1">
        <f>IF(AH361 + AI360 &lt; 0, AH361 + AI360, 0)</f>
        <v>0</v>
      </c>
      <c r="AJ361" s="1">
        <v>608813.4922536506</v>
      </c>
      <c r="AK361" s="1">
        <f>IF(AJ361 + AK360 &lt; 0, AJ361 + AK360, 0)</f>
        <v>0</v>
      </c>
    </row>
    <row r="362" spans="1:37" s="1" customFormat="1">
      <c r="A362" s="3">
        <v>45826</v>
      </c>
      <c r="B362" s="2" t="s">
        <v>24</v>
      </c>
      <c r="C362" s="2">
        <v>7</v>
      </c>
      <c r="D362" s="2">
        <v>7</v>
      </c>
      <c r="E362" s="2">
        <v>7</v>
      </c>
      <c r="F362" s="2">
        <v>2</v>
      </c>
      <c r="G362" s="2">
        <v>5</v>
      </c>
      <c r="H362" s="1">
        <v>0</v>
      </c>
      <c r="I362" s="1">
        <f>IF(H362 + I361 &lt; 0, H362 + I361, 0)</f>
        <v>0</v>
      </c>
      <c r="J362" s="1">
        <v>0</v>
      </c>
      <c r="K362" s="1">
        <f>IF(J362 + K361 &lt; 0, J362 + K361, 0)</f>
        <v>0</v>
      </c>
      <c r="L362" s="1">
        <v>0</v>
      </c>
      <c r="M362" s="1">
        <f>IF(L362 + M361 &lt; 0, L362 + M361, 0)</f>
        <v>0</v>
      </c>
      <c r="N362" s="1">
        <v>0</v>
      </c>
      <c r="O362" s="1">
        <f>IF(N362 + O361 &lt; 0, N362 + O361, 0)</f>
        <v>0</v>
      </c>
      <c r="P362" s="1">
        <v>0</v>
      </c>
      <c r="Q362" s="1">
        <f>IF(P362 + Q361 &lt; 0, P362 + Q361, 0)</f>
        <v>0</v>
      </c>
      <c r="R362" s="1">
        <v>0</v>
      </c>
      <c r="S362" s="1">
        <f>IF(R362 + S361 &lt; 0, R362 + S361, 0)</f>
        <v>0</v>
      </c>
      <c r="T362" s="1">
        <v>0</v>
      </c>
      <c r="U362" s="1">
        <f>IF(T362 + U361 &lt; 0, T362 + U361, 0)</f>
        <v>0</v>
      </c>
      <c r="V362" s="1">
        <v>0</v>
      </c>
      <c r="W362" s="1">
        <f>IF(V362 + W361 &lt; 0, V362 + W361, 0)</f>
        <v>0</v>
      </c>
      <c r="X362" s="1">
        <v>0</v>
      </c>
      <c r="Y362" s="1">
        <f>IF(X362 + Y361 &lt; 0, X362 + Y361, 0)</f>
        <v>0</v>
      </c>
      <c r="Z362" s="1">
        <v>0</v>
      </c>
      <c r="AA362" s="1">
        <f>IF(Z362 + AA361 &lt; 0, Z362 + AA361, 0)</f>
        <v>0</v>
      </c>
      <c r="AB362" s="1">
        <v>0</v>
      </c>
      <c r="AC362" s="1">
        <f>IF(AB362 + AC361 &lt; 0, AB362 + AC361, 0)</f>
        <v>0</v>
      </c>
      <c r="AD362" s="1">
        <v>0</v>
      </c>
      <c r="AE362" s="1">
        <f>IF(AD362 + AE361 &lt; 0, AD362 + AE361, 0)</f>
        <v>0</v>
      </c>
      <c r="AF362" s="1">
        <v>0</v>
      </c>
      <c r="AG362" s="1">
        <f>IF(AF362 + AG361 &lt; 0, AF362 + AG361, 0)</f>
        <v>0</v>
      </c>
      <c r="AH362" s="1">
        <v>0</v>
      </c>
      <c r="AI362" s="1">
        <f>IF(AH362 + AI361 &lt; 0, AH362 + AI361, 0)</f>
        <v>0</v>
      </c>
      <c r="AJ362" s="1">
        <v>0</v>
      </c>
      <c r="AK362" s="1">
        <f>IF(AJ362 + AK361 &lt; 0, AJ362 + AK361, 0)</f>
        <v>0</v>
      </c>
    </row>
    <row r="363" spans="1:37" s="1" customFormat="1">
      <c r="A363" s="3">
        <v>45827</v>
      </c>
      <c r="B363" s="2" t="s">
        <v>25</v>
      </c>
      <c r="C363" s="2">
        <v>6</v>
      </c>
      <c r="D363" s="2">
        <v>6</v>
      </c>
      <c r="E363" s="2">
        <v>6</v>
      </c>
      <c r="F363" s="2">
        <v>1</v>
      </c>
      <c r="G363" s="2">
        <v>4</v>
      </c>
      <c r="H363" s="1">
        <v>0</v>
      </c>
      <c r="I363" s="1">
        <f>IF(H363 + I362 &lt; 0, H363 + I362, 0)</f>
        <v>0</v>
      </c>
      <c r="J363" s="1">
        <v>0</v>
      </c>
      <c r="K363" s="1">
        <f>IF(J363 + K362 &lt; 0, J363 + K362, 0)</f>
        <v>0</v>
      </c>
      <c r="L363" s="1">
        <v>0</v>
      </c>
      <c r="M363" s="1">
        <f>IF(L363 + M362 &lt; 0, L363 + M362, 0)</f>
        <v>0</v>
      </c>
      <c r="N363" s="1">
        <v>0</v>
      </c>
      <c r="O363" s="1">
        <f>IF(N363 + O362 &lt; 0, N363 + O362, 0)</f>
        <v>0</v>
      </c>
      <c r="P363" s="1">
        <v>0</v>
      </c>
      <c r="Q363" s="1">
        <f>IF(P363 + Q362 &lt; 0, P363 + Q362, 0)</f>
        <v>0</v>
      </c>
      <c r="R363" s="1">
        <v>0</v>
      </c>
      <c r="S363" s="1">
        <f>IF(R363 + S362 &lt; 0, R363 + S362, 0)</f>
        <v>0</v>
      </c>
      <c r="T363" s="1">
        <v>0</v>
      </c>
      <c r="U363" s="1">
        <f>IF(T363 + U362 &lt; 0, T363 + U362, 0)</f>
        <v>0</v>
      </c>
      <c r="V363" s="1">
        <v>0</v>
      </c>
      <c r="W363" s="1">
        <f>IF(V363 + W362 &lt; 0, V363 + W362, 0)</f>
        <v>0</v>
      </c>
      <c r="X363" s="1">
        <v>0</v>
      </c>
      <c r="Y363" s="1">
        <f>IF(X363 + Y362 &lt; 0, X363 + Y362, 0)</f>
        <v>0</v>
      </c>
      <c r="Z363" s="1">
        <v>229509.3530916373</v>
      </c>
      <c r="AA363" s="1">
        <f>IF(Z363 + AA362 &lt; 0, Z363 + AA362, 0)</f>
        <v>0</v>
      </c>
      <c r="AB363" s="1">
        <v>504531.1159406793</v>
      </c>
      <c r="AC363" s="1">
        <f>IF(AB363 + AC362 &lt; 0, AB363 + AC362, 0)</f>
        <v>0</v>
      </c>
      <c r="AD363" s="1">
        <v>668354.3835606632</v>
      </c>
      <c r="AE363" s="1">
        <f>IF(AD363 + AE362 &lt; 0, AD363 + AE362, 0)</f>
        <v>0</v>
      </c>
      <c r="AF363" s="1">
        <v>0</v>
      </c>
      <c r="AG363" s="1">
        <f>IF(AF363 + AG362 &lt; 0, AF363 + AG362, 0)</f>
        <v>0</v>
      </c>
      <c r="AH363" s="1">
        <v>0</v>
      </c>
      <c r="AI363" s="1">
        <f>IF(AH363 + AI362 &lt; 0, AH363 + AI362, 0)</f>
        <v>0</v>
      </c>
      <c r="AJ363" s="1">
        <v>0</v>
      </c>
      <c r="AK363" s="1">
        <f>IF(AJ363 + AK362 &lt; 0, AJ363 + AK362, 0)</f>
        <v>0</v>
      </c>
    </row>
    <row r="364" spans="1:37" s="1" customFormat="1">
      <c r="A364" s="3">
        <v>45828</v>
      </c>
      <c r="B364" s="2" t="s">
        <v>26</v>
      </c>
      <c r="C364" s="2">
        <v>5</v>
      </c>
      <c r="D364" s="2">
        <v>5</v>
      </c>
      <c r="E364" s="2">
        <v>5</v>
      </c>
      <c r="F364" s="2">
        <v>5</v>
      </c>
      <c r="G364" s="2">
        <v>3</v>
      </c>
      <c r="H364" s="1">
        <v>0</v>
      </c>
      <c r="I364" s="1">
        <f>IF(H364 + I363 &lt; 0, H364 + I363, 0)</f>
        <v>0</v>
      </c>
      <c r="J364" s="1">
        <v>0</v>
      </c>
      <c r="K364" s="1">
        <f>IF(J364 + K363 &lt; 0, J364 + K363, 0)</f>
        <v>0</v>
      </c>
      <c r="L364" s="1">
        <v>0</v>
      </c>
      <c r="M364" s="1">
        <f>IF(L364 + M363 &lt; 0, L364 + M363, 0)</f>
        <v>0</v>
      </c>
      <c r="N364" s="1">
        <v>0</v>
      </c>
      <c r="O364" s="1">
        <f>IF(N364 + O363 &lt; 0, N364 + O363, 0)</f>
        <v>0</v>
      </c>
      <c r="P364" s="1">
        <v>0</v>
      </c>
      <c r="Q364" s="1">
        <f>IF(P364 + Q363 &lt; 0, P364 + Q363, 0)</f>
        <v>0</v>
      </c>
      <c r="R364" s="1">
        <v>0</v>
      </c>
      <c r="S364" s="1">
        <f>IF(R364 + S363 &lt; 0, R364 + S363, 0)</f>
        <v>0</v>
      </c>
      <c r="T364" s="1">
        <v>0</v>
      </c>
      <c r="U364" s="1">
        <f>IF(T364 + U363 &lt; 0, T364 + U363, 0)</f>
        <v>0</v>
      </c>
      <c r="V364" s="1">
        <v>0</v>
      </c>
      <c r="W364" s="1">
        <f>IF(V364 + W363 &lt; 0, V364 + W363, 0)</f>
        <v>0</v>
      </c>
      <c r="X364" s="1">
        <v>0</v>
      </c>
      <c r="Y364" s="1">
        <f>IF(X364 + Y363 &lt; 0, X364 + Y363, 0)</f>
        <v>0</v>
      </c>
      <c r="Z364" s="1">
        <v>0</v>
      </c>
      <c r="AA364" s="1">
        <f>IF(Z364 + AA363 &lt; 0, Z364 + AA363, 0)</f>
        <v>0</v>
      </c>
      <c r="AB364" s="1">
        <v>0</v>
      </c>
      <c r="AC364" s="1">
        <f>IF(AB364 + AC363 &lt; 0, AB364 + AC363, 0)</f>
        <v>0</v>
      </c>
      <c r="AD364" s="1">
        <v>0</v>
      </c>
      <c r="AE364" s="1">
        <f>IF(AD364 + AE363 &lt; 0, AD364 + AE363, 0)</f>
        <v>0</v>
      </c>
      <c r="AF364" s="1">
        <v>0</v>
      </c>
      <c r="AG364" s="1">
        <f>IF(AF364 + AG363 &lt; 0, AF364 + AG363, 0)</f>
        <v>0</v>
      </c>
      <c r="AH364" s="1">
        <v>0</v>
      </c>
      <c r="AI364" s="1">
        <f>IF(AH364 + AI363 &lt; 0, AH364 + AI363, 0)</f>
        <v>0</v>
      </c>
      <c r="AJ364" s="1">
        <v>0</v>
      </c>
      <c r="AK364" s="1">
        <f>IF(AJ364 + AK363 &lt; 0, AJ364 + AK363, 0)</f>
        <v>0</v>
      </c>
    </row>
    <row r="365" spans="1:37" s="1" customFormat="1">
      <c r="A365" s="3">
        <v>45831</v>
      </c>
      <c r="B365" s="2" t="s">
        <v>22</v>
      </c>
      <c r="C365" s="2">
        <v>4</v>
      </c>
      <c r="D365" s="2">
        <v>4</v>
      </c>
      <c r="E365" s="2">
        <v>4</v>
      </c>
      <c r="F365" s="2">
        <v>4</v>
      </c>
      <c r="G365" s="2">
        <v>2</v>
      </c>
      <c r="H365" s="1">
        <v>0</v>
      </c>
      <c r="I365" s="1">
        <f>IF(H365 + I364 &lt; 0, H365 + I364, 0)</f>
        <v>0</v>
      </c>
      <c r="J365" s="1">
        <v>0</v>
      </c>
      <c r="K365" s="1">
        <f>IF(J365 + K364 &lt; 0, J365 + K364, 0)</f>
        <v>0</v>
      </c>
      <c r="L365" s="1">
        <v>0</v>
      </c>
      <c r="M365" s="1">
        <f>IF(L365 + M364 &lt; 0, L365 + M364, 0)</f>
        <v>0</v>
      </c>
      <c r="N365" s="1">
        <v>0</v>
      </c>
      <c r="O365" s="1">
        <f>IF(N365 + O364 &lt; 0, N365 + O364, 0)</f>
        <v>0</v>
      </c>
      <c r="P365" s="1">
        <v>0</v>
      </c>
      <c r="Q365" s="1">
        <f>IF(P365 + Q364 &lt; 0, P365 + Q364, 0)</f>
        <v>0</v>
      </c>
      <c r="R365" s="1">
        <v>0</v>
      </c>
      <c r="S365" s="1">
        <f>IF(R365 + S364 &lt; 0, R365 + S364, 0)</f>
        <v>0</v>
      </c>
      <c r="T365" s="1">
        <v>0</v>
      </c>
      <c r="U365" s="1">
        <f>IF(T365 + U364 &lt; 0, T365 + U364, 0)</f>
        <v>0</v>
      </c>
      <c r="V365" s="1">
        <v>0</v>
      </c>
      <c r="W365" s="1">
        <f>IF(V365 + W364 &lt; 0, V365 + W364, 0)</f>
        <v>0</v>
      </c>
      <c r="X365" s="1">
        <v>0</v>
      </c>
      <c r="Y365" s="1">
        <f>IF(X365 + Y364 &lt; 0, X365 + Y364, 0)</f>
        <v>0</v>
      </c>
      <c r="Z365" s="1">
        <v>0</v>
      </c>
      <c r="AA365" s="1">
        <f>IF(Z365 + AA364 &lt; 0, Z365 + AA364, 0)</f>
        <v>0</v>
      </c>
      <c r="AB365" s="1">
        <v>0</v>
      </c>
      <c r="AC365" s="1">
        <f>IF(AB365 + AC364 &lt; 0, AB365 + AC364, 0)</f>
        <v>0</v>
      </c>
      <c r="AD365" s="1">
        <v>0</v>
      </c>
      <c r="AE365" s="1">
        <f>IF(AD365 + AE364 &lt; 0, AD365 + AE364, 0)</f>
        <v>0</v>
      </c>
      <c r="AF365" s="1">
        <v>0</v>
      </c>
      <c r="AG365" s="1">
        <f>IF(AF365 + AG364 &lt; 0, AF365 + AG364, 0)</f>
        <v>0</v>
      </c>
      <c r="AH365" s="1">
        <v>0</v>
      </c>
      <c r="AI365" s="1">
        <f>IF(AH365 + AI364 &lt; 0, AH365 + AI364, 0)</f>
        <v>0</v>
      </c>
      <c r="AJ365" s="1">
        <v>0</v>
      </c>
      <c r="AK365" s="1">
        <f>IF(AJ365 + AK364 &lt; 0, AJ365 + AK364, 0)</f>
        <v>0</v>
      </c>
    </row>
    <row r="366" spans="1:37" s="1" customFormat="1">
      <c r="A366" s="3">
        <v>45832</v>
      </c>
      <c r="B366" s="2" t="s">
        <v>23</v>
      </c>
      <c r="C366" s="2">
        <v>3</v>
      </c>
      <c r="D366" s="2">
        <v>3</v>
      </c>
      <c r="E366" s="2">
        <v>3</v>
      </c>
      <c r="F366" s="2">
        <v>3</v>
      </c>
      <c r="G366" s="2">
        <v>1</v>
      </c>
      <c r="H366" s="1">
        <v>0</v>
      </c>
      <c r="I366" s="1">
        <f>IF(H366 + I365 &lt; 0, H366 + I365, 0)</f>
        <v>0</v>
      </c>
      <c r="J366" s="1">
        <v>0</v>
      </c>
      <c r="K366" s="1">
        <f>IF(J366 + K365 &lt; 0, J366 + K365, 0)</f>
        <v>0</v>
      </c>
      <c r="L366" s="1">
        <v>0</v>
      </c>
      <c r="M366" s="1">
        <f>IF(L366 + M365 &lt; 0, L366 + M365, 0)</f>
        <v>0</v>
      </c>
      <c r="N366" s="1">
        <v>0</v>
      </c>
      <c r="O366" s="1">
        <f>IF(N366 + O365 &lt; 0, N366 + O365, 0)</f>
        <v>0</v>
      </c>
      <c r="P366" s="1">
        <v>0</v>
      </c>
      <c r="Q366" s="1">
        <f>IF(P366 + Q365 &lt; 0, P366 + Q365, 0)</f>
        <v>0</v>
      </c>
      <c r="R366" s="1">
        <v>0</v>
      </c>
      <c r="S366" s="1">
        <f>IF(R366 + S365 &lt; 0, R366 + S365, 0)</f>
        <v>0</v>
      </c>
      <c r="T366" s="1">
        <v>0</v>
      </c>
      <c r="U366" s="1">
        <f>IF(T366 + U365 &lt; 0, T366 + U365, 0)</f>
        <v>0</v>
      </c>
      <c r="V366" s="1">
        <v>0</v>
      </c>
      <c r="W366" s="1">
        <f>IF(V366 + W365 &lt; 0, V366 + W365, 0)</f>
        <v>0</v>
      </c>
      <c r="X366" s="1">
        <v>0</v>
      </c>
      <c r="Y366" s="1">
        <f>IF(X366 + Y365 &lt; 0, X366 + Y365, 0)</f>
        <v>0</v>
      </c>
      <c r="Z366" s="1">
        <v>0</v>
      </c>
      <c r="AA366" s="1">
        <f>IF(Z366 + AA365 &lt; 0, Z366 + AA365, 0)</f>
        <v>0</v>
      </c>
      <c r="AB366" s="1">
        <v>0</v>
      </c>
      <c r="AC366" s="1">
        <f>IF(AB366 + AC365 &lt; 0, AB366 + AC365, 0)</f>
        <v>0</v>
      </c>
      <c r="AD366" s="1">
        <v>0</v>
      </c>
      <c r="AE366" s="1">
        <f>IF(AD366 + AE365 &lt; 0, AD366 + AE365, 0)</f>
        <v>0</v>
      </c>
      <c r="AF366" s="1">
        <v>-871781.1938959237</v>
      </c>
      <c r="AG366" s="1">
        <f>IF(AF366 + AG365 &lt; 0, AF366 + AG365, 0)</f>
        <v>0</v>
      </c>
      <c r="AH366" s="1">
        <v>-1178236.648997237</v>
      </c>
      <c r="AI366" s="1">
        <f>IF(AH366 + AI365 &lt; 0, AH366 + AI365, 0)</f>
        <v>0</v>
      </c>
      <c r="AJ366" s="1">
        <v>-1124916.343608454</v>
      </c>
      <c r="AK366" s="1">
        <f>IF(AJ366 + AK365 &lt; 0, AJ366 + AK365, 0)</f>
        <v>0</v>
      </c>
    </row>
    <row r="367" spans="1:37" s="1" customFormat="1">
      <c r="A367" s="3">
        <v>45833</v>
      </c>
      <c r="B367" s="2" t="s">
        <v>24</v>
      </c>
      <c r="C367" s="2">
        <v>2</v>
      </c>
      <c r="D367" s="2">
        <v>2</v>
      </c>
      <c r="E367" s="2">
        <v>2</v>
      </c>
      <c r="F367" s="2">
        <v>2</v>
      </c>
      <c r="G367" s="2">
        <v>5</v>
      </c>
      <c r="H367" s="1">
        <v>0</v>
      </c>
      <c r="I367" s="1">
        <f>IF(H367 + I366 &lt; 0, H367 + I366, 0)</f>
        <v>0</v>
      </c>
      <c r="J367" s="1">
        <v>0</v>
      </c>
      <c r="K367" s="1">
        <f>IF(J367 + K366 &lt; 0, J367 + K366, 0)</f>
        <v>0</v>
      </c>
      <c r="L367" s="1">
        <v>0</v>
      </c>
      <c r="M367" s="1">
        <f>IF(L367 + M366 &lt; 0, L367 + M366, 0)</f>
        <v>0</v>
      </c>
      <c r="N367" s="1">
        <v>0</v>
      </c>
      <c r="O367" s="1">
        <f>IF(N367 + O366 &lt; 0, N367 + O366, 0)</f>
        <v>0</v>
      </c>
      <c r="P367" s="1">
        <v>0</v>
      </c>
      <c r="Q367" s="1">
        <f>IF(P367 + Q366 &lt; 0, P367 + Q366, 0)</f>
        <v>0</v>
      </c>
      <c r="R367" s="1">
        <v>0</v>
      </c>
      <c r="S367" s="1">
        <f>IF(R367 + S366 &lt; 0, R367 + S366, 0)</f>
        <v>0</v>
      </c>
      <c r="T367" s="1">
        <v>0</v>
      </c>
      <c r="U367" s="1">
        <f>IF(T367 + U366 &lt; 0, T367 + U366, 0)</f>
        <v>0</v>
      </c>
      <c r="V367" s="1">
        <v>0</v>
      </c>
      <c r="W367" s="1">
        <f>IF(V367 + W366 &lt; 0, V367 + W366, 0)</f>
        <v>0</v>
      </c>
      <c r="X367" s="1">
        <v>0</v>
      </c>
      <c r="Y367" s="1">
        <f>IF(X367 + Y366 &lt; 0, X367 + Y366, 0)</f>
        <v>0</v>
      </c>
      <c r="Z367" s="1">
        <v>0</v>
      </c>
      <c r="AA367" s="1">
        <f>IF(Z367 + AA366 &lt; 0, Z367 + AA366, 0)</f>
        <v>0</v>
      </c>
      <c r="AB367" s="1">
        <v>0</v>
      </c>
      <c r="AC367" s="1">
        <f>IF(AB367 + AC366 &lt; 0, AB367 + AC366, 0)</f>
        <v>0</v>
      </c>
      <c r="AD367" s="1">
        <v>0</v>
      </c>
      <c r="AE367" s="1">
        <f>IF(AD367 + AE366 &lt; 0, AD367 + AE366, 0)</f>
        <v>0</v>
      </c>
      <c r="AF367" s="1">
        <v>0</v>
      </c>
      <c r="AG367" s="1">
        <f>IF(AF367 + AG366 &lt; 0, AF367 + AG366, 0)</f>
        <v>0</v>
      </c>
      <c r="AH367" s="1">
        <v>0</v>
      </c>
      <c r="AI367" s="1">
        <f>IF(AH367 + AI366 &lt; 0, AH367 + AI366, 0)</f>
        <v>0</v>
      </c>
      <c r="AJ367" s="1">
        <v>0</v>
      </c>
      <c r="AK367" s="1">
        <f>IF(AJ367 + AK366 &lt; 0, AJ367 + AK366, 0)</f>
        <v>0</v>
      </c>
    </row>
    <row r="368" spans="1:37" s="1" customFormat="1">
      <c r="A368" s="3">
        <v>45834</v>
      </c>
      <c r="B368" s="2" t="s">
        <v>25</v>
      </c>
      <c r="C368" s="2">
        <v>1</v>
      </c>
      <c r="D368" s="2">
        <v>1</v>
      </c>
      <c r="E368" s="2">
        <v>1</v>
      </c>
      <c r="F368" s="2">
        <v>1</v>
      </c>
      <c r="G368" s="2">
        <v>4</v>
      </c>
      <c r="H368" s="1">
        <v>0</v>
      </c>
      <c r="I368" s="1">
        <f>IF(H368 + I367 &lt; 0, H368 + I367, 0)</f>
        <v>0</v>
      </c>
      <c r="J368" s="1">
        <v>0</v>
      </c>
      <c r="K368" s="1">
        <f>IF(J368 + K367 &lt; 0, J368 + K367, 0)</f>
        <v>0</v>
      </c>
      <c r="L368" s="1">
        <v>0</v>
      </c>
      <c r="M368" s="1">
        <f>IF(L368 + M367 &lt; 0, L368 + M367, 0)</f>
        <v>0</v>
      </c>
      <c r="N368" s="1">
        <v>0</v>
      </c>
      <c r="O368" s="1">
        <f>IF(N368 + O367 &lt; 0, N368 + O367, 0)</f>
        <v>0</v>
      </c>
      <c r="P368" s="1">
        <v>0</v>
      </c>
      <c r="Q368" s="1">
        <f>IF(P368 + Q367 &lt; 0, P368 + Q367, 0)</f>
        <v>0</v>
      </c>
      <c r="R368" s="1">
        <v>0</v>
      </c>
      <c r="S368" s="1">
        <f>IF(R368 + S367 &lt; 0, R368 + S367, 0)</f>
        <v>0</v>
      </c>
      <c r="T368" s="1">
        <v>0</v>
      </c>
      <c r="U368" s="1">
        <f>IF(T368 + U367 &lt; 0, T368 + U367, 0)</f>
        <v>0</v>
      </c>
      <c r="V368" s="1">
        <v>0</v>
      </c>
      <c r="W368" s="1">
        <f>IF(V368 + W367 &lt; 0, V368 + W367, 0)</f>
        <v>0</v>
      </c>
      <c r="X368" s="1">
        <v>0</v>
      </c>
      <c r="Y368" s="1">
        <f>IF(X368 + Y367 &lt; 0, X368 + Y367, 0)</f>
        <v>0</v>
      </c>
      <c r="Z368" s="1">
        <v>-685785.6406762648</v>
      </c>
      <c r="AA368" s="1">
        <f>IF(Z368 + AA367 &lt; 0, Z368 + AA367, 0)</f>
        <v>0</v>
      </c>
      <c r="AB368" s="1">
        <v>-396019.1540799633</v>
      </c>
      <c r="AC368" s="1">
        <f>IF(AB368 + AC367 &lt; 0, AB368 + AC367, 0)</f>
        <v>0</v>
      </c>
      <c r="AD368" s="1">
        <v>-160738.3566110589</v>
      </c>
      <c r="AE368" s="1">
        <f>IF(AD368 + AE367 &lt; 0, AD368 + AE367, 0)</f>
        <v>0</v>
      </c>
      <c r="AF368" s="1">
        <v>0</v>
      </c>
      <c r="AG368" s="1">
        <f>IF(AF368 + AG367 &lt; 0, AF368 + AG367, 0)</f>
        <v>0</v>
      </c>
      <c r="AH368" s="1">
        <v>0</v>
      </c>
      <c r="AI368" s="1">
        <f>IF(AH368 + AI367 &lt; 0, AH368 + AI367, 0)</f>
        <v>0</v>
      </c>
      <c r="AJ368" s="1">
        <v>0</v>
      </c>
      <c r="AK368" s="1">
        <f>IF(AJ368 + AK367 &lt; 0, AJ368 + AK367, 0)</f>
        <v>0</v>
      </c>
    </row>
    <row r="369" spans="1:37" s="1" customFormat="1">
      <c r="A369" s="3">
        <v>45835</v>
      </c>
      <c r="B369" s="2" t="s">
        <v>26</v>
      </c>
      <c r="C369" s="2">
        <v>25</v>
      </c>
      <c r="D369" s="2">
        <v>25</v>
      </c>
      <c r="E369" s="2">
        <v>25</v>
      </c>
      <c r="F369" s="2">
        <v>5</v>
      </c>
      <c r="G369" s="2">
        <v>3</v>
      </c>
      <c r="H369" s="1">
        <v>0</v>
      </c>
      <c r="I369" s="1">
        <f>IF(H369 + I368 &lt; 0, H369 + I368, 0)</f>
        <v>0</v>
      </c>
      <c r="J369" s="1">
        <v>0</v>
      </c>
      <c r="K369" s="1">
        <f>IF(J369 + K368 &lt; 0, J369 + K368, 0)</f>
        <v>0</v>
      </c>
      <c r="L369" s="1">
        <v>0</v>
      </c>
      <c r="M369" s="1">
        <f>IF(L369 + M368 &lt; 0, L369 + M368, 0)</f>
        <v>0</v>
      </c>
      <c r="N369" s="1">
        <v>0</v>
      </c>
      <c r="O369" s="1">
        <f>IF(N369 + O368 &lt; 0, N369 + O368, 0)</f>
        <v>0</v>
      </c>
      <c r="P369" s="1">
        <v>0</v>
      </c>
      <c r="Q369" s="1">
        <f>IF(P369 + Q368 &lt; 0, P369 + Q368, 0)</f>
        <v>0</v>
      </c>
      <c r="R369" s="1">
        <v>0</v>
      </c>
      <c r="S369" s="1">
        <f>IF(R369 + S368 &lt; 0, R369 + S368, 0)</f>
        <v>0</v>
      </c>
      <c r="T369" s="1">
        <v>0</v>
      </c>
      <c r="U369" s="1">
        <f>IF(T369 + U368 &lt; 0, T369 + U368, 0)</f>
        <v>0</v>
      </c>
      <c r="V369" s="1">
        <v>0</v>
      </c>
      <c r="W369" s="1">
        <f>IF(V369 + W368 &lt; 0, V369 + W368, 0)</f>
        <v>0</v>
      </c>
      <c r="X369" s="1">
        <v>0</v>
      </c>
      <c r="Y369" s="1">
        <f>IF(X369 + Y368 &lt; 0, X369 + Y368, 0)</f>
        <v>0</v>
      </c>
      <c r="Z369" s="1">
        <v>0</v>
      </c>
      <c r="AA369" s="1">
        <f>IF(Z369 + AA368 &lt; 0, Z369 + AA368, 0)</f>
        <v>0</v>
      </c>
      <c r="AB369" s="1">
        <v>0</v>
      </c>
      <c r="AC369" s="1">
        <f>IF(AB369 + AC368 &lt; 0, AB369 + AC368, 0)</f>
        <v>0</v>
      </c>
      <c r="AD369" s="1">
        <v>0</v>
      </c>
      <c r="AE369" s="1">
        <f>IF(AD369 + AE368 &lt; 0, AD369 + AE368, 0)</f>
        <v>0</v>
      </c>
      <c r="AF369" s="1">
        <v>0</v>
      </c>
      <c r="AG369" s="1">
        <f>IF(AF369 + AG368 &lt; 0, AF369 + AG368, 0)</f>
        <v>0</v>
      </c>
      <c r="AH369" s="1">
        <v>0</v>
      </c>
      <c r="AI369" s="1">
        <f>IF(AH369 + AI368 &lt; 0, AH369 + AI368, 0)</f>
        <v>0</v>
      </c>
      <c r="AJ369" s="1">
        <v>0</v>
      </c>
      <c r="AK369" s="1">
        <f>IF(AJ369 + AK368 &lt; 0, AJ369 + AK368, 0)</f>
        <v>0</v>
      </c>
    </row>
    <row r="370" spans="1:37" s="1" customFormat="1">
      <c r="A370" s="3">
        <v>45838</v>
      </c>
      <c r="B370" s="2" t="s">
        <v>22</v>
      </c>
      <c r="C370" s="2">
        <v>24</v>
      </c>
      <c r="D370" s="2">
        <v>24</v>
      </c>
      <c r="E370" s="2">
        <v>24</v>
      </c>
      <c r="F370" s="2">
        <v>4</v>
      </c>
      <c r="G370" s="2">
        <v>2</v>
      </c>
      <c r="H370" s="1">
        <v>0</v>
      </c>
      <c r="I370" s="1">
        <f>IF(H370 + I369 &lt; 0, H370 + I369, 0)</f>
        <v>0</v>
      </c>
      <c r="J370" s="1">
        <v>0</v>
      </c>
      <c r="K370" s="1">
        <f>IF(J370 + K369 &lt; 0, J370 + K369, 0)</f>
        <v>0</v>
      </c>
      <c r="L370" s="1">
        <v>0</v>
      </c>
      <c r="M370" s="1">
        <f>IF(L370 + M369 &lt; 0, L370 + M369, 0)</f>
        <v>0</v>
      </c>
      <c r="N370" s="1">
        <v>0</v>
      </c>
      <c r="O370" s="1">
        <f>IF(N370 + O369 &lt; 0, N370 + O369, 0)</f>
        <v>0</v>
      </c>
      <c r="P370" s="1">
        <v>0</v>
      </c>
      <c r="Q370" s="1">
        <f>IF(P370 + Q369 &lt; 0, P370 + Q369, 0)</f>
        <v>0</v>
      </c>
      <c r="R370" s="1">
        <v>0</v>
      </c>
      <c r="S370" s="1">
        <f>IF(R370 + S369 &lt; 0, R370 + S369, 0)</f>
        <v>0</v>
      </c>
      <c r="T370" s="1">
        <v>0</v>
      </c>
      <c r="U370" s="1">
        <f>IF(T370 + U369 &lt; 0, T370 + U369, 0)</f>
        <v>0</v>
      </c>
      <c r="V370" s="1">
        <v>0</v>
      </c>
      <c r="W370" s="1">
        <f>IF(V370 + W369 &lt; 0, V370 + W369, 0)</f>
        <v>0</v>
      </c>
      <c r="X370" s="1">
        <v>0</v>
      </c>
      <c r="Y370" s="1">
        <f>IF(X370 + Y369 &lt; 0, X370 + Y369, 0)</f>
        <v>0</v>
      </c>
      <c r="Z370" s="1">
        <v>0</v>
      </c>
      <c r="AA370" s="1">
        <f>IF(Z370 + AA369 &lt; 0, Z370 + AA369, 0)</f>
        <v>0</v>
      </c>
      <c r="AB370" s="1">
        <v>0</v>
      </c>
      <c r="AC370" s="1">
        <f>IF(AB370 + AC369 &lt; 0, AB370 + AC369, 0)</f>
        <v>0</v>
      </c>
      <c r="AD370" s="1">
        <v>0</v>
      </c>
      <c r="AE370" s="1">
        <f>IF(AD370 + AE369 &lt; 0, AD370 + AE369, 0)</f>
        <v>0</v>
      </c>
      <c r="AF370" s="1">
        <v>0</v>
      </c>
      <c r="AG370" s="1">
        <f>IF(AF370 + AG369 &lt; 0, AF370 + AG369, 0)</f>
        <v>0</v>
      </c>
      <c r="AH370" s="1">
        <v>0</v>
      </c>
      <c r="AI370" s="1">
        <f>IF(AH370 + AI369 &lt; 0, AH370 + AI369, 0)</f>
        <v>0</v>
      </c>
      <c r="AJ370" s="1">
        <v>0</v>
      </c>
      <c r="AK370" s="1">
        <f>IF(AJ370 + AK369 &lt; 0, AJ370 + AK369, 0)</f>
        <v>0</v>
      </c>
    </row>
    <row r="371" spans="1:37" s="1" customFormat="1">
      <c r="A371" s="3">
        <v>45839</v>
      </c>
      <c r="B371" s="2" t="s">
        <v>23</v>
      </c>
      <c r="C371" s="2">
        <v>23</v>
      </c>
      <c r="D371" s="2">
        <v>23</v>
      </c>
      <c r="E371" s="2">
        <v>23</v>
      </c>
      <c r="F371" s="2">
        <v>3</v>
      </c>
      <c r="G371" s="2">
        <v>1</v>
      </c>
      <c r="H371" s="1">
        <v>0</v>
      </c>
      <c r="I371" s="1">
        <f>IF(H371 + I370 &lt; 0, H371 + I370, 0)</f>
        <v>0</v>
      </c>
      <c r="J371" s="1">
        <v>0</v>
      </c>
      <c r="K371" s="1">
        <f>IF(J371 + K370 &lt; 0, J371 + K370, 0)</f>
        <v>0</v>
      </c>
      <c r="L371" s="1">
        <v>0</v>
      </c>
      <c r="M371" s="1">
        <f>IF(L371 + M370 &lt; 0, L371 + M370, 0)</f>
        <v>0</v>
      </c>
      <c r="N371" s="1">
        <v>0</v>
      </c>
      <c r="O371" s="1">
        <f>IF(N371 + O370 &lt; 0, N371 + O370, 0)</f>
        <v>0</v>
      </c>
      <c r="P371" s="1">
        <v>0</v>
      </c>
      <c r="Q371" s="1">
        <f>IF(P371 + Q370 &lt; 0, P371 + Q370, 0)</f>
        <v>0</v>
      </c>
      <c r="R371" s="1">
        <v>0</v>
      </c>
      <c r="S371" s="1">
        <f>IF(R371 + S370 &lt; 0, R371 + S370, 0)</f>
        <v>0</v>
      </c>
      <c r="T371" s="1">
        <v>0</v>
      </c>
      <c r="U371" s="1">
        <f>IF(T371 + U370 &lt; 0, T371 + U370, 0)</f>
        <v>0</v>
      </c>
      <c r="V371" s="1">
        <v>0</v>
      </c>
      <c r="W371" s="1">
        <f>IF(V371 + W370 &lt; 0, V371 + W370, 0)</f>
        <v>0</v>
      </c>
      <c r="X371" s="1">
        <v>0</v>
      </c>
      <c r="Y371" s="1">
        <f>IF(X371 + Y370 &lt; 0, X371 + Y370, 0)</f>
        <v>0</v>
      </c>
      <c r="Z371" s="1">
        <v>0</v>
      </c>
      <c r="AA371" s="1">
        <f>IF(Z371 + AA370 &lt; 0, Z371 + AA370, 0)</f>
        <v>0</v>
      </c>
      <c r="AB371" s="1">
        <v>0</v>
      </c>
      <c r="AC371" s="1">
        <f>IF(AB371 + AC370 &lt; 0, AB371 + AC370, 0)</f>
        <v>0</v>
      </c>
      <c r="AD371" s="1">
        <v>0</v>
      </c>
      <c r="AE371" s="1">
        <f>IF(AD371 + AE370 &lt; 0, AD371 + AE370, 0)</f>
        <v>0</v>
      </c>
      <c r="AF371" s="1">
        <v>374205.5702809505</v>
      </c>
      <c r="AG371" s="1">
        <f>IF(AF371 + AG370 &lt; 0, AF371 + AG370, 0)</f>
        <v>0</v>
      </c>
      <c r="AH371" s="1">
        <v>754356.8466239005</v>
      </c>
      <c r="AI371" s="1">
        <f>IF(AH371 + AI370 &lt; 0, AH371 + AI370, 0)</f>
        <v>0</v>
      </c>
      <c r="AJ371" s="1">
        <v>694721.955876812</v>
      </c>
      <c r="AK371" s="1">
        <f>IF(AJ371 + AK370 &lt; 0, AJ371 + AK370, 0)</f>
        <v>0</v>
      </c>
    </row>
    <row r="372" spans="1:37" s="1" customFormat="1">
      <c r="A372" s="3">
        <v>45840</v>
      </c>
      <c r="B372" s="2" t="s">
        <v>24</v>
      </c>
      <c r="C372" s="2">
        <v>22</v>
      </c>
      <c r="D372" s="2">
        <v>22</v>
      </c>
      <c r="E372" s="2">
        <v>22</v>
      </c>
      <c r="F372" s="2">
        <v>2</v>
      </c>
      <c r="G372" s="2">
        <v>5</v>
      </c>
      <c r="H372" s="1">
        <v>0</v>
      </c>
      <c r="I372" s="1">
        <f>IF(H372 + I371 &lt; 0, H372 + I371, 0)</f>
        <v>0</v>
      </c>
      <c r="J372" s="1">
        <v>0</v>
      </c>
      <c r="K372" s="1">
        <f>IF(J372 + K371 &lt; 0, J372 + K371, 0)</f>
        <v>0</v>
      </c>
      <c r="L372" s="1">
        <v>0</v>
      </c>
      <c r="M372" s="1">
        <f>IF(L372 + M371 &lt; 0, L372 + M371, 0)</f>
        <v>0</v>
      </c>
      <c r="N372" s="1">
        <v>0</v>
      </c>
      <c r="O372" s="1">
        <f>IF(N372 + O371 &lt; 0, N372 + O371, 0)</f>
        <v>0</v>
      </c>
      <c r="P372" s="1">
        <v>0</v>
      </c>
      <c r="Q372" s="1">
        <f>IF(P372 + Q371 &lt; 0, P372 + Q371, 0)</f>
        <v>0</v>
      </c>
      <c r="R372" s="1">
        <v>0</v>
      </c>
      <c r="S372" s="1">
        <f>IF(R372 + S371 &lt; 0, R372 + S371, 0)</f>
        <v>0</v>
      </c>
      <c r="T372" s="1">
        <v>0</v>
      </c>
      <c r="U372" s="1">
        <f>IF(T372 + U371 &lt; 0, T372 + U371, 0)</f>
        <v>0</v>
      </c>
      <c r="V372" s="1">
        <v>0</v>
      </c>
      <c r="W372" s="1">
        <f>IF(V372 + W371 &lt; 0, V372 + W371, 0)</f>
        <v>0</v>
      </c>
      <c r="X372" s="1">
        <v>0</v>
      </c>
      <c r="Y372" s="1">
        <f>IF(X372 + Y371 &lt; 0, X372 + Y371, 0)</f>
        <v>0</v>
      </c>
      <c r="Z372" s="1">
        <v>0</v>
      </c>
      <c r="AA372" s="1">
        <f>IF(Z372 + AA371 &lt; 0, Z372 + AA371, 0)</f>
        <v>0</v>
      </c>
      <c r="AB372" s="1">
        <v>0</v>
      </c>
      <c r="AC372" s="1">
        <f>IF(AB372 + AC371 &lt; 0, AB372 + AC371, 0)</f>
        <v>0</v>
      </c>
      <c r="AD372" s="1">
        <v>0</v>
      </c>
      <c r="AE372" s="1">
        <f>IF(AD372 + AE371 &lt; 0, AD372 + AE371, 0)</f>
        <v>0</v>
      </c>
      <c r="AF372" s="1">
        <v>0</v>
      </c>
      <c r="AG372" s="1">
        <f>IF(AF372 + AG371 &lt; 0, AF372 + AG371, 0)</f>
        <v>0</v>
      </c>
      <c r="AH372" s="1">
        <v>0</v>
      </c>
      <c r="AI372" s="1">
        <f>IF(AH372 + AI371 &lt; 0, AH372 + AI371, 0)</f>
        <v>0</v>
      </c>
      <c r="AJ372" s="1">
        <v>0</v>
      </c>
      <c r="AK372" s="1">
        <f>IF(AJ372 + AK371 &lt; 0, AJ372 + AK371, 0)</f>
        <v>0</v>
      </c>
    </row>
    <row r="373" spans="1:37" s="1" customFormat="1">
      <c r="A373" s="3">
        <v>45841</v>
      </c>
      <c r="B373" s="2" t="s">
        <v>25</v>
      </c>
      <c r="C373" s="2">
        <v>21</v>
      </c>
      <c r="D373" s="2">
        <v>21</v>
      </c>
      <c r="E373" s="2">
        <v>21</v>
      </c>
      <c r="F373" s="2">
        <v>1</v>
      </c>
      <c r="G373" s="2">
        <v>4</v>
      </c>
      <c r="H373" s="1">
        <v>0</v>
      </c>
      <c r="I373" s="1">
        <f>IF(H373 + I372 &lt; 0, H373 + I372, 0)</f>
        <v>0</v>
      </c>
      <c r="J373" s="1">
        <v>0</v>
      </c>
      <c r="K373" s="1">
        <f>IF(J373 + K372 &lt; 0, J373 + K372, 0)</f>
        <v>0</v>
      </c>
      <c r="L373" s="1">
        <v>0</v>
      </c>
      <c r="M373" s="1">
        <f>IF(L373 + M372 &lt; 0, L373 + M372, 0)</f>
        <v>0</v>
      </c>
      <c r="N373" s="1">
        <v>0</v>
      </c>
      <c r="O373" s="1">
        <f>IF(N373 + O372 &lt; 0, N373 + O372, 0)</f>
        <v>0</v>
      </c>
      <c r="P373" s="1">
        <v>0</v>
      </c>
      <c r="Q373" s="1">
        <f>IF(P373 + Q372 &lt; 0, P373 + Q372, 0)</f>
        <v>0</v>
      </c>
      <c r="R373" s="1">
        <v>0</v>
      </c>
      <c r="S373" s="1">
        <f>IF(R373 + S372 &lt; 0, R373 + S372, 0)</f>
        <v>0</v>
      </c>
      <c r="T373" s="1">
        <v>0</v>
      </c>
      <c r="U373" s="1">
        <f>IF(T373 + U372 &lt; 0, T373 + U372, 0)</f>
        <v>0</v>
      </c>
      <c r="V373" s="1">
        <v>0</v>
      </c>
      <c r="W373" s="1">
        <f>IF(V373 + W372 &lt; 0, V373 + W372, 0)</f>
        <v>0</v>
      </c>
      <c r="X373" s="1">
        <v>0</v>
      </c>
      <c r="Y373" s="1">
        <f>IF(X373 + Y372 &lt; 0, X373 + Y372, 0)</f>
        <v>0</v>
      </c>
      <c r="Z373" s="1">
        <v>673105.6516824975</v>
      </c>
      <c r="AA373" s="1">
        <f>IF(Z373 + AA372 &lt; 0, Z373 + AA372, 0)</f>
        <v>0</v>
      </c>
      <c r="AB373" s="1">
        <v>509653.4988210894</v>
      </c>
      <c r="AC373" s="1">
        <f>IF(AB373 + AC372 &lt; 0, AB373 + AC372, 0)</f>
        <v>0</v>
      </c>
      <c r="AD373" s="1">
        <v>78689.01365715562</v>
      </c>
      <c r="AE373" s="1">
        <f>IF(AD373 + AE372 &lt; 0, AD373 + AE372, 0)</f>
        <v>0</v>
      </c>
      <c r="AF373" s="1">
        <v>0</v>
      </c>
      <c r="AG373" s="1">
        <f>IF(AF373 + AG372 &lt; 0, AF373 + AG372, 0)</f>
        <v>0</v>
      </c>
      <c r="AH373" s="1">
        <v>0</v>
      </c>
      <c r="AI373" s="1">
        <f>IF(AH373 + AI372 &lt; 0, AH373 + AI372, 0)</f>
        <v>0</v>
      </c>
      <c r="AJ373" s="1">
        <v>0</v>
      </c>
      <c r="AK373" s="1">
        <f>IF(AJ373 + AK372 &lt; 0, AJ373 + AK372, 0)</f>
        <v>0</v>
      </c>
    </row>
    <row r="374" spans="1:37" s="1" customFormat="1">
      <c r="A374" s="3">
        <v>45842</v>
      </c>
      <c r="B374" s="2" t="s">
        <v>26</v>
      </c>
      <c r="C374" s="2">
        <v>20</v>
      </c>
      <c r="D374" s="2">
        <v>20</v>
      </c>
      <c r="E374" s="2">
        <v>20</v>
      </c>
      <c r="F374" s="2">
        <v>5</v>
      </c>
      <c r="G374" s="2">
        <v>3</v>
      </c>
      <c r="H374" s="1">
        <v>0</v>
      </c>
      <c r="I374" s="1">
        <f>IF(H374 + I373 &lt; 0, H374 + I373, 0)</f>
        <v>0</v>
      </c>
      <c r="J374" s="1">
        <v>0</v>
      </c>
      <c r="K374" s="1">
        <f>IF(J374 + K373 &lt; 0, J374 + K373, 0)</f>
        <v>0</v>
      </c>
      <c r="L374" s="1">
        <v>0</v>
      </c>
      <c r="M374" s="1">
        <f>IF(L374 + M373 &lt; 0, L374 + M373, 0)</f>
        <v>0</v>
      </c>
      <c r="N374" s="1">
        <v>0</v>
      </c>
      <c r="O374" s="1">
        <f>IF(N374 + O373 &lt; 0, N374 + O373, 0)</f>
        <v>0</v>
      </c>
      <c r="P374" s="1">
        <v>0</v>
      </c>
      <c r="Q374" s="1">
        <f>IF(P374 + Q373 &lt; 0, P374 + Q373, 0)</f>
        <v>0</v>
      </c>
      <c r="R374" s="1">
        <v>0</v>
      </c>
      <c r="S374" s="1">
        <f>IF(R374 + S373 &lt; 0, R374 + S373, 0)</f>
        <v>0</v>
      </c>
      <c r="T374" s="1">
        <v>0</v>
      </c>
      <c r="U374" s="1">
        <f>IF(T374 + U373 &lt; 0, T374 + U373, 0)</f>
        <v>0</v>
      </c>
      <c r="V374" s="1">
        <v>0</v>
      </c>
      <c r="W374" s="1">
        <f>IF(V374 + W373 &lt; 0, V374 + W373, 0)</f>
        <v>0</v>
      </c>
      <c r="X374" s="1">
        <v>0</v>
      </c>
      <c r="Y374" s="1">
        <f>IF(X374 + Y373 &lt; 0, X374 + Y373, 0)</f>
        <v>0</v>
      </c>
      <c r="Z374" s="1">
        <v>0</v>
      </c>
      <c r="AA374" s="1">
        <f>IF(Z374 + AA373 &lt; 0, Z374 + AA373, 0)</f>
        <v>0</v>
      </c>
      <c r="AB374" s="1">
        <v>0</v>
      </c>
      <c r="AC374" s="1">
        <f>IF(AB374 + AC373 &lt; 0, AB374 + AC373, 0)</f>
        <v>0</v>
      </c>
      <c r="AD374" s="1">
        <v>0</v>
      </c>
      <c r="AE374" s="1">
        <f>IF(AD374 + AE373 &lt; 0, AD374 + AE373, 0)</f>
        <v>0</v>
      </c>
      <c r="AF374" s="1">
        <v>0</v>
      </c>
      <c r="AG374" s="1">
        <f>IF(AF374 + AG373 &lt; 0, AF374 + AG373, 0)</f>
        <v>0</v>
      </c>
      <c r="AH374" s="1">
        <v>0</v>
      </c>
      <c r="AI374" s="1">
        <f>IF(AH374 + AI373 &lt; 0, AH374 + AI373, 0)</f>
        <v>0</v>
      </c>
      <c r="AJ374" s="1">
        <v>0</v>
      </c>
      <c r="AK374" s="1">
        <f>IF(AJ374 + AK373 &lt; 0, AJ374 + AK373, 0)</f>
        <v>0</v>
      </c>
    </row>
    <row r="375" spans="1:37" s="1" customFormat="1">
      <c r="A375" s="3">
        <v>45845</v>
      </c>
      <c r="B375" s="2" t="s">
        <v>22</v>
      </c>
      <c r="C375" s="2">
        <v>19</v>
      </c>
      <c r="D375" s="2">
        <v>19</v>
      </c>
      <c r="E375" s="2">
        <v>19</v>
      </c>
      <c r="F375" s="2">
        <v>4</v>
      </c>
      <c r="G375" s="2">
        <v>2</v>
      </c>
      <c r="H375" s="1">
        <v>0</v>
      </c>
      <c r="I375" s="1">
        <f>IF(H375 + I374 &lt; 0, H375 + I374, 0)</f>
        <v>0</v>
      </c>
      <c r="J375" s="1">
        <v>0</v>
      </c>
      <c r="K375" s="1">
        <f>IF(J375 + K374 &lt; 0, J375 + K374, 0)</f>
        <v>0</v>
      </c>
      <c r="L375" s="1">
        <v>0</v>
      </c>
      <c r="M375" s="1">
        <f>IF(L375 + M374 &lt; 0, L375 + M374, 0)</f>
        <v>0</v>
      </c>
      <c r="N375" s="1">
        <v>0</v>
      </c>
      <c r="O375" s="1">
        <f>IF(N375 + O374 &lt; 0, N375 + O374, 0)</f>
        <v>0</v>
      </c>
      <c r="P375" s="1">
        <v>0</v>
      </c>
      <c r="Q375" s="1">
        <f>IF(P375 + Q374 &lt; 0, P375 + Q374, 0)</f>
        <v>0</v>
      </c>
      <c r="R375" s="1">
        <v>0</v>
      </c>
      <c r="S375" s="1">
        <f>IF(R375 + S374 &lt; 0, R375 + S374, 0)</f>
        <v>0</v>
      </c>
      <c r="T375" s="1">
        <v>0</v>
      </c>
      <c r="U375" s="1">
        <f>IF(T375 + U374 &lt; 0, T375 + U374, 0)</f>
        <v>0</v>
      </c>
      <c r="V375" s="1">
        <v>0</v>
      </c>
      <c r="W375" s="1">
        <f>IF(V375 + W374 &lt; 0, V375 + W374, 0)</f>
        <v>0</v>
      </c>
      <c r="X375" s="1">
        <v>0</v>
      </c>
      <c r="Y375" s="1">
        <f>IF(X375 + Y374 &lt; 0, X375 + Y374, 0)</f>
        <v>0</v>
      </c>
      <c r="Z375" s="1">
        <v>0</v>
      </c>
      <c r="AA375" s="1">
        <f>IF(Z375 + AA374 &lt; 0, Z375 + AA374, 0)</f>
        <v>0</v>
      </c>
      <c r="AB375" s="1">
        <v>0</v>
      </c>
      <c r="AC375" s="1">
        <f>IF(AB375 + AC374 &lt; 0, AB375 + AC374, 0)</f>
        <v>0</v>
      </c>
      <c r="AD375" s="1">
        <v>0</v>
      </c>
      <c r="AE375" s="1">
        <f>IF(AD375 + AE374 &lt; 0, AD375 + AE374, 0)</f>
        <v>0</v>
      </c>
      <c r="AF375" s="1">
        <v>0</v>
      </c>
      <c r="AG375" s="1">
        <f>IF(AF375 + AG374 &lt; 0, AF375 + AG374, 0)</f>
        <v>0</v>
      </c>
      <c r="AH375" s="1">
        <v>0</v>
      </c>
      <c r="AI375" s="1">
        <f>IF(AH375 + AI374 &lt; 0, AH375 + AI374, 0)</f>
        <v>0</v>
      </c>
      <c r="AJ375" s="1">
        <v>0</v>
      </c>
      <c r="AK375" s="1">
        <f>IF(AJ375 + AK374 &lt; 0, AJ375 + AK374, 0)</f>
        <v>0</v>
      </c>
    </row>
    <row r="376" spans="1:37" s="1" customFormat="1">
      <c r="A376" s="3">
        <v>45846</v>
      </c>
      <c r="B376" s="2" t="s">
        <v>23</v>
      </c>
      <c r="C376" s="2">
        <v>18</v>
      </c>
      <c r="D376" s="2">
        <v>18</v>
      </c>
      <c r="E376" s="2">
        <v>18</v>
      </c>
      <c r="F376" s="2">
        <v>3</v>
      </c>
      <c r="G376" s="2">
        <v>1</v>
      </c>
      <c r="H376" s="1">
        <v>0</v>
      </c>
      <c r="I376" s="1">
        <f>IF(H376 + I375 &lt; 0, H376 + I375, 0)</f>
        <v>0</v>
      </c>
      <c r="J376" s="1">
        <v>0</v>
      </c>
      <c r="K376" s="1">
        <f>IF(J376 + K375 &lt; 0, J376 + K375, 0)</f>
        <v>0</v>
      </c>
      <c r="L376" s="1">
        <v>0</v>
      </c>
      <c r="M376" s="1">
        <f>IF(L376 + M375 &lt; 0, L376 + M375, 0)</f>
        <v>0</v>
      </c>
      <c r="N376" s="1">
        <v>0</v>
      </c>
      <c r="O376" s="1">
        <f>IF(N376 + O375 &lt; 0, N376 + O375, 0)</f>
        <v>0</v>
      </c>
      <c r="P376" s="1">
        <v>0</v>
      </c>
      <c r="Q376" s="1">
        <f>IF(P376 + Q375 &lt; 0, P376 + Q375, 0)</f>
        <v>0</v>
      </c>
      <c r="R376" s="1">
        <v>0</v>
      </c>
      <c r="S376" s="1">
        <f>IF(R376 + S375 &lt; 0, R376 + S375, 0)</f>
        <v>0</v>
      </c>
      <c r="T376" s="1">
        <v>0</v>
      </c>
      <c r="U376" s="1">
        <f>IF(T376 + U375 &lt; 0, T376 + U375, 0)</f>
        <v>0</v>
      </c>
      <c r="V376" s="1">
        <v>0</v>
      </c>
      <c r="W376" s="1">
        <f>IF(V376 + W375 &lt; 0, V376 + W375, 0)</f>
        <v>0</v>
      </c>
      <c r="X376" s="1">
        <v>0</v>
      </c>
      <c r="Y376" s="1">
        <f>IF(X376 + Y375 &lt; 0, X376 + Y375, 0)</f>
        <v>0</v>
      </c>
      <c r="Z376" s="1">
        <v>0</v>
      </c>
      <c r="AA376" s="1">
        <f>IF(Z376 + AA375 &lt; 0, Z376 + AA375, 0)</f>
        <v>0</v>
      </c>
      <c r="AB376" s="1">
        <v>0</v>
      </c>
      <c r="AC376" s="1">
        <f>IF(AB376 + AC375 &lt; 0, AB376 + AC375, 0)</f>
        <v>0</v>
      </c>
      <c r="AD376" s="1">
        <v>0</v>
      </c>
      <c r="AE376" s="1">
        <f>IF(AD376 + AE375 &lt; 0, AD376 + AE375, 0)</f>
        <v>0</v>
      </c>
      <c r="AF376" s="1">
        <v>802126.1862417146</v>
      </c>
      <c r="AG376" s="1">
        <f>IF(AF376 + AG375 &lt; 0, AF376 + AG375, 0)</f>
        <v>0</v>
      </c>
      <c r="AH376" s="1">
        <v>685503.8013650194</v>
      </c>
      <c r="AI376" s="1">
        <f>IF(AH376 + AI375 &lt; 0, AH376 + AI375, 0)</f>
        <v>0</v>
      </c>
      <c r="AJ376" s="1">
        <v>509561.6579373062</v>
      </c>
      <c r="AK376" s="1">
        <f>IF(AJ376 + AK375 &lt; 0, AJ376 + AK375, 0)</f>
        <v>0</v>
      </c>
    </row>
    <row r="377" spans="1:37" s="1" customFormat="1">
      <c r="A377" s="3">
        <v>45847</v>
      </c>
      <c r="B377" s="2" t="s">
        <v>24</v>
      </c>
      <c r="C377" s="2">
        <v>17</v>
      </c>
      <c r="D377" s="2">
        <v>17</v>
      </c>
      <c r="E377" s="2">
        <v>17</v>
      </c>
      <c r="F377" s="2">
        <v>2</v>
      </c>
      <c r="G377" s="2">
        <v>5</v>
      </c>
      <c r="H377" s="1">
        <v>0</v>
      </c>
      <c r="I377" s="1">
        <f>IF(H377 + I376 &lt; 0, H377 + I376, 0)</f>
        <v>0</v>
      </c>
      <c r="J377" s="1">
        <v>0</v>
      </c>
      <c r="K377" s="1">
        <f>IF(J377 + K376 &lt; 0, J377 + K376, 0)</f>
        <v>0</v>
      </c>
      <c r="L377" s="1">
        <v>0</v>
      </c>
      <c r="M377" s="1">
        <f>IF(L377 + M376 &lt; 0, L377 + M376, 0)</f>
        <v>0</v>
      </c>
      <c r="N377" s="1">
        <v>0</v>
      </c>
      <c r="O377" s="1">
        <f>IF(N377 + O376 &lt; 0, N377 + O376, 0)</f>
        <v>0</v>
      </c>
      <c r="P377" s="1">
        <v>0</v>
      </c>
      <c r="Q377" s="1">
        <f>IF(P377 + Q376 &lt; 0, P377 + Q376, 0)</f>
        <v>0</v>
      </c>
      <c r="R377" s="1">
        <v>0</v>
      </c>
      <c r="S377" s="1">
        <f>IF(R377 + S376 &lt; 0, R377 + S376, 0)</f>
        <v>0</v>
      </c>
      <c r="T377" s="1">
        <v>0</v>
      </c>
      <c r="U377" s="1">
        <f>IF(T377 + U376 &lt; 0, T377 + U376, 0)</f>
        <v>0</v>
      </c>
      <c r="V377" s="1">
        <v>0</v>
      </c>
      <c r="W377" s="1">
        <f>IF(V377 + W376 &lt; 0, V377 + W376, 0)</f>
        <v>0</v>
      </c>
      <c r="X377" s="1">
        <v>0</v>
      </c>
      <c r="Y377" s="1">
        <f>IF(X377 + Y376 &lt; 0, X377 + Y376, 0)</f>
        <v>0</v>
      </c>
      <c r="Z377" s="1">
        <v>0</v>
      </c>
      <c r="AA377" s="1">
        <f>IF(Z377 + AA376 &lt; 0, Z377 + AA376, 0)</f>
        <v>0</v>
      </c>
      <c r="AB377" s="1">
        <v>0</v>
      </c>
      <c r="AC377" s="1">
        <f>IF(AB377 + AC376 &lt; 0, AB377 + AC376, 0)</f>
        <v>0</v>
      </c>
      <c r="AD377" s="1">
        <v>0</v>
      </c>
      <c r="AE377" s="1">
        <f>IF(AD377 + AE376 &lt; 0, AD377 + AE376, 0)</f>
        <v>0</v>
      </c>
      <c r="AF377" s="1">
        <v>0</v>
      </c>
      <c r="AG377" s="1">
        <f>IF(AF377 + AG376 &lt; 0, AF377 + AG376, 0)</f>
        <v>0</v>
      </c>
      <c r="AH377" s="1">
        <v>0</v>
      </c>
      <c r="AI377" s="1">
        <f>IF(AH377 + AI376 &lt; 0, AH377 + AI376, 0)</f>
        <v>0</v>
      </c>
      <c r="AJ377" s="1">
        <v>0</v>
      </c>
      <c r="AK377" s="1">
        <f>IF(AJ377 + AK376 &lt; 0, AJ377 + AK376, 0)</f>
        <v>0</v>
      </c>
    </row>
    <row r="378" spans="1:37" s="1" customFormat="1">
      <c r="A378" s="3">
        <v>45848</v>
      </c>
      <c r="B378" s="2" t="s">
        <v>25</v>
      </c>
      <c r="C378" s="2">
        <v>16</v>
      </c>
      <c r="D378" s="2">
        <v>16</v>
      </c>
      <c r="E378" s="2">
        <v>16</v>
      </c>
      <c r="F378" s="2">
        <v>1</v>
      </c>
      <c r="G378" s="2">
        <v>4</v>
      </c>
      <c r="H378" s="1">
        <v>0</v>
      </c>
      <c r="I378" s="1">
        <f>IF(H378 + I377 &lt; 0, H378 + I377, 0)</f>
        <v>0</v>
      </c>
      <c r="J378" s="1">
        <v>0</v>
      </c>
      <c r="K378" s="1">
        <f>IF(J378 + K377 &lt; 0, J378 + K377, 0)</f>
        <v>0</v>
      </c>
      <c r="L378" s="1">
        <v>0</v>
      </c>
      <c r="M378" s="1">
        <f>IF(L378 + M377 &lt; 0, L378 + M377, 0)</f>
        <v>0</v>
      </c>
      <c r="N378" s="1">
        <v>0</v>
      </c>
      <c r="O378" s="1">
        <f>IF(N378 + O377 &lt; 0, N378 + O377, 0)</f>
        <v>0</v>
      </c>
      <c r="P378" s="1">
        <v>0</v>
      </c>
      <c r="Q378" s="1">
        <f>IF(P378 + Q377 &lt; 0, P378 + Q377, 0)</f>
        <v>0</v>
      </c>
      <c r="R378" s="1">
        <v>0</v>
      </c>
      <c r="S378" s="1">
        <f>IF(R378 + S377 &lt; 0, R378 + S377, 0)</f>
        <v>0</v>
      </c>
      <c r="T378" s="1">
        <v>0</v>
      </c>
      <c r="U378" s="1">
        <f>IF(T378 + U377 &lt; 0, T378 + U377, 0)</f>
        <v>0</v>
      </c>
      <c r="V378" s="1">
        <v>0</v>
      </c>
      <c r="W378" s="1">
        <f>IF(V378 + W377 &lt; 0, V378 + W377, 0)</f>
        <v>0</v>
      </c>
      <c r="X378" s="1">
        <v>0</v>
      </c>
      <c r="Y378" s="1">
        <f>IF(X378 + Y377 &lt; 0, X378 + Y377, 0)</f>
        <v>0</v>
      </c>
      <c r="Z378" s="1">
        <v>507644.2195291877</v>
      </c>
      <c r="AA378" s="1">
        <f>IF(Z378 + AA377 &lt; 0, Z378 + AA377, 0)</f>
        <v>0</v>
      </c>
      <c r="AB378" s="1">
        <v>800880.8974039668</v>
      </c>
      <c r="AC378" s="1">
        <f>IF(AB378 + AC377 &lt; 0, AB378 + AC377, 0)</f>
        <v>0</v>
      </c>
      <c r="AD378" s="1">
        <v>525845.4173046141</v>
      </c>
      <c r="AE378" s="1">
        <f>IF(AD378 + AE377 &lt; 0, AD378 + AE377, 0)</f>
        <v>0</v>
      </c>
      <c r="AF378" s="1">
        <v>0</v>
      </c>
      <c r="AG378" s="1">
        <f>IF(AF378 + AG377 &lt; 0, AF378 + AG377, 0)</f>
        <v>0</v>
      </c>
      <c r="AH378" s="1">
        <v>0</v>
      </c>
      <c r="AI378" s="1">
        <f>IF(AH378 + AI377 &lt; 0, AH378 + AI377, 0)</f>
        <v>0</v>
      </c>
      <c r="AJ378" s="1">
        <v>0</v>
      </c>
      <c r="AK378" s="1">
        <f>IF(AJ378 + AK377 &lt; 0, AJ378 + AK377, 0)</f>
        <v>0</v>
      </c>
    </row>
    <row r="379" spans="1:37" s="1" customFormat="1">
      <c r="A379" s="3">
        <v>45849</v>
      </c>
      <c r="B379" s="2" t="s">
        <v>26</v>
      </c>
      <c r="C379" s="2">
        <v>15</v>
      </c>
      <c r="D379" s="2">
        <v>15</v>
      </c>
      <c r="E379" s="2">
        <v>15</v>
      </c>
      <c r="F379" s="2">
        <v>5</v>
      </c>
      <c r="G379" s="2">
        <v>3</v>
      </c>
      <c r="H379" s="1">
        <v>0</v>
      </c>
      <c r="I379" s="1">
        <f>IF(H379 + I378 &lt; 0, H379 + I378, 0)</f>
        <v>0</v>
      </c>
      <c r="J379" s="1">
        <v>0</v>
      </c>
      <c r="K379" s="1">
        <f>IF(J379 + K378 &lt; 0, J379 + K378, 0)</f>
        <v>0</v>
      </c>
      <c r="L379" s="1">
        <v>0</v>
      </c>
      <c r="M379" s="1">
        <f>IF(L379 + M378 &lt; 0, L379 + M378, 0)</f>
        <v>0</v>
      </c>
      <c r="N379" s="1">
        <v>0</v>
      </c>
      <c r="O379" s="1">
        <f>IF(N379 + O378 &lt; 0, N379 + O378, 0)</f>
        <v>0</v>
      </c>
      <c r="P379" s="1">
        <v>0</v>
      </c>
      <c r="Q379" s="1">
        <f>IF(P379 + Q378 &lt; 0, P379 + Q378, 0)</f>
        <v>0</v>
      </c>
      <c r="R379" s="1">
        <v>0</v>
      </c>
      <c r="S379" s="1">
        <f>IF(R379 + S378 &lt; 0, R379 + S378, 0)</f>
        <v>0</v>
      </c>
      <c r="T379" s="1">
        <v>0</v>
      </c>
      <c r="U379" s="1">
        <f>IF(T379 + U378 &lt; 0, T379 + U378, 0)</f>
        <v>0</v>
      </c>
      <c r="V379" s="1">
        <v>0</v>
      </c>
      <c r="W379" s="1">
        <f>IF(V379 + W378 &lt; 0, V379 + W378, 0)</f>
        <v>0</v>
      </c>
      <c r="X379" s="1">
        <v>0</v>
      </c>
      <c r="Y379" s="1">
        <f>IF(X379 + Y378 &lt; 0, X379 + Y378, 0)</f>
        <v>0</v>
      </c>
      <c r="Z379" s="1">
        <v>0</v>
      </c>
      <c r="AA379" s="1">
        <f>IF(Z379 + AA378 &lt; 0, Z379 + AA378, 0)</f>
        <v>0</v>
      </c>
      <c r="AB379" s="1">
        <v>0</v>
      </c>
      <c r="AC379" s="1">
        <f>IF(AB379 + AC378 &lt; 0, AB379 + AC378, 0)</f>
        <v>0</v>
      </c>
      <c r="AD379" s="1">
        <v>0</v>
      </c>
      <c r="AE379" s="1">
        <f>IF(AD379 + AE378 &lt; 0, AD379 + AE378, 0)</f>
        <v>0</v>
      </c>
      <c r="AF379" s="1">
        <v>0</v>
      </c>
      <c r="AG379" s="1">
        <f>IF(AF379 + AG378 &lt; 0, AF379 + AG378, 0)</f>
        <v>0</v>
      </c>
      <c r="AH379" s="1">
        <v>0</v>
      </c>
      <c r="AI379" s="1">
        <f>IF(AH379 + AI378 &lt; 0, AH379 + AI378, 0)</f>
        <v>0</v>
      </c>
      <c r="AJ379" s="1">
        <v>0</v>
      </c>
      <c r="AK379" s="1">
        <f>IF(AJ379 + AK378 &lt; 0, AJ379 + AK378, 0)</f>
        <v>0</v>
      </c>
    </row>
    <row r="380" spans="1:37" s="1" customFormat="1">
      <c r="A380" s="3">
        <v>45852</v>
      </c>
      <c r="B380" s="2" t="s">
        <v>22</v>
      </c>
      <c r="C380" s="2">
        <v>14</v>
      </c>
      <c r="D380" s="2">
        <v>14</v>
      </c>
      <c r="E380" s="2">
        <v>14</v>
      </c>
      <c r="F380" s="2">
        <v>4</v>
      </c>
      <c r="G380" s="2">
        <v>2</v>
      </c>
      <c r="H380" s="1">
        <v>0</v>
      </c>
      <c r="I380" s="1">
        <f>IF(H380 + I379 &lt; 0, H380 + I379, 0)</f>
        <v>0</v>
      </c>
      <c r="J380" s="1">
        <v>0</v>
      </c>
      <c r="K380" s="1">
        <f>IF(J380 + K379 &lt; 0, J380 + K379, 0)</f>
        <v>0</v>
      </c>
      <c r="L380" s="1">
        <v>0</v>
      </c>
      <c r="M380" s="1">
        <f>IF(L380 + M379 &lt; 0, L380 + M379, 0)</f>
        <v>0</v>
      </c>
      <c r="N380" s="1">
        <v>0</v>
      </c>
      <c r="O380" s="1">
        <f>IF(N380 + O379 &lt; 0, N380 + O379, 0)</f>
        <v>0</v>
      </c>
      <c r="P380" s="1">
        <v>0</v>
      </c>
      <c r="Q380" s="1">
        <f>IF(P380 + Q379 &lt; 0, P380 + Q379, 0)</f>
        <v>0</v>
      </c>
      <c r="R380" s="1">
        <v>0</v>
      </c>
      <c r="S380" s="1">
        <f>IF(R380 + S379 &lt; 0, R380 + S379, 0)</f>
        <v>0</v>
      </c>
      <c r="T380" s="1">
        <v>0</v>
      </c>
      <c r="U380" s="1">
        <f>IF(T380 + U379 &lt; 0, T380 + U379, 0)</f>
        <v>0</v>
      </c>
      <c r="V380" s="1">
        <v>0</v>
      </c>
      <c r="W380" s="1">
        <f>IF(V380 + W379 &lt; 0, V380 + W379, 0)</f>
        <v>0</v>
      </c>
      <c r="X380" s="1">
        <v>0</v>
      </c>
      <c r="Y380" s="1">
        <f>IF(X380 + Y379 &lt; 0, X380 + Y379, 0)</f>
        <v>0</v>
      </c>
      <c r="Z380" s="1">
        <v>0</v>
      </c>
      <c r="AA380" s="1">
        <f>IF(Z380 + AA379 &lt; 0, Z380 + AA379, 0)</f>
        <v>0</v>
      </c>
      <c r="AB380" s="1">
        <v>0</v>
      </c>
      <c r="AC380" s="1">
        <f>IF(AB380 + AC379 &lt; 0, AB380 + AC379, 0)</f>
        <v>0</v>
      </c>
      <c r="AD380" s="1">
        <v>0</v>
      </c>
      <c r="AE380" s="1">
        <f>IF(AD380 + AE379 &lt; 0, AD380 + AE379, 0)</f>
        <v>0</v>
      </c>
      <c r="AF380" s="1">
        <v>0</v>
      </c>
      <c r="AG380" s="1">
        <f>IF(AF380 + AG379 &lt; 0, AF380 + AG379, 0)</f>
        <v>0</v>
      </c>
      <c r="AH380" s="1">
        <v>0</v>
      </c>
      <c r="AI380" s="1">
        <f>IF(AH380 + AI379 &lt; 0, AH380 + AI379, 0)</f>
        <v>0</v>
      </c>
      <c r="AJ380" s="1">
        <v>0</v>
      </c>
      <c r="AK380" s="1">
        <f>IF(AJ380 + AK379 &lt; 0, AJ380 + AK379, 0)</f>
        <v>0</v>
      </c>
    </row>
    <row r="381" spans="1:37" s="1" customFormat="1">
      <c r="A381" s="3">
        <v>45853</v>
      </c>
      <c r="B381" s="2" t="s">
        <v>23</v>
      </c>
      <c r="C381" s="2">
        <v>13</v>
      </c>
      <c r="D381" s="2">
        <v>13</v>
      </c>
      <c r="E381" s="2">
        <v>13</v>
      </c>
      <c r="F381" s="2">
        <v>3</v>
      </c>
      <c r="G381" s="2">
        <v>1</v>
      </c>
      <c r="H381" s="1">
        <v>0</v>
      </c>
      <c r="I381" s="1">
        <f>IF(H381 + I380 &lt; 0, H381 + I380, 0)</f>
        <v>0</v>
      </c>
      <c r="J381" s="1">
        <v>0</v>
      </c>
      <c r="K381" s="1">
        <f>IF(J381 + K380 &lt; 0, J381 + K380, 0)</f>
        <v>0</v>
      </c>
      <c r="L381" s="1">
        <v>0</v>
      </c>
      <c r="M381" s="1">
        <f>IF(L381 + M380 &lt; 0, L381 + M380, 0)</f>
        <v>0</v>
      </c>
      <c r="N381" s="1">
        <v>0</v>
      </c>
      <c r="O381" s="1">
        <f>IF(N381 + O380 &lt; 0, N381 + O380, 0)</f>
        <v>0</v>
      </c>
      <c r="P381" s="1">
        <v>0</v>
      </c>
      <c r="Q381" s="1">
        <f>IF(P381 + Q380 &lt; 0, P381 + Q380, 0)</f>
        <v>0</v>
      </c>
      <c r="R381" s="1">
        <v>0</v>
      </c>
      <c r="S381" s="1">
        <f>IF(R381 + S380 &lt; 0, R381 + S380, 0)</f>
        <v>0</v>
      </c>
      <c r="T381" s="1">
        <v>0</v>
      </c>
      <c r="U381" s="1">
        <f>IF(T381 + U380 &lt; 0, T381 + U380, 0)</f>
        <v>0</v>
      </c>
      <c r="V381" s="1">
        <v>0</v>
      </c>
      <c r="W381" s="1">
        <f>IF(V381 + W380 &lt; 0, V381 + W380, 0)</f>
        <v>0</v>
      </c>
      <c r="X381" s="1">
        <v>0</v>
      </c>
      <c r="Y381" s="1">
        <f>IF(X381 + Y380 &lt; 0, X381 + Y380, 0)</f>
        <v>0</v>
      </c>
      <c r="Z381" s="1">
        <v>0</v>
      </c>
      <c r="AA381" s="1">
        <f>IF(Z381 + AA380 &lt; 0, Z381 + AA380, 0)</f>
        <v>0</v>
      </c>
      <c r="AB381" s="1">
        <v>0</v>
      </c>
      <c r="AC381" s="1">
        <f>IF(AB381 + AC380 &lt; 0, AB381 + AC380, 0)</f>
        <v>0</v>
      </c>
      <c r="AD381" s="1">
        <v>0</v>
      </c>
      <c r="AE381" s="1">
        <f>IF(AD381 + AE380 &lt; 0, AD381 + AE380, 0)</f>
        <v>0</v>
      </c>
      <c r="AF381" s="1">
        <v>180254.1195846025</v>
      </c>
      <c r="AG381" s="1">
        <f>IF(AF381 + AG380 &lt; 0, AF381 + AG380, 0)</f>
        <v>0</v>
      </c>
      <c r="AH381" s="1">
        <v>248345.2146040262</v>
      </c>
      <c r="AI381" s="1">
        <f>IF(AH381 + AI380 &lt; 0, AH381 + AI380, 0)</f>
        <v>0</v>
      </c>
      <c r="AJ381" s="1">
        <v>222700.4870643311</v>
      </c>
      <c r="AK381" s="1">
        <f>IF(AJ381 + AK380 &lt; 0, AJ381 + AK380, 0)</f>
        <v>0</v>
      </c>
    </row>
    <row r="382" spans="1:37" s="1" customFormat="1">
      <c r="A382" s="3">
        <v>45854</v>
      </c>
      <c r="B382" s="2" t="s">
        <v>24</v>
      </c>
      <c r="C382" s="2">
        <v>12</v>
      </c>
      <c r="D382" s="2">
        <v>12</v>
      </c>
      <c r="E382" s="2">
        <v>12</v>
      </c>
      <c r="F382" s="2">
        <v>2</v>
      </c>
      <c r="G382" s="2">
        <v>5</v>
      </c>
      <c r="H382" s="1">
        <v>0</v>
      </c>
      <c r="I382" s="1">
        <f>IF(H382 + I381 &lt; 0, H382 + I381, 0)</f>
        <v>0</v>
      </c>
      <c r="J382" s="1">
        <v>0</v>
      </c>
      <c r="K382" s="1">
        <f>IF(J382 + K381 &lt; 0, J382 + K381, 0)</f>
        <v>0</v>
      </c>
      <c r="L382" s="1">
        <v>0</v>
      </c>
      <c r="M382" s="1">
        <f>IF(L382 + M381 &lt; 0, L382 + M381, 0)</f>
        <v>0</v>
      </c>
      <c r="N382" s="1">
        <v>0</v>
      </c>
      <c r="O382" s="1">
        <f>IF(N382 + O381 &lt; 0, N382 + O381, 0)</f>
        <v>0</v>
      </c>
      <c r="P382" s="1">
        <v>0</v>
      </c>
      <c r="Q382" s="1">
        <f>IF(P382 + Q381 &lt; 0, P382 + Q381, 0)</f>
        <v>0</v>
      </c>
      <c r="R382" s="1">
        <v>0</v>
      </c>
      <c r="S382" s="1">
        <f>IF(R382 + S381 &lt; 0, R382 + S381, 0)</f>
        <v>0</v>
      </c>
      <c r="T382" s="1">
        <v>0</v>
      </c>
      <c r="U382" s="1">
        <f>IF(T382 + U381 &lt; 0, T382 + U381, 0)</f>
        <v>0</v>
      </c>
      <c r="V382" s="1">
        <v>0</v>
      </c>
      <c r="W382" s="1">
        <f>IF(V382 + W381 &lt; 0, V382 + W381, 0)</f>
        <v>0</v>
      </c>
      <c r="X382" s="1">
        <v>0</v>
      </c>
      <c r="Y382" s="1">
        <f>IF(X382 + Y381 &lt; 0, X382 + Y381, 0)</f>
        <v>0</v>
      </c>
      <c r="Z382" s="1">
        <v>0</v>
      </c>
      <c r="AA382" s="1">
        <f>IF(Z382 + AA381 &lt; 0, Z382 + AA381, 0)</f>
        <v>0</v>
      </c>
      <c r="AB382" s="1">
        <v>0</v>
      </c>
      <c r="AC382" s="1">
        <f>IF(AB382 + AC381 &lt; 0, AB382 + AC381, 0)</f>
        <v>0</v>
      </c>
      <c r="AD382" s="1">
        <v>0</v>
      </c>
      <c r="AE382" s="1">
        <f>IF(AD382 + AE381 &lt; 0, AD382 + AE381, 0)</f>
        <v>0</v>
      </c>
      <c r="AF382" s="1">
        <v>0</v>
      </c>
      <c r="AG382" s="1">
        <f>IF(AF382 + AG381 &lt; 0, AF382 + AG381, 0)</f>
        <v>0</v>
      </c>
      <c r="AH382" s="1">
        <v>0</v>
      </c>
      <c r="AI382" s="1">
        <f>IF(AH382 + AI381 &lt; 0, AH382 + AI381, 0)</f>
        <v>0</v>
      </c>
      <c r="AJ382" s="1">
        <v>0</v>
      </c>
      <c r="AK382" s="1">
        <f>IF(AJ382 + AK381 &lt; 0, AJ382 + AK381, 0)</f>
        <v>0</v>
      </c>
    </row>
    <row r="383" spans="1:37" s="1" customFormat="1">
      <c r="A383" s="3">
        <v>45855</v>
      </c>
      <c r="B383" s="2" t="s">
        <v>25</v>
      </c>
      <c r="C383" s="2">
        <v>11</v>
      </c>
      <c r="D383" s="2">
        <v>11</v>
      </c>
      <c r="E383" s="2">
        <v>11</v>
      </c>
      <c r="F383" s="2">
        <v>1</v>
      </c>
      <c r="G383" s="2">
        <v>4</v>
      </c>
      <c r="H383" s="1">
        <v>0</v>
      </c>
      <c r="I383" s="1">
        <f>IF(H383 + I382 &lt; 0, H383 + I382, 0)</f>
        <v>0</v>
      </c>
      <c r="J383" s="1">
        <v>0</v>
      </c>
      <c r="K383" s="1">
        <f>IF(J383 + K382 &lt; 0, J383 + K382, 0)</f>
        <v>0</v>
      </c>
      <c r="L383" s="1">
        <v>0</v>
      </c>
      <c r="M383" s="1">
        <f>IF(L383 + M382 &lt; 0, L383 + M382, 0)</f>
        <v>0</v>
      </c>
      <c r="N383" s="1">
        <v>0</v>
      </c>
      <c r="O383" s="1">
        <f>IF(N383 + O382 &lt; 0, N383 + O382, 0)</f>
        <v>0</v>
      </c>
      <c r="P383" s="1">
        <v>0</v>
      </c>
      <c r="Q383" s="1">
        <f>IF(P383 + Q382 &lt; 0, P383 + Q382, 0)</f>
        <v>0</v>
      </c>
      <c r="R383" s="1">
        <v>0</v>
      </c>
      <c r="S383" s="1">
        <f>IF(R383 + S382 &lt; 0, R383 + S382, 0)</f>
        <v>0</v>
      </c>
      <c r="T383" s="1">
        <v>0</v>
      </c>
      <c r="U383" s="1">
        <f>IF(T383 + U382 &lt; 0, T383 + U382, 0)</f>
        <v>0</v>
      </c>
      <c r="V383" s="1">
        <v>0</v>
      </c>
      <c r="W383" s="1">
        <f>IF(V383 + W382 &lt; 0, V383 + W382, 0)</f>
        <v>0</v>
      </c>
      <c r="X383" s="1">
        <v>0</v>
      </c>
      <c r="Y383" s="1">
        <f>IF(X383 + Y382 &lt; 0, X383 + Y382, 0)</f>
        <v>0</v>
      </c>
      <c r="Z383" s="1">
        <v>709186.6108828523</v>
      </c>
      <c r="AA383" s="1">
        <f>IF(Z383 + AA382 &lt; 0, Z383 + AA382, 0)</f>
        <v>0</v>
      </c>
      <c r="AB383" s="1">
        <v>540699.8667564132</v>
      </c>
      <c r="AC383" s="1">
        <f>IF(AB383 + AC382 &lt; 0, AB383 + AC382, 0)</f>
        <v>0</v>
      </c>
      <c r="AD383" s="1">
        <v>436670.6156570322</v>
      </c>
      <c r="AE383" s="1">
        <f>IF(AD383 + AE382 &lt; 0, AD383 + AE382, 0)</f>
        <v>0</v>
      </c>
      <c r="AF383" s="1">
        <v>0</v>
      </c>
      <c r="AG383" s="1">
        <f>IF(AF383 + AG382 &lt; 0, AF383 + AG382, 0)</f>
        <v>0</v>
      </c>
      <c r="AH383" s="1">
        <v>0</v>
      </c>
      <c r="AI383" s="1">
        <f>IF(AH383 + AI382 &lt; 0, AH383 + AI382, 0)</f>
        <v>0</v>
      </c>
      <c r="AJ383" s="1">
        <v>0</v>
      </c>
      <c r="AK383" s="1">
        <f>IF(AJ383 + AK382 &lt; 0, AJ383 + AK382, 0)</f>
        <v>0</v>
      </c>
    </row>
    <row r="384" spans="1:37" s="1" customFormat="1">
      <c r="A384" s="3">
        <v>45856</v>
      </c>
      <c r="B384" s="2" t="s">
        <v>26</v>
      </c>
      <c r="C384" s="2">
        <v>10</v>
      </c>
      <c r="D384" s="2">
        <v>10</v>
      </c>
      <c r="E384" s="2">
        <v>10</v>
      </c>
      <c r="F384" s="2">
        <v>5</v>
      </c>
      <c r="G384" s="2">
        <v>3</v>
      </c>
      <c r="H384" s="1">
        <v>0</v>
      </c>
      <c r="I384" s="1">
        <f>IF(H384 + I383 &lt; 0, H384 + I383, 0)</f>
        <v>0</v>
      </c>
      <c r="J384" s="1">
        <v>0</v>
      </c>
      <c r="K384" s="1">
        <f>IF(J384 + K383 &lt; 0, J384 + K383, 0)</f>
        <v>0</v>
      </c>
      <c r="L384" s="1">
        <v>0</v>
      </c>
      <c r="M384" s="1">
        <f>IF(L384 + M383 &lt; 0, L384 + M383, 0)</f>
        <v>0</v>
      </c>
      <c r="N384" s="1">
        <v>0</v>
      </c>
      <c r="O384" s="1">
        <f>IF(N384 + O383 &lt; 0, N384 + O383, 0)</f>
        <v>0</v>
      </c>
      <c r="P384" s="1">
        <v>0</v>
      </c>
      <c r="Q384" s="1">
        <f>IF(P384 + Q383 &lt; 0, P384 + Q383, 0)</f>
        <v>0</v>
      </c>
      <c r="R384" s="1">
        <v>0</v>
      </c>
      <c r="S384" s="1">
        <f>IF(R384 + S383 &lt; 0, R384 + S383, 0)</f>
        <v>0</v>
      </c>
      <c r="T384" s="1">
        <v>0</v>
      </c>
      <c r="U384" s="1">
        <f>IF(T384 + U383 &lt; 0, T384 + U383, 0)</f>
        <v>0</v>
      </c>
      <c r="V384" s="1">
        <v>0</v>
      </c>
      <c r="W384" s="1">
        <f>IF(V384 + W383 &lt; 0, V384 + W383, 0)</f>
        <v>0</v>
      </c>
      <c r="X384" s="1">
        <v>0</v>
      </c>
      <c r="Y384" s="1">
        <f>IF(X384 + Y383 &lt; 0, X384 + Y383, 0)</f>
        <v>0</v>
      </c>
      <c r="Z384" s="1">
        <v>0</v>
      </c>
      <c r="AA384" s="1">
        <f>IF(Z384 + AA383 &lt; 0, Z384 + AA383, 0)</f>
        <v>0</v>
      </c>
      <c r="AB384" s="1">
        <v>0</v>
      </c>
      <c r="AC384" s="1">
        <f>IF(AB384 + AC383 &lt; 0, AB384 + AC383, 0)</f>
        <v>0</v>
      </c>
      <c r="AD384" s="1">
        <v>0</v>
      </c>
      <c r="AE384" s="1">
        <f>IF(AD384 + AE383 &lt; 0, AD384 + AE383, 0)</f>
        <v>0</v>
      </c>
      <c r="AF384" s="1">
        <v>0</v>
      </c>
      <c r="AG384" s="1">
        <f>IF(AF384 + AG383 &lt; 0, AF384 + AG383, 0)</f>
        <v>0</v>
      </c>
      <c r="AH384" s="1">
        <v>0</v>
      </c>
      <c r="AI384" s="1">
        <f>IF(AH384 + AI383 &lt; 0, AH384 + AI383, 0)</f>
        <v>0</v>
      </c>
      <c r="AJ384" s="1">
        <v>0</v>
      </c>
      <c r="AK384" s="1">
        <f>IF(AJ384 + AK383 &lt; 0, AJ384 + AK383, 0)</f>
        <v>0</v>
      </c>
    </row>
    <row r="385" spans="1:37" s="1" customFormat="1">
      <c r="A385" s="3">
        <v>45859</v>
      </c>
      <c r="B385" s="2" t="s">
        <v>22</v>
      </c>
      <c r="C385" s="2">
        <v>9</v>
      </c>
      <c r="D385" s="2">
        <v>9</v>
      </c>
      <c r="E385" s="2">
        <v>9</v>
      </c>
      <c r="F385" s="2">
        <v>4</v>
      </c>
      <c r="G385" s="2">
        <v>2</v>
      </c>
      <c r="H385" s="1">
        <v>0</v>
      </c>
      <c r="I385" s="1">
        <f>IF(H385 + I384 &lt; 0, H385 + I384, 0)</f>
        <v>0</v>
      </c>
      <c r="J385" s="1">
        <v>0</v>
      </c>
      <c r="K385" s="1">
        <f>IF(J385 + K384 &lt; 0, J385 + K384, 0)</f>
        <v>0</v>
      </c>
      <c r="L385" s="1">
        <v>0</v>
      </c>
      <c r="M385" s="1">
        <f>IF(L385 + M384 &lt; 0, L385 + M384, 0)</f>
        <v>0</v>
      </c>
      <c r="N385" s="1">
        <v>0</v>
      </c>
      <c r="O385" s="1">
        <f>IF(N385 + O384 &lt; 0, N385 + O384, 0)</f>
        <v>0</v>
      </c>
      <c r="P385" s="1">
        <v>0</v>
      </c>
      <c r="Q385" s="1">
        <f>IF(P385 + Q384 &lt; 0, P385 + Q384, 0)</f>
        <v>0</v>
      </c>
      <c r="R385" s="1">
        <v>0</v>
      </c>
      <c r="S385" s="1">
        <f>IF(R385 + S384 &lt; 0, R385 + S384, 0)</f>
        <v>0</v>
      </c>
      <c r="T385" s="1">
        <v>0</v>
      </c>
      <c r="U385" s="1">
        <f>IF(T385 + U384 &lt; 0, T385 + U384, 0)</f>
        <v>0</v>
      </c>
      <c r="V385" s="1">
        <v>0</v>
      </c>
      <c r="W385" s="1">
        <f>IF(V385 + W384 &lt; 0, V385 + W384, 0)</f>
        <v>0</v>
      </c>
      <c r="X385" s="1">
        <v>0</v>
      </c>
      <c r="Y385" s="1">
        <f>IF(X385 + Y384 &lt; 0, X385 + Y384, 0)</f>
        <v>0</v>
      </c>
      <c r="Z385" s="1">
        <v>0</v>
      </c>
      <c r="AA385" s="1">
        <f>IF(Z385 + AA384 &lt; 0, Z385 + AA384, 0)</f>
        <v>0</v>
      </c>
      <c r="AB385" s="1">
        <v>0</v>
      </c>
      <c r="AC385" s="1">
        <f>IF(AB385 + AC384 &lt; 0, AB385 + AC384, 0)</f>
        <v>0</v>
      </c>
      <c r="AD385" s="1">
        <v>0</v>
      </c>
      <c r="AE385" s="1">
        <f>IF(AD385 + AE384 &lt; 0, AD385 + AE384, 0)</f>
        <v>0</v>
      </c>
      <c r="AF385" s="1">
        <v>0</v>
      </c>
      <c r="AG385" s="1">
        <f>IF(AF385 + AG384 &lt; 0, AF385 + AG384, 0)</f>
        <v>0</v>
      </c>
      <c r="AH385" s="1">
        <v>0</v>
      </c>
      <c r="AI385" s="1">
        <f>IF(AH385 + AI384 &lt; 0, AH385 + AI384, 0)</f>
        <v>0</v>
      </c>
      <c r="AJ385" s="1">
        <v>0</v>
      </c>
      <c r="AK385" s="1">
        <f>IF(AJ385 + AK384 &lt; 0, AJ385 + AK384, 0)</f>
        <v>0</v>
      </c>
    </row>
    <row r="386" spans="1:37" s="1" customFormat="1">
      <c r="A386" s="3">
        <v>45860</v>
      </c>
      <c r="B386" s="2" t="s">
        <v>23</v>
      </c>
      <c r="C386" s="2">
        <v>8</v>
      </c>
      <c r="D386" s="2">
        <v>8</v>
      </c>
      <c r="E386" s="2">
        <v>8</v>
      </c>
      <c r="F386" s="2">
        <v>3</v>
      </c>
      <c r="G386" s="2">
        <v>1</v>
      </c>
      <c r="H386" s="1">
        <v>0</v>
      </c>
      <c r="I386" s="1">
        <f>IF(H386 + I385 &lt; 0, H386 + I385, 0)</f>
        <v>0</v>
      </c>
      <c r="J386" s="1">
        <v>0</v>
      </c>
      <c r="K386" s="1">
        <f>IF(J386 + K385 &lt; 0, J386 + K385, 0)</f>
        <v>0</v>
      </c>
      <c r="L386" s="1">
        <v>0</v>
      </c>
      <c r="M386" s="1">
        <f>IF(L386 + M385 &lt; 0, L386 + M385, 0)</f>
        <v>0</v>
      </c>
      <c r="N386" s="1">
        <v>0</v>
      </c>
      <c r="O386" s="1">
        <f>IF(N386 + O385 &lt; 0, N386 + O385, 0)</f>
        <v>0</v>
      </c>
      <c r="P386" s="1">
        <v>0</v>
      </c>
      <c r="Q386" s="1">
        <f>IF(P386 + Q385 &lt; 0, P386 + Q385, 0)</f>
        <v>0</v>
      </c>
      <c r="R386" s="1">
        <v>0</v>
      </c>
      <c r="S386" s="1">
        <f>IF(R386 + S385 &lt; 0, R386 + S385, 0)</f>
        <v>0</v>
      </c>
      <c r="T386" s="1">
        <v>0</v>
      </c>
      <c r="U386" s="1">
        <f>IF(T386 + U385 &lt; 0, T386 + U385, 0)</f>
        <v>0</v>
      </c>
      <c r="V386" s="1">
        <v>0</v>
      </c>
      <c r="W386" s="1">
        <f>IF(V386 + W385 &lt; 0, V386 + W385, 0)</f>
        <v>0</v>
      </c>
      <c r="X386" s="1">
        <v>0</v>
      </c>
      <c r="Y386" s="1">
        <f>IF(X386 + Y385 &lt; 0, X386 + Y385, 0)</f>
        <v>0</v>
      </c>
      <c r="Z386" s="1">
        <v>0</v>
      </c>
      <c r="AA386" s="1">
        <f>IF(Z386 + AA385 &lt; 0, Z386 + AA385, 0)</f>
        <v>0</v>
      </c>
      <c r="AB386" s="1">
        <v>0</v>
      </c>
      <c r="AC386" s="1">
        <f>IF(AB386 + AC385 &lt; 0, AB386 + AC385, 0)</f>
        <v>0</v>
      </c>
      <c r="AD386" s="1">
        <v>0</v>
      </c>
      <c r="AE386" s="1">
        <f>IF(AD386 + AE385 &lt; 0, AD386 + AE385, 0)</f>
        <v>0</v>
      </c>
      <c r="AF386" s="1">
        <v>125314.2007769003</v>
      </c>
      <c r="AG386" s="1">
        <f>IF(AF386 + AG385 &lt; 0, AF386 + AG385, 0)</f>
        <v>0</v>
      </c>
      <c r="AH386" s="1">
        <v>-62765.29024987231</v>
      </c>
      <c r="AI386" s="1">
        <f>IF(AH386 + AI385 &lt; 0, AH386 + AI385, 0)</f>
        <v>0</v>
      </c>
      <c r="AJ386" s="1">
        <v>22508.06574663435</v>
      </c>
      <c r="AK386" s="1">
        <f>IF(AJ386 + AK385 &lt; 0, AJ386 + AK385, 0)</f>
        <v>0</v>
      </c>
    </row>
    <row r="387" spans="1:37" s="1" customFormat="1">
      <c r="A387" s="3">
        <v>45861</v>
      </c>
      <c r="B387" s="2" t="s">
        <v>24</v>
      </c>
      <c r="C387" s="2">
        <v>7</v>
      </c>
      <c r="D387" s="2">
        <v>7</v>
      </c>
      <c r="E387" s="2">
        <v>7</v>
      </c>
      <c r="F387" s="2">
        <v>2</v>
      </c>
      <c r="G387" s="2">
        <v>5</v>
      </c>
      <c r="H387" s="1">
        <v>0</v>
      </c>
      <c r="I387" s="1">
        <f>IF(H387 + I386 &lt; 0, H387 + I386, 0)</f>
        <v>0</v>
      </c>
      <c r="J387" s="1">
        <v>0</v>
      </c>
      <c r="K387" s="1">
        <f>IF(J387 + K386 &lt; 0, J387 + K386, 0)</f>
        <v>0</v>
      </c>
      <c r="L387" s="1">
        <v>0</v>
      </c>
      <c r="M387" s="1">
        <f>IF(L387 + M386 &lt; 0, L387 + M386, 0)</f>
        <v>0</v>
      </c>
      <c r="N387" s="1">
        <v>0</v>
      </c>
      <c r="O387" s="1">
        <f>IF(N387 + O386 &lt; 0, N387 + O386, 0)</f>
        <v>0</v>
      </c>
      <c r="P387" s="1">
        <v>0</v>
      </c>
      <c r="Q387" s="1">
        <f>IF(P387 + Q386 &lt; 0, P387 + Q386, 0)</f>
        <v>0</v>
      </c>
      <c r="R387" s="1">
        <v>0</v>
      </c>
      <c r="S387" s="1">
        <f>IF(R387 + S386 &lt; 0, R387 + S386, 0)</f>
        <v>0</v>
      </c>
      <c r="T387" s="1">
        <v>0</v>
      </c>
      <c r="U387" s="1">
        <f>IF(T387 + U386 &lt; 0, T387 + U386, 0)</f>
        <v>0</v>
      </c>
      <c r="V387" s="1">
        <v>0</v>
      </c>
      <c r="W387" s="1">
        <f>IF(V387 + W386 &lt; 0, V387 + W386, 0)</f>
        <v>0</v>
      </c>
      <c r="X387" s="1">
        <v>0</v>
      </c>
      <c r="Y387" s="1">
        <f>IF(X387 + Y386 &lt; 0, X387 + Y386, 0)</f>
        <v>0</v>
      </c>
      <c r="Z387" s="1">
        <v>0</v>
      </c>
      <c r="AA387" s="1">
        <f>IF(Z387 + AA386 &lt; 0, Z387 + AA386, 0)</f>
        <v>0</v>
      </c>
      <c r="AB387" s="1">
        <v>0</v>
      </c>
      <c r="AC387" s="1">
        <f>IF(AB387 + AC386 &lt; 0, AB387 + AC386, 0)</f>
        <v>0</v>
      </c>
      <c r="AD387" s="1">
        <v>0</v>
      </c>
      <c r="AE387" s="1">
        <f>IF(AD387 + AE386 &lt; 0, AD387 + AE386, 0)</f>
        <v>0</v>
      </c>
      <c r="AF387" s="1">
        <v>0</v>
      </c>
      <c r="AG387" s="1">
        <f>IF(AF387 + AG386 &lt; 0, AF387 + AG386, 0)</f>
        <v>0</v>
      </c>
      <c r="AH387" s="1">
        <v>0</v>
      </c>
      <c r="AI387" s="1">
        <f>IF(AH387 + AI386 &lt; 0, AH387 + AI386, 0)</f>
        <v>0</v>
      </c>
      <c r="AJ387" s="1">
        <v>0</v>
      </c>
      <c r="AK387" s="1">
        <f>IF(AJ387 + AK386 &lt; 0, AJ387 + AK386, 0)</f>
        <v>0</v>
      </c>
    </row>
    <row r="388" spans="1:37" s="1" customFormat="1">
      <c r="A388" s="3">
        <v>45862</v>
      </c>
      <c r="B388" s="2" t="s">
        <v>25</v>
      </c>
      <c r="C388" s="2">
        <v>6</v>
      </c>
      <c r="D388" s="2">
        <v>6</v>
      </c>
      <c r="E388" s="2">
        <v>6</v>
      </c>
      <c r="F388" s="2">
        <v>1</v>
      </c>
      <c r="G388" s="2">
        <v>4</v>
      </c>
      <c r="H388" s="1">
        <v>0</v>
      </c>
      <c r="I388" s="1">
        <f>IF(H388 + I387 &lt; 0, H388 + I387, 0)</f>
        <v>0</v>
      </c>
      <c r="J388" s="1">
        <v>0</v>
      </c>
      <c r="K388" s="1">
        <f>IF(J388 + K387 &lt; 0, J388 + K387, 0)</f>
        <v>0</v>
      </c>
      <c r="L388" s="1">
        <v>0</v>
      </c>
      <c r="M388" s="1">
        <f>IF(L388 + M387 &lt; 0, L388 + M387, 0)</f>
        <v>0</v>
      </c>
      <c r="N388" s="1">
        <v>0</v>
      </c>
      <c r="O388" s="1">
        <f>IF(N388 + O387 &lt; 0, N388 + O387, 0)</f>
        <v>0</v>
      </c>
      <c r="P388" s="1">
        <v>0</v>
      </c>
      <c r="Q388" s="1">
        <f>IF(P388 + Q387 &lt; 0, P388 + Q387, 0)</f>
        <v>0</v>
      </c>
      <c r="R388" s="1">
        <v>0</v>
      </c>
      <c r="S388" s="1">
        <f>IF(R388 + S387 &lt; 0, R388 + S387, 0)</f>
        <v>0</v>
      </c>
      <c r="T388" s="1">
        <v>0</v>
      </c>
      <c r="U388" s="1">
        <f>IF(T388 + U387 &lt; 0, T388 + U387, 0)</f>
        <v>0</v>
      </c>
      <c r="V388" s="1">
        <v>0</v>
      </c>
      <c r="W388" s="1">
        <f>IF(V388 + W387 &lt; 0, V388 + W387, 0)</f>
        <v>0</v>
      </c>
      <c r="X388" s="1">
        <v>0</v>
      </c>
      <c r="Y388" s="1">
        <f>IF(X388 + Y387 &lt; 0, X388 + Y387, 0)</f>
        <v>0</v>
      </c>
      <c r="Z388" s="1">
        <v>623172.6055362065</v>
      </c>
      <c r="AA388" s="1">
        <f>IF(Z388 + AA387 &lt; 0, Z388 + AA387, 0)</f>
        <v>0</v>
      </c>
      <c r="AB388" s="1">
        <v>322596.9240531486</v>
      </c>
      <c r="AC388" s="1">
        <f>IF(AB388 + AC387 &lt; 0, AB388 + AC387, 0)</f>
        <v>0</v>
      </c>
      <c r="AD388" s="1">
        <v>-38472.49798548699</v>
      </c>
      <c r="AE388" s="1">
        <f>IF(AD388 + AE387 &lt; 0, AD388 + AE387, 0)</f>
        <v>0</v>
      </c>
      <c r="AF388" s="1">
        <v>0</v>
      </c>
      <c r="AG388" s="1">
        <f>IF(AF388 + AG387 &lt; 0, AF388 + AG387, 0)</f>
        <v>0</v>
      </c>
      <c r="AH388" s="1">
        <v>0</v>
      </c>
      <c r="AI388" s="1">
        <f>IF(AH388 + AI387 &lt; 0, AH388 + AI387, 0)</f>
        <v>0</v>
      </c>
      <c r="AJ388" s="1">
        <v>0</v>
      </c>
      <c r="AK388" s="1">
        <f>IF(AJ388 + AK387 &lt; 0, AJ388 + AK387, 0)</f>
        <v>0</v>
      </c>
    </row>
    <row r="389" spans="1:37" s="1" customFormat="1">
      <c r="A389" s="3">
        <v>45863</v>
      </c>
      <c r="B389" s="2" t="s">
        <v>26</v>
      </c>
      <c r="C389" s="2">
        <v>5</v>
      </c>
      <c r="D389" s="2">
        <v>5</v>
      </c>
      <c r="E389" s="2">
        <v>5</v>
      </c>
      <c r="F389" s="2">
        <v>5</v>
      </c>
      <c r="G389" s="2">
        <v>3</v>
      </c>
      <c r="H389" s="1">
        <v>0</v>
      </c>
      <c r="I389" s="1">
        <f>IF(H389 + I388 &lt; 0, H389 + I388, 0)</f>
        <v>0</v>
      </c>
      <c r="J389" s="1">
        <v>0</v>
      </c>
      <c r="K389" s="1">
        <f>IF(J389 + K388 &lt; 0, J389 + K388, 0)</f>
        <v>0</v>
      </c>
      <c r="L389" s="1">
        <v>0</v>
      </c>
      <c r="M389" s="1">
        <f>IF(L389 + M388 &lt; 0, L389 + M388, 0)</f>
        <v>0</v>
      </c>
      <c r="N389" s="1">
        <v>0</v>
      </c>
      <c r="O389" s="1">
        <f>IF(N389 + O388 &lt; 0, N389 + O388, 0)</f>
        <v>0</v>
      </c>
      <c r="P389" s="1">
        <v>0</v>
      </c>
      <c r="Q389" s="1">
        <f>IF(P389 + Q388 &lt; 0, P389 + Q388, 0)</f>
        <v>0</v>
      </c>
      <c r="R389" s="1">
        <v>0</v>
      </c>
      <c r="S389" s="1">
        <f>IF(R389 + S388 &lt; 0, R389 + S388, 0)</f>
        <v>0</v>
      </c>
      <c r="T389" s="1">
        <v>0</v>
      </c>
      <c r="U389" s="1">
        <f>IF(T389 + U388 &lt; 0, T389 + U388, 0)</f>
        <v>0</v>
      </c>
      <c r="V389" s="1">
        <v>0</v>
      </c>
      <c r="W389" s="1">
        <f>IF(V389 + W388 &lt; 0, V389 + W388, 0)</f>
        <v>0</v>
      </c>
      <c r="X389" s="1">
        <v>0</v>
      </c>
      <c r="Y389" s="1">
        <f>IF(X389 + Y388 &lt; 0, X389 + Y388, 0)</f>
        <v>0</v>
      </c>
      <c r="Z389" s="1">
        <v>0</v>
      </c>
      <c r="AA389" s="1">
        <f>IF(Z389 + AA388 &lt; 0, Z389 + AA388, 0)</f>
        <v>0</v>
      </c>
      <c r="AB389" s="1">
        <v>0</v>
      </c>
      <c r="AC389" s="1">
        <f>IF(AB389 + AC388 &lt; 0, AB389 + AC388, 0)</f>
        <v>0</v>
      </c>
      <c r="AD389" s="1">
        <v>0</v>
      </c>
      <c r="AE389" s="1">
        <f>IF(AD389 + AE388 &lt; 0, AD389 + AE388, 0)</f>
        <v>0</v>
      </c>
      <c r="AF389" s="1">
        <v>0</v>
      </c>
      <c r="AG389" s="1">
        <f>IF(AF389 + AG388 &lt; 0, AF389 + AG388, 0)</f>
        <v>0</v>
      </c>
      <c r="AH389" s="1">
        <v>0</v>
      </c>
      <c r="AI389" s="1">
        <f>IF(AH389 + AI388 &lt; 0, AH389 + AI388, 0)</f>
        <v>0</v>
      </c>
      <c r="AJ389" s="1">
        <v>0</v>
      </c>
      <c r="AK389" s="1">
        <f>IF(AJ389 + AK388 &lt; 0, AJ389 + AK388, 0)</f>
        <v>0</v>
      </c>
    </row>
    <row r="390" spans="1:37" s="1" customFormat="1">
      <c r="A390" s="3">
        <v>45866</v>
      </c>
      <c r="B390" s="2" t="s">
        <v>22</v>
      </c>
      <c r="C390" s="2">
        <v>4</v>
      </c>
      <c r="D390" s="2">
        <v>4</v>
      </c>
      <c r="E390" s="2">
        <v>4</v>
      </c>
      <c r="F390" s="2">
        <v>4</v>
      </c>
      <c r="G390" s="2">
        <v>2</v>
      </c>
      <c r="H390" s="1">
        <v>0</v>
      </c>
      <c r="I390" s="1">
        <f>IF(H390 + I389 &lt; 0, H390 + I389, 0)</f>
        <v>0</v>
      </c>
      <c r="J390" s="1">
        <v>0</v>
      </c>
      <c r="K390" s="1">
        <f>IF(J390 + K389 &lt; 0, J390 + K389, 0)</f>
        <v>0</v>
      </c>
      <c r="L390" s="1">
        <v>0</v>
      </c>
      <c r="M390" s="1">
        <f>IF(L390 + M389 &lt; 0, L390 + M389, 0)</f>
        <v>0</v>
      </c>
      <c r="N390" s="1">
        <v>0</v>
      </c>
      <c r="O390" s="1">
        <f>IF(N390 + O389 &lt; 0, N390 + O389, 0)</f>
        <v>0</v>
      </c>
      <c r="P390" s="1">
        <v>0</v>
      </c>
      <c r="Q390" s="1">
        <f>IF(P390 + Q389 &lt; 0, P390 + Q389, 0)</f>
        <v>0</v>
      </c>
      <c r="R390" s="1">
        <v>0</v>
      </c>
      <c r="S390" s="1">
        <f>IF(R390 + S389 &lt; 0, R390 + S389, 0)</f>
        <v>0</v>
      </c>
      <c r="T390" s="1">
        <v>0</v>
      </c>
      <c r="U390" s="1">
        <f>IF(T390 + U389 &lt; 0, T390 + U389, 0)</f>
        <v>0</v>
      </c>
      <c r="V390" s="1">
        <v>0</v>
      </c>
      <c r="W390" s="1">
        <f>IF(V390 + W389 &lt; 0, V390 + W389, 0)</f>
        <v>0</v>
      </c>
      <c r="X390" s="1">
        <v>0</v>
      </c>
      <c r="Y390" s="1">
        <f>IF(X390 + Y389 &lt; 0, X390 + Y389, 0)</f>
        <v>0</v>
      </c>
      <c r="Z390" s="1">
        <v>0</v>
      </c>
      <c r="AA390" s="1">
        <f>IF(Z390 + AA389 &lt; 0, Z390 + AA389, 0)</f>
        <v>0</v>
      </c>
      <c r="AB390" s="1">
        <v>0</v>
      </c>
      <c r="AC390" s="1">
        <f>IF(AB390 + AC389 &lt; 0, AB390 + AC389, 0)</f>
        <v>0</v>
      </c>
      <c r="AD390" s="1">
        <v>0</v>
      </c>
      <c r="AE390" s="1">
        <f>IF(AD390 + AE389 &lt; 0, AD390 + AE389, 0)</f>
        <v>0</v>
      </c>
      <c r="AF390" s="1">
        <v>0</v>
      </c>
      <c r="AG390" s="1">
        <f>IF(AF390 + AG389 &lt; 0, AF390 + AG389, 0)</f>
        <v>0</v>
      </c>
      <c r="AH390" s="1">
        <v>0</v>
      </c>
      <c r="AI390" s="1">
        <f>IF(AH390 + AI389 &lt; 0, AH390 + AI389, 0)</f>
        <v>0</v>
      </c>
      <c r="AJ390" s="1">
        <v>0</v>
      </c>
      <c r="AK390" s="1">
        <f>IF(AJ390 + AK389 &lt; 0, AJ390 + AK389, 0)</f>
        <v>0</v>
      </c>
    </row>
    <row r="391" spans="1:37" s="1" customFormat="1">
      <c r="A391" s="3">
        <v>45867</v>
      </c>
      <c r="B391" s="2" t="s">
        <v>23</v>
      </c>
      <c r="C391" s="2">
        <v>3</v>
      </c>
      <c r="D391" s="2">
        <v>3</v>
      </c>
      <c r="E391" s="2">
        <v>3</v>
      </c>
      <c r="F391" s="2">
        <v>3</v>
      </c>
      <c r="G391" s="2">
        <v>1</v>
      </c>
      <c r="H391" s="1">
        <v>0</v>
      </c>
      <c r="I391" s="1">
        <f>IF(H391 + I390 &lt; 0, H391 + I390, 0)</f>
        <v>0</v>
      </c>
      <c r="J391" s="1">
        <v>0</v>
      </c>
      <c r="K391" s="1">
        <f>IF(J391 + K390 &lt; 0, J391 + K390, 0)</f>
        <v>0</v>
      </c>
      <c r="L391" s="1">
        <v>0</v>
      </c>
      <c r="M391" s="1">
        <f>IF(L391 + M390 &lt; 0, L391 + M390, 0)</f>
        <v>0</v>
      </c>
      <c r="N391" s="1">
        <v>0</v>
      </c>
      <c r="O391" s="1">
        <f>IF(N391 + O390 &lt; 0, N391 + O390, 0)</f>
        <v>0</v>
      </c>
      <c r="P391" s="1">
        <v>0</v>
      </c>
      <c r="Q391" s="1">
        <f>IF(P391 + Q390 &lt; 0, P391 + Q390, 0)</f>
        <v>0</v>
      </c>
      <c r="R391" s="1">
        <v>0</v>
      </c>
      <c r="S391" s="1">
        <f>IF(R391 + S390 &lt; 0, R391 + S390, 0)</f>
        <v>0</v>
      </c>
      <c r="T391" s="1">
        <v>0</v>
      </c>
      <c r="U391" s="1">
        <f>IF(T391 + U390 &lt; 0, T391 + U390, 0)</f>
        <v>0</v>
      </c>
      <c r="V391" s="1">
        <v>0</v>
      </c>
      <c r="W391" s="1">
        <f>IF(V391 + W390 &lt; 0, V391 + W390, 0)</f>
        <v>0</v>
      </c>
      <c r="X391" s="1">
        <v>0</v>
      </c>
      <c r="Y391" s="1">
        <f>IF(X391 + Y390 &lt; 0, X391 + Y390, 0)</f>
        <v>0</v>
      </c>
      <c r="Z391" s="1">
        <v>0</v>
      </c>
      <c r="AA391" s="1">
        <f>IF(Z391 + AA390 &lt; 0, Z391 + AA390, 0)</f>
        <v>0</v>
      </c>
      <c r="AB391" s="1">
        <v>0</v>
      </c>
      <c r="AC391" s="1">
        <f>IF(AB391 + AC390 &lt; 0, AB391 + AC390, 0)</f>
        <v>0</v>
      </c>
      <c r="AD391" s="1">
        <v>0</v>
      </c>
      <c r="AE391" s="1">
        <f>IF(AD391 + AE390 &lt; 0, AD391 + AE390, 0)</f>
        <v>0</v>
      </c>
      <c r="AF391" s="1">
        <v>-824337.109413755</v>
      </c>
      <c r="AG391" s="1">
        <f>IF(AF391 + AG390 &lt; 0, AF391 + AG390, 0)</f>
        <v>0</v>
      </c>
      <c r="AH391" s="1">
        <v>-753533.9029400332</v>
      </c>
      <c r="AI391" s="1">
        <f>IF(AH391 + AI390 &lt; 0, AH391 + AI390, 0)</f>
        <v>0</v>
      </c>
      <c r="AJ391" s="1">
        <v>-243519.0682645747</v>
      </c>
      <c r="AK391" s="1">
        <f>IF(AJ391 + AK390 &lt; 0, AJ391 + AK390, 0)</f>
        <v>0</v>
      </c>
    </row>
    <row r="392" spans="1:37" s="1" customFormat="1">
      <c r="A392" s="3">
        <v>45868</v>
      </c>
      <c r="B392" s="2" t="s">
        <v>24</v>
      </c>
      <c r="C392" s="2">
        <v>2</v>
      </c>
      <c r="D392" s="2">
        <v>2</v>
      </c>
      <c r="E392" s="2">
        <v>2</v>
      </c>
      <c r="F392" s="2">
        <v>2</v>
      </c>
      <c r="G392" s="2">
        <v>5</v>
      </c>
      <c r="H392" s="1">
        <v>0</v>
      </c>
      <c r="I392" s="1">
        <f>IF(H392 + I391 &lt; 0, H392 + I391, 0)</f>
        <v>0</v>
      </c>
      <c r="J392" s="1">
        <v>0</v>
      </c>
      <c r="K392" s="1">
        <f>IF(J392 + K391 &lt; 0, J392 + K391, 0)</f>
        <v>0</v>
      </c>
      <c r="L392" s="1">
        <v>0</v>
      </c>
      <c r="M392" s="1">
        <f>IF(L392 + M391 &lt; 0, L392 + M391, 0)</f>
        <v>0</v>
      </c>
      <c r="N392" s="1">
        <v>0</v>
      </c>
      <c r="O392" s="1">
        <f>IF(N392 + O391 &lt; 0, N392 + O391, 0)</f>
        <v>0</v>
      </c>
      <c r="P392" s="1">
        <v>0</v>
      </c>
      <c r="Q392" s="1">
        <f>IF(P392 + Q391 &lt; 0, P392 + Q391, 0)</f>
        <v>0</v>
      </c>
      <c r="R392" s="1">
        <v>0</v>
      </c>
      <c r="S392" s="1">
        <f>IF(R392 + S391 &lt; 0, R392 + S391, 0)</f>
        <v>0</v>
      </c>
      <c r="T392" s="1">
        <v>0</v>
      </c>
      <c r="U392" s="1">
        <f>IF(T392 + U391 &lt; 0, T392 + U391, 0)</f>
        <v>0</v>
      </c>
      <c r="V392" s="1">
        <v>0</v>
      </c>
      <c r="W392" s="1">
        <f>IF(V392 + W391 &lt; 0, V392 + W391, 0)</f>
        <v>0</v>
      </c>
      <c r="X392" s="1">
        <v>0</v>
      </c>
      <c r="Y392" s="1">
        <f>IF(X392 + Y391 &lt; 0, X392 + Y391, 0)</f>
        <v>0</v>
      </c>
      <c r="Z392" s="1">
        <v>0</v>
      </c>
      <c r="AA392" s="1">
        <f>IF(Z392 + AA391 &lt; 0, Z392 + AA391, 0)</f>
        <v>0</v>
      </c>
      <c r="AB392" s="1">
        <v>0</v>
      </c>
      <c r="AC392" s="1">
        <f>IF(AB392 + AC391 &lt; 0, AB392 + AC391, 0)</f>
        <v>0</v>
      </c>
      <c r="AD392" s="1">
        <v>0</v>
      </c>
      <c r="AE392" s="1">
        <f>IF(AD392 + AE391 &lt; 0, AD392 + AE391, 0)</f>
        <v>0</v>
      </c>
      <c r="AF392" s="1">
        <v>0</v>
      </c>
      <c r="AG392" s="1">
        <f>IF(AF392 + AG391 &lt; 0, AF392 + AG391, 0)</f>
        <v>0</v>
      </c>
      <c r="AH392" s="1">
        <v>0</v>
      </c>
      <c r="AI392" s="1">
        <f>IF(AH392 + AI391 &lt; 0, AH392 + AI391, 0)</f>
        <v>0</v>
      </c>
      <c r="AJ392" s="1">
        <v>0</v>
      </c>
      <c r="AK392" s="1">
        <f>IF(AJ392 + AK391 &lt; 0, AJ392 + AK391, 0)</f>
        <v>0</v>
      </c>
    </row>
    <row r="393" spans="1:37" s="1" customFormat="1">
      <c r="A393" s="3">
        <v>45869</v>
      </c>
      <c r="B393" s="2" t="s">
        <v>25</v>
      </c>
      <c r="C393" s="2">
        <v>1</v>
      </c>
      <c r="D393" s="2">
        <v>1</v>
      </c>
      <c r="E393" s="2">
        <v>1</v>
      </c>
      <c r="F393" s="2">
        <v>1</v>
      </c>
      <c r="G393" s="2">
        <v>4</v>
      </c>
      <c r="H393" s="1">
        <v>0</v>
      </c>
      <c r="I393" s="1">
        <f>IF(H393 + I392 &lt; 0, H393 + I392, 0)</f>
        <v>0</v>
      </c>
      <c r="J393" s="1">
        <v>0</v>
      </c>
      <c r="K393" s="1">
        <f>IF(J393 + K392 &lt; 0, J393 + K392, 0)</f>
        <v>0</v>
      </c>
      <c r="L393" s="1">
        <v>0</v>
      </c>
      <c r="M393" s="1">
        <f>IF(L393 + M392 &lt; 0, L393 + M392, 0)</f>
        <v>0</v>
      </c>
      <c r="N393" s="1">
        <v>0</v>
      </c>
      <c r="O393" s="1">
        <f>IF(N393 + O392 &lt; 0, N393 + O392, 0)</f>
        <v>0</v>
      </c>
      <c r="P393" s="1">
        <v>0</v>
      </c>
      <c r="Q393" s="1">
        <f>IF(P393 + Q392 &lt; 0, P393 + Q392, 0)</f>
        <v>0</v>
      </c>
      <c r="R393" s="1">
        <v>0</v>
      </c>
      <c r="S393" s="1">
        <f>IF(R393 + S392 &lt; 0, R393 + S392, 0)</f>
        <v>0</v>
      </c>
      <c r="T393" s="1">
        <v>0</v>
      </c>
      <c r="U393" s="1">
        <f>IF(T393 + U392 &lt; 0, T393 + U392, 0)</f>
        <v>0</v>
      </c>
      <c r="V393" s="1">
        <v>0</v>
      </c>
      <c r="W393" s="1">
        <f>IF(V393 + W392 &lt; 0, V393 + W392, 0)</f>
        <v>0</v>
      </c>
      <c r="X393" s="1">
        <v>0</v>
      </c>
      <c r="Y393" s="1">
        <f>IF(X393 + Y392 &lt; 0, X393 + Y392, 0)</f>
        <v>0</v>
      </c>
      <c r="Z393" s="1">
        <v>-459893.9651857325</v>
      </c>
      <c r="AA393" s="1">
        <f>IF(Z393 + AA392 &lt; 0, Z393 + AA392, 0)</f>
        <v>0</v>
      </c>
      <c r="AB393" s="1">
        <v>-385921.8765373283</v>
      </c>
      <c r="AC393" s="1">
        <f>IF(AB393 + AC392 &lt; 0, AB393 + AC392, 0)</f>
        <v>0</v>
      </c>
      <c r="AD393" s="1">
        <v>-388072.3785630346</v>
      </c>
      <c r="AE393" s="1">
        <f>IF(AD393 + AE392 &lt; 0, AD393 + AE392, 0)</f>
        <v>0</v>
      </c>
      <c r="AF393" s="1">
        <v>0</v>
      </c>
      <c r="AG393" s="1">
        <f>IF(AF393 + AG392 &lt; 0, AF393 + AG392, 0)</f>
        <v>0</v>
      </c>
      <c r="AH393" s="1">
        <v>0</v>
      </c>
      <c r="AI393" s="1">
        <f>IF(AH393 + AI392 &lt; 0, AH393 + AI392, 0)</f>
        <v>0</v>
      </c>
      <c r="AJ393" s="1">
        <v>0</v>
      </c>
      <c r="AK393" s="1">
        <f>IF(AJ393 + AK392 &lt; 0, AJ393 + AK392, 0)</f>
        <v>0</v>
      </c>
    </row>
    <row r="394" spans="1:37" s="1" customFormat="1">
      <c r="A394" s="3">
        <v>45870</v>
      </c>
      <c r="B394" s="2" t="s">
        <v>26</v>
      </c>
      <c r="C394" s="2">
        <v>18</v>
      </c>
      <c r="D394" s="2">
        <v>18</v>
      </c>
      <c r="E394" s="2">
        <v>18</v>
      </c>
      <c r="F394" s="2">
        <v>5</v>
      </c>
      <c r="G394" s="2">
        <v>3</v>
      </c>
      <c r="H394" s="1">
        <v>0</v>
      </c>
      <c r="I394" s="1">
        <f>IF(H394 + I393 &lt; 0, H394 + I393, 0)</f>
        <v>0</v>
      </c>
      <c r="J394" s="1">
        <v>0</v>
      </c>
      <c r="K394" s="1">
        <f>IF(J394 + K393 &lt; 0, J394 + K393, 0)</f>
        <v>0</v>
      </c>
      <c r="L394" s="1">
        <v>0</v>
      </c>
      <c r="M394" s="1">
        <f>IF(L394 + M393 &lt; 0, L394 + M393, 0)</f>
        <v>0</v>
      </c>
      <c r="N394" s="1">
        <v>0</v>
      </c>
      <c r="O394" s="1">
        <f>IF(N394 + O393 &lt; 0, N394 + O393, 0)</f>
        <v>0</v>
      </c>
      <c r="P394" s="1">
        <v>0</v>
      </c>
      <c r="Q394" s="1">
        <f>IF(P394 + Q393 &lt; 0, P394 + Q393, 0)</f>
        <v>0</v>
      </c>
      <c r="R394" s="1">
        <v>0</v>
      </c>
      <c r="S394" s="1">
        <f>IF(R394 + S393 &lt; 0, R394 + S393, 0)</f>
        <v>0</v>
      </c>
      <c r="T394" s="1">
        <v>0</v>
      </c>
      <c r="U394" s="1">
        <f>IF(T394 + U393 &lt; 0, T394 + U393, 0)</f>
        <v>0</v>
      </c>
      <c r="V394" s="1">
        <v>0</v>
      </c>
      <c r="W394" s="1">
        <f>IF(V394 + W393 &lt; 0, V394 + W393, 0)</f>
        <v>0</v>
      </c>
      <c r="X394" s="1">
        <v>0</v>
      </c>
      <c r="Y394" s="1">
        <f>IF(X394 + Y393 &lt; 0, X394 + Y393, 0)</f>
        <v>0</v>
      </c>
      <c r="Z394" s="1">
        <v>0</v>
      </c>
      <c r="AA394" s="1">
        <f>IF(Z394 + AA393 &lt; 0, Z394 + AA393, 0)</f>
        <v>0</v>
      </c>
      <c r="AB394" s="1">
        <v>0</v>
      </c>
      <c r="AC394" s="1">
        <f>IF(AB394 + AC393 &lt; 0, AB394 + AC393, 0)</f>
        <v>0</v>
      </c>
      <c r="AD394" s="1">
        <v>0</v>
      </c>
      <c r="AE394" s="1">
        <f>IF(AD394 + AE393 &lt; 0, AD394 + AE393, 0)</f>
        <v>0</v>
      </c>
      <c r="AF394" s="1">
        <v>0</v>
      </c>
      <c r="AG394" s="1">
        <f>IF(AF394 + AG393 &lt; 0, AF394 + AG393, 0)</f>
        <v>0</v>
      </c>
      <c r="AH394" s="1">
        <v>0</v>
      </c>
      <c r="AI394" s="1">
        <f>IF(AH394 + AI393 &lt; 0, AH394 + AI393, 0)</f>
        <v>0</v>
      </c>
      <c r="AJ394" s="1">
        <v>0</v>
      </c>
      <c r="AK394" s="1">
        <f>IF(AJ394 + AK393 &lt; 0, AJ394 + AK393, 0)</f>
        <v>0</v>
      </c>
    </row>
    <row r="395" spans="1:37" s="1" customFormat="1">
      <c r="A395" s="3">
        <v>45873</v>
      </c>
      <c r="B395" s="2" t="s">
        <v>22</v>
      </c>
      <c r="C395" s="2">
        <v>17</v>
      </c>
      <c r="D395" s="2">
        <v>17</v>
      </c>
      <c r="E395" s="2">
        <v>17</v>
      </c>
      <c r="F395" s="2">
        <v>4</v>
      </c>
      <c r="G395" s="2">
        <v>2</v>
      </c>
      <c r="H395" s="1">
        <v>0</v>
      </c>
      <c r="I395" s="1">
        <f>IF(H395 + I394 &lt; 0, H395 + I394, 0)</f>
        <v>0</v>
      </c>
      <c r="J395" s="1">
        <v>0</v>
      </c>
      <c r="K395" s="1">
        <f>IF(J395 + K394 &lt; 0, J395 + K394, 0)</f>
        <v>0</v>
      </c>
      <c r="L395" s="1">
        <v>0</v>
      </c>
      <c r="M395" s="1">
        <f>IF(L395 + M394 &lt; 0, L395 + M394, 0)</f>
        <v>0</v>
      </c>
      <c r="N395" s="1">
        <v>0</v>
      </c>
      <c r="O395" s="1">
        <f>IF(N395 + O394 &lt; 0, N395 + O394, 0)</f>
        <v>0</v>
      </c>
      <c r="P395" s="1">
        <v>0</v>
      </c>
      <c r="Q395" s="1">
        <f>IF(P395 + Q394 &lt; 0, P395 + Q394, 0)</f>
        <v>0</v>
      </c>
      <c r="R395" s="1">
        <v>0</v>
      </c>
      <c r="S395" s="1">
        <f>IF(R395 + S394 &lt; 0, R395 + S394, 0)</f>
        <v>0</v>
      </c>
      <c r="T395" s="1">
        <v>0</v>
      </c>
      <c r="U395" s="1">
        <f>IF(T395 + U394 &lt; 0, T395 + U394, 0)</f>
        <v>0</v>
      </c>
      <c r="V395" s="1">
        <v>0</v>
      </c>
      <c r="W395" s="1">
        <f>IF(V395 + W394 &lt; 0, V395 + W394, 0)</f>
        <v>0</v>
      </c>
      <c r="X395" s="1">
        <v>0</v>
      </c>
      <c r="Y395" s="1">
        <f>IF(X395 + Y394 &lt; 0, X395 + Y394, 0)</f>
        <v>0</v>
      </c>
      <c r="Z395" s="1">
        <v>0</v>
      </c>
      <c r="AA395" s="1">
        <f>IF(Z395 + AA394 &lt; 0, Z395 + AA394, 0)</f>
        <v>0</v>
      </c>
      <c r="AB395" s="1">
        <v>0</v>
      </c>
      <c r="AC395" s="1">
        <f>IF(AB395 + AC394 &lt; 0, AB395 + AC394, 0)</f>
        <v>0</v>
      </c>
      <c r="AD395" s="1">
        <v>0</v>
      </c>
      <c r="AE395" s="1">
        <f>IF(AD395 + AE394 &lt; 0, AD395 + AE394, 0)</f>
        <v>0</v>
      </c>
      <c r="AF395" s="1">
        <v>0</v>
      </c>
      <c r="AG395" s="1">
        <f>IF(AF395 + AG394 &lt; 0, AF395 + AG394, 0)</f>
        <v>0</v>
      </c>
      <c r="AH395" s="1">
        <v>0</v>
      </c>
      <c r="AI395" s="1">
        <f>IF(AH395 + AI394 &lt; 0, AH395 + AI394, 0)</f>
        <v>0</v>
      </c>
      <c r="AJ395" s="1">
        <v>0</v>
      </c>
      <c r="AK395" s="1">
        <f>IF(AJ395 + AK394 &lt; 0, AJ395 + AK394, 0)</f>
        <v>0</v>
      </c>
    </row>
    <row r="396" spans="1:37" s="1" customFormat="1">
      <c r="A396" s="3">
        <v>45874</v>
      </c>
      <c r="B396" s="2" t="s">
        <v>23</v>
      </c>
      <c r="C396" s="2">
        <v>16</v>
      </c>
      <c r="D396" s="2">
        <v>16</v>
      </c>
      <c r="E396" s="2">
        <v>16</v>
      </c>
      <c r="F396" s="2">
        <v>3</v>
      </c>
      <c r="G396" s="2">
        <v>1</v>
      </c>
      <c r="H396" s="1">
        <v>0</v>
      </c>
      <c r="I396" s="1">
        <f>IF(H396 + I395 &lt; 0, H396 + I395, 0)</f>
        <v>0</v>
      </c>
      <c r="J396" s="1">
        <v>0</v>
      </c>
      <c r="K396" s="1">
        <f>IF(J396 + K395 &lt; 0, J396 + K395, 0)</f>
        <v>0</v>
      </c>
      <c r="L396" s="1">
        <v>0</v>
      </c>
      <c r="M396" s="1">
        <f>IF(L396 + M395 &lt; 0, L396 + M395, 0)</f>
        <v>0</v>
      </c>
      <c r="N396" s="1">
        <v>0</v>
      </c>
      <c r="O396" s="1">
        <f>IF(N396 + O395 &lt; 0, N396 + O395, 0)</f>
        <v>0</v>
      </c>
      <c r="P396" s="1">
        <v>0</v>
      </c>
      <c r="Q396" s="1">
        <f>IF(P396 + Q395 &lt; 0, P396 + Q395, 0)</f>
        <v>0</v>
      </c>
      <c r="R396" s="1">
        <v>0</v>
      </c>
      <c r="S396" s="1">
        <f>IF(R396 + S395 &lt; 0, R396 + S395, 0)</f>
        <v>0</v>
      </c>
      <c r="T396" s="1">
        <v>0</v>
      </c>
      <c r="U396" s="1">
        <f>IF(T396 + U395 &lt; 0, T396 + U395, 0)</f>
        <v>0</v>
      </c>
      <c r="V396" s="1">
        <v>0</v>
      </c>
      <c r="W396" s="1">
        <f>IF(V396 + W395 &lt; 0, V396 + W395, 0)</f>
        <v>0</v>
      </c>
      <c r="X396" s="1">
        <v>0</v>
      </c>
      <c r="Y396" s="1">
        <f>IF(X396 + Y395 &lt; 0, X396 + Y395, 0)</f>
        <v>0</v>
      </c>
      <c r="Z396" s="1">
        <v>0</v>
      </c>
      <c r="AA396" s="1">
        <f>IF(Z396 + AA395 &lt; 0, Z396 + AA395, 0)</f>
        <v>0</v>
      </c>
      <c r="AB396" s="1">
        <v>0</v>
      </c>
      <c r="AC396" s="1">
        <f>IF(AB396 + AC395 &lt; 0, AB396 + AC395, 0)</f>
        <v>0</v>
      </c>
      <c r="AD396" s="1">
        <v>0</v>
      </c>
      <c r="AE396" s="1">
        <f>IF(AD396 + AE395 &lt; 0, AD396 + AE395, 0)</f>
        <v>0</v>
      </c>
      <c r="AF396" s="1">
        <v>-10931.78339782443</v>
      </c>
      <c r="AG396" s="1">
        <f>IF(AF396 + AG395 &lt; 0, AF396 + AG395, 0)</f>
        <v>0</v>
      </c>
      <c r="AH396" s="1">
        <v>89270.91017948667</v>
      </c>
      <c r="AI396" s="1">
        <f>IF(AH396 + AI395 &lt; 0, AH396 + AI395, 0)</f>
        <v>0</v>
      </c>
      <c r="AJ396" s="1">
        <v>537935.4567068771</v>
      </c>
      <c r="AK396" s="1">
        <f>IF(AJ396 + AK395 &lt; 0, AJ396 + AK395, 0)</f>
        <v>0</v>
      </c>
    </row>
    <row r="397" spans="1:37" s="1" customFormat="1">
      <c r="A397" s="3">
        <v>45875</v>
      </c>
      <c r="B397" s="2" t="s">
        <v>24</v>
      </c>
      <c r="C397" s="2">
        <v>15</v>
      </c>
      <c r="D397" s="2">
        <v>15</v>
      </c>
      <c r="E397" s="2">
        <v>15</v>
      </c>
      <c r="F397" s="2">
        <v>2</v>
      </c>
      <c r="G397" s="2">
        <v>5</v>
      </c>
      <c r="H397" s="1">
        <v>0</v>
      </c>
      <c r="I397" s="1">
        <f>IF(H397 + I396 &lt; 0, H397 + I396, 0)</f>
        <v>0</v>
      </c>
      <c r="J397" s="1">
        <v>0</v>
      </c>
      <c r="K397" s="1">
        <f>IF(J397 + K396 &lt; 0, J397 + K396, 0)</f>
        <v>0</v>
      </c>
      <c r="L397" s="1">
        <v>0</v>
      </c>
      <c r="M397" s="1">
        <f>IF(L397 + M396 &lt; 0, L397 + M396, 0)</f>
        <v>0</v>
      </c>
      <c r="N397" s="1">
        <v>0</v>
      </c>
      <c r="O397" s="1">
        <f>IF(N397 + O396 &lt; 0, N397 + O396, 0)</f>
        <v>0</v>
      </c>
      <c r="P397" s="1">
        <v>0</v>
      </c>
      <c r="Q397" s="1">
        <f>IF(P397 + Q396 &lt; 0, P397 + Q396, 0)</f>
        <v>0</v>
      </c>
      <c r="R397" s="1">
        <v>0</v>
      </c>
      <c r="S397" s="1">
        <f>IF(R397 + S396 &lt; 0, R397 + S396, 0)</f>
        <v>0</v>
      </c>
      <c r="T397" s="1">
        <v>0</v>
      </c>
      <c r="U397" s="1">
        <f>IF(T397 + U396 &lt; 0, T397 + U396, 0)</f>
        <v>0</v>
      </c>
      <c r="V397" s="1">
        <v>0</v>
      </c>
      <c r="W397" s="1">
        <f>IF(V397 + W396 &lt; 0, V397 + W396, 0)</f>
        <v>0</v>
      </c>
      <c r="X397" s="1">
        <v>0</v>
      </c>
      <c r="Y397" s="1">
        <f>IF(X397 + Y396 &lt; 0, X397 + Y396, 0)</f>
        <v>0</v>
      </c>
      <c r="Z397" s="1">
        <v>0</v>
      </c>
      <c r="AA397" s="1">
        <f>IF(Z397 + AA396 &lt; 0, Z397 + AA396, 0)</f>
        <v>0</v>
      </c>
      <c r="AB397" s="1">
        <v>0</v>
      </c>
      <c r="AC397" s="1">
        <f>IF(AB397 + AC396 &lt; 0, AB397 + AC396, 0)</f>
        <v>0</v>
      </c>
      <c r="AD397" s="1">
        <v>0</v>
      </c>
      <c r="AE397" s="1">
        <f>IF(AD397 + AE396 &lt; 0, AD397 + AE396, 0)</f>
        <v>0</v>
      </c>
      <c r="AF397" s="1">
        <v>0</v>
      </c>
      <c r="AG397" s="1">
        <f>IF(AF397 + AG396 &lt; 0, AF397 + AG396, 0)</f>
        <v>0</v>
      </c>
      <c r="AH397" s="1">
        <v>0</v>
      </c>
      <c r="AI397" s="1">
        <f>IF(AH397 + AI396 &lt; 0, AH397 + AI396, 0)</f>
        <v>0</v>
      </c>
      <c r="AJ397" s="1">
        <v>0</v>
      </c>
      <c r="AK397" s="1">
        <f>IF(AJ397 + AK396 &lt; 0, AJ397 + AK396, 0)</f>
        <v>0</v>
      </c>
    </row>
    <row r="398" spans="1:37" s="1" customFormat="1">
      <c r="A398" s="3">
        <v>45876</v>
      </c>
      <c r="B398" s="2" t="s">
        <v>25</v>
      </c>
      <c r="C398" s="2">
        <v>14</v>
      </c>
      <c r="D398" s="2">
        <v>14</v>
      </c>
      <c r="E398" s="2">
        <v>14</v>
      </c>
      <c r="F398" s="2">
        <v>1</v>
      </c>
      <c r="G398" s="2">
        <v>4</v>
      </c>
      <c r="H398" s="1">
        <v>0</v>
      </c>
      <c r="I398" s="1">
        <f>IF(H398 + I397 &lt; 0, H398 + I397, 0)</f>
        <v>0</v>
      </c>
      <c r="J398" s="1">
        <v>0</v>
      </c>
      <c r="K398" s="1">
        <f>IF(J398 + K397 &lt; 0, J398 + K397, 0)</f>
        <v>0</v>
      </c>
      <c r="L398" s="1">
        <v>0</v>
      </c>
      <c r="M398" s="1">
        <f>IF(L398 + M397 &lt; 0, L398 + M397, 0)</f>
        <v>0</v>
      </c>
      <c r="N398" s="1">
        <v>0</v>
      </c>
      <c r="O398" s="1">
        <f>IF(N398 + O397 &lt; 0, N398 + O397, 0)</f>
        <v>0</v>
      </c>
      <c r="P398" s="1">
        <v>0</v>
      </c>
      <c r="Q398" s="1">
        <f>IF(P398 + Q397 &lt; 0, P398 + Q397, 0)</f>
        <v>0</v>
      </c>
      <c r="R398" s="1">
        <v>0</v>
      </c>
      <c r="S398" s="1">
        <f>IF(R398 + S397 &lt; 0, R398 + S397, 0)</f>
        <v>0</v>
      </c>
      <c r="T398" s="1">
        <v>0</v>
      </c>
      <c r="U398" s="1">
        <f>IF(T398 + U397 &lt; 0, T398 + U397, 0)</f>
        <v>0</v>
      </c>
      <c r="V398" s="1">
        <v>0</v>
      </c>
      <c r="W398" s="1">
        <f>IF(V398 + W397 &lt; 0, V398 + W397, 0)</f>
        <v>0</v>
      </c>
      <c r="X398" s="1">
        <v>0</v>
      </c>
      <c r="Y398" s="1">
        <f>IF(X398 + Y397 &lt; 0, X398 + Y397, 0)</f>
        <v>0</v>
      </c>
      <c r="Z398" s="1">
        <v>587794.7426118392</v>
      </c>
      <c r="AA398" s="1">
        <f>IF(Z398 + AA397 &lt; 0, Z398 + AA397, 0)</f>
        <v>0</v>
      </c>
      <c r="AB398" s="1">
        <v>369336.2965368657</v>
      </c>
      <c r="AC398" s="1">
        <f>IF(AB398 + AC397 &lt; 0, AB398 + AC397, 0)</f>
        <v>0</v>
      </c>
      <c r="AD398" s="1">
        <v>220301.8409935043</v>
      </c>
      <c r="AE398" s="1">
        <f>IF(AD398 + AE397 &lt; 0, AD398 + AE397, 0)</f>
        <v>0</v>
      </c>
      <c r="AF398" s="1">
        <v>0</v>
      </c>
      <c r="AG398" s="1">
        <f>IF(AF398 + AG397 &lt; 0, AF398 + AG397, 0)</f>
        <v>0</v>
      </c>
      <c r="AH398" s="1">
        <v>0</v>
      </c>
      <c r="AI398" s="1">
        <f>IF(AH398 + AI397 &lt; 0, AH398 + AI397, 0)</f>
        <v>0</v>
      </c>
      <c r="AJ398" s="1">
        <v>0</v>
      </c>
      <c r="AK398" s="1">
        <f>IF(AJ398 + AK397 &lt; 0, AJ398 + AK397, 0)</f>
        <v>0</v>
      </c>
    </row>
    <row r="399" spans="1:37" s="1" customFormat="1">
      <c r="A399" s="3">
        <v>45877</v>
      </c>
      <c r="B399" s="2" t="s">
        <v>26</v>
      </c>
      <c r="C399" s="2">
        <v>13</v>
      </c>
      <c r="D399" s="2">
        <v>13</v>
      </c>
      <c r="E399" s="2">
        <v>13</v>
      </c>
      <c r="F399" s="2">
        <v>5</v>
      </c>
      <c r="G399" s="2">
        <v>3</v>
      </c>
      <c r="H399" s="1">
        <v>0</v>
      </c>
      <c r="I399" s="1">
        <f>IF(H399 + I398 &lt; 0, H399 + I398, 0)</f>
        <v>0</v>
      </c>
      <c r="J399" s="1">
        <v>0</v>
      </c>
      <c r="K399" s="1">
        <f>IF(J399 + K398 &lt; 0, J399 + K398, 0)</f>
        <v>0</v>
      </c>
      <c r="L399" s="1">
        <v>0</v>
      </c>
      <c r="M399" s="1">
        <f>IF(L399 + M398 &lt; 0, L399 + M398, 0)</f>
        <v>0</v>
      </c>
      <c r="N399" s="1">
        <v>0</v>
      </c>
      <c r="O399" s="1">
        <f>IF(N399 + O398 &lt; 0, N399 + O398, 0)</f>
        <v>0</v>
      </c>
      <c r="P399" s="1">
        <v>0</v>
      </c>
      <c r="Q399" s="1">
        <f>IF(P399 + Q398 &lt; 0, P399 + Q398, 0)</f>
        <v>0</v>
      </c>
      <c r="R399" s="1">
        <v>0</v>
      </c>
      <c r="S399" s="1">
        <f>IF(R399 + S398 &lt; 0, R399 + S398, 0)</f>
        <v>0</v>
      </c>
      <c r="T399" s="1">
        <v>0</v>
      </c>
      <c r="U399" s="1">
        <f>IF(T399 + U398 &lt; 0, T399 + U398, 0)</f>
        <v>0</v>
      </c>
      <c r="V399" s="1">
        <v>0</v>
      </c>
      <c r="W399" s="1">
        <f>IF(V399 + W398 &lt; 0, V399 + W398, 0)</f>
        <v>0</v>
      </c>
      <c r="X399" s="1">
        <v>0</v>
      </c>
      <c r="Y399" s="1">
        <f>IF(X399 + Y398 &lt; 0, X399 + Y398, 0)</f>
        <v>0</v>
      </c>
      <c r="Z399" s="1">
        <v>0</v>
      </c>
      <c r="AA399" s="1">
        <f>IF(Z399 + AA398 &lt; 0, Z399 + AA398, 0)</f>
        <v>0</v>
      </c>
      <c r="AB399" s="1">
        <v>0</v>
      </c>
      <c r="AC399" s="1">
        <f>IF(AB399 + AC398 &lt; 0, AB399 + AC398, 0)</f>
        <v>0</v>
      </c>
      <c r="AD399" s="1">
        <v>0</v>
      </c>
      <c r="AE399" s="1">
        <f>IF(AD399 + AE398 &lt; 0, AD399 + AE398, 0)</f>
        <v>0</v>
      </c>
      <c r="AF399" s="1">
        <v>0</v>
      </c>
      <c r="AG399" s="1">
        <f>IF(AF399 + AG398 &lt; 0, AF399 + AG398, 0)</f>
        <v>0</v>
      </c>
      <c r="AH399" s="1">
        <v>0</v>
      </c>
      <c r="AI399" s="1">
        <f>IF(AH399 + AI398 &lt; 0, AH399 + AI398, 0)</f>
        <v>0</v>
      </c>
      <c r="AJ399" s="1">
        <v>0</v>
      </c>
      <c r="AK399" s="1">
        <f>IF(AJ399 + AK398 &lt; 0, AJ399 + AK398, 0)</f>
        <v>0</v>
      </c>
    </row>
    <row r="400" spans="1:37" s="1" customFormat="1">
      <c r="A400" s="3">
        <v>45880</v>
      </c>
      <c r="B400" s="2" t="s">
        <v>22</v>
      </c>
      <c r="C400" s="2">
        <v>12</v>
      </c>
      <c r="D400" s="2">
        <v>12</v>
      </c>
      <c r="E400" s="2">
        <v>12</v>
      </c>
      <c r="F400" s="2">
        <v>4</v>
      </c>
      <c r="G400" s="2">
        <v>2</v>
      </c>
      <c r="H400" s="1">
        <v>0</v>
      </c>
      <c r="I400" s="1">
        <f>IF(H400 + I399 &lt; 0, H400 + I399, 0)</f>
        <v>0</v>
      </c>
      <c r="J400" s="1">
        <v>0</v>
      </c>
      <c r="K400" s="1">
        <f>IF(J400 + K399 &lt; 0, J400 + K399, 0)</f>
        <v>0</v>
      </c>
      <c r="L400" s="1">
        <v>0</v>
      </c>
      <c r="M400" s="1">
        <f>IF(L400 + M399 &lt; 0, L400 + M399, 0)</f>
        <v>0</v>
      </c>
      <c r="N400" s="1">
        <v>0</v>
      </c>
      <c r="O400" s="1">
        <f>IF(N400 + O399 &lt; 0, N400 + O399, 0)</f>
        <v>0</v>
      </c>
      <c r="P400" s="1">
        <v>0</v>
      </c>
      <c r="Q400" s="1">
        <f>IF(P400 + Q399 &lt; 0, P400 + Q399, 0)</f>
        <v>0</v>
      </c>
      <c r="R400" s="1">
        <v>0</v>
      </c>
      <c r="S400" s="1">
        <f>IF(R400 + S399 &lt; 0, R400 + S399, 0)</f>
        <v>0</v>
      </c>
      <c r="T400" s="1">
        <v>0</v>
      </c>
      <c r="U400" s="1">
        <f>IF(T400 + U399 &lt; 0, T400 + U399, 0)</f>
        <v>0</v>
      </c>
      <c r="V400" s="1">
        <v>0</v>
      </c>
      <c r="W400" s="1">
        <f>IF(V400 + W399 &lt; 0, V400 + W399, 0)</f>
        <v>0</v>
      </c>
      <c r="X400" s="1">
        <v>0</v>
      </c>
      <c r="Y400" s="1">
        <f>IF(X400 + Y399 &lt; 0, X400 + Y399, 0)</f>
        <v>0</v>
      </c>
      <c r="Z400" s="1">
        <v>0</v>
      </c>
      <c r="AA400" s="1">
        <f>IF(Z400 + AA399 &lt; 0, Z400 + AA399, 0)</f>
        <v>0</v>
      </c>
      <c r="AB400" s="1">
        <v>0</v>
      </c>
      <c r="AC400" s="1">
        <f>IF(AB400 + AC399 &lt; 0, AB400 + AC399, 0)</f>
        <v>0</v>
      </c>
      <c r="AD400" s="1">
        <v>0</v>
      </c>
      <c r="AE400" s="1">
        <f>IF(AD400 + AE399 &lt; 0, AD400 + AE399, 0)</f>
        <v>0</v>
      </c>
      <c r="AF400" s="1">
        <v>0</v>
      </c>
      <c r="AG400" s="1">
        <f>IF(AF400 + AG399 &lt; 0, AF400 + AG399, 0)</f>
        <v>0</v>
      </c>
      <c r="AH400" s="1">
        <v>0</v>
      </c>
      <c r="AI400" s="1">
        <f>IF(AH400 + AI399 &lt; 0, AH400 + AI399, 0)</f>
        <v>0</v>
      </c>
      <c r="AJ400" s="1">
        <v>0</v>
      </c>
      <c r="AK400" s="1">
        <f>IF(AJ400 + AK399 &lt; 0, AJ400 + AK399, 0)</f>
        <v>0</v>
      </c>
    </row>
    <row r="401" spans="1:37" s="1" customFormat="1">
      <c r="A401" s="3">
        <v>45881</v>
      </c>
      <c r="B401" s="2" t="s">
        <v>23</v>
      </c>
      <c r="C401" s="2">
        <v>11</v>
      </c>
      <c r="D401" s="2">
        <v>11</v>
      </c>
      <c r="E401" s="2">
        <v>11</v>
      </c>
      <c r="F401" s="2">
        <v>3</v>
      </c>
      <c r="G401" s="2">
        <v>1</v>
      </c>
      <c r="H401" s="1">
        <v>0</v>
      </c>
      <c r="I401" s="1">
        <f>IF(H401 + I400 &lt; 0, H401 + I400, 0)</f>
        <v>0</v>
      </c>
      <c r="J401" s="1">
        <v>0</v>
      </c>
      <c r="K401" s="1">
        <f>IF(J401 + K400 &lt; 0, J401 + K400, 0)</f>
        <v>0</v>
      </c>
      <c r="L401" s="1">
        <v>0</v>
      </c>
      <c r="M401" s="1">
        <f>IF(L401 + M400 &lt; 0, L401 + M400, 0)</f>
        <v>0</v>
      </c>
      <c r="N401" s="1">
        <v>0</v>
      </c>
      <c r="O401" s="1">
        <f>IF(N401 + O400 &lt; 0, N401 + O400, 0)</f>
        <v>0</v>
      </c>
      <c r="P401" s="1">
        <v>0</v>
      </c>
      <c r="Q401" s="1">
        <f>IF(P401 + Q400 &lt; 0, P401 + Q400, 0)</f>
        <v>0</v>
      </c>
      <c r="R401" s="1">
        <v>0</v>
      </c>
      <c r="S401" s="1">
        <f>IF(R401 + S400 &lt; 0, R401 + S400, 0)</f>
        <v>0</v>
      </c>
      <c r="T401" s="1">
        <v>0</v>
      </c>
      <c r="U401" s="1">
        <f>IF(T401 + U400 &lt; 0, T401 + U400, 0)</f>
        <v>0</v>
      </c>
      <c r="V401" s="1">
        <v>0</v>
      </c>
      <c r="W401" s="1">
        <f>IF(V401 + W400 &lt; 0, V401 + W400, 0)</f>
        <v>0</v>
      </c>
      <c r="X401" s="1">
        <v>0</v>
      </c>
      <c r="Y401" s="1">
        <f>IF(X401 + Y400 &lt; 0, X401 + Y400, 0)</f>
        <v>0</v>
      </c>
      <c r="Z401" s="1">
        <v>0</v>
      </c>
      <c r="AA401" s="1">
        <f>IF(Z401 + AA400 &lt; 0, Z401 + AA400, 0)</f>
        <v>0</v>
      </c>
      <c r="AB401" s="1">
        <v>0</v>
      </c>
      <c r="AC401" s="1">
        <f>IF(AB401 + AC400 &lt; 0, AB401 + AC400, 0)</f>
        <v>0</v>
      </c>
      <c r="AD401" s="1">
        <v>0</v>
      </c>
      <c r="AE401" s="1">
        <f>IF(AD401 + AE400 &lt; 0, AD401 + AE400, 0)</f>
        <v>0</v>
      </c>
      <c r="AF401" s="1">
        <v>-314622.6902662899</v>
      </c>
      <c r="AG401" s="1">
        <f>IF(AF401 + AG400 &lt; 0, AF401 + AG400, 0)</f>
        <v>0</v>
      </c>
      <c r="AH401" s="1">
        <v>-153866.9964536107</v>
      </c>
      <c r="AI401" s="1">
        <f>IF(AH401 + AI400 &lt; 0, AH401 + AI400, 0)</f>
        <v>0</v>
      </c>
      <c r="AJ401" s="1">
        <v>155503.7890537199</v>
      </c>
      <c r="AK401" s="1">
        <f>IF(AJ401 + AK400 &lt; 0, AJ401 + AK400, 0)</f>
        <v>0</v>
      </c>
    </row>
    <row r="402" spans="1:37" s="1" customFormat="1">
      <c r="A402" s="3">
        <v>45882</v>
      </c>
      <c r="B402" s="2" t="s">
        <v>24</v>
      </c>
      <c r="C402" s="2">
        <v>10</v>
      </c>
      <c r="D402" s="2">
        <v>10</v>
      </c>
      <c r="E402" s="2">
        <v>10</v>
      </c>
      <c r="F402" s="2">
        <v>2</v>
      </c>
      <c r="G402" s="2">
        <v>4</v>
      </c>
      <c r="H402" s="1">
        <v>0</v>
      </c>
      <c r="I402" s="1">
        <f>IF(H402 + I401 &lt; 0, H402 + I401, 0)</f>
        <v>0</v>
      </c>
      <c r="J402" s="1">
        <v>0</v>
      </c>
      <c r="K402" s="1">
        <f>IF(J402 + K401 &lt; 0, J402 + K401, 0)</f>
        <v>0</v>
      </c>
      <c r="L402" s="1">
        <v>0</v>
      </c>
      <c r="M402" s="1">
        <f>IF(L402 + M401 &lt; 0, L402 + M401, 0)</f>
        <v>0</v>
      </c>
      <c r="N402" s="1">
        <v>0</v>
      </c>
      <c r="O402" s="1">
        <f>IF(N402 + O401 &lt; 0, N402 + O401, 0)</f>
        <v>0</v>
      </c>
      <c r="P402" s="1">
        <v>0</v>
      </c>
      <c r="Q402" s="1">
        <f>IF(P402 + Q401 &lt; 0, P402 + Q401, 0)</f>
        <v>0</v>
      </c>
      <c r="R402" s="1">
        <v>0</v>
      </c>
      <c r="S402" s="1">
        <f>IF(R402 + S401 &lt; 0, R402 + S401, 0)</f>
        <v>0</v>
      </c>
      <c r="T402" s="1">
        <v>0</v>
      </c>
      <c r="U402" s="1">
        <f>IF(T402 + U401 &lt; 0, T402 + U401, 0)</f>
        <v>0</v>
      </c>
      <c r="V402" s="1">
        <v>0</v>
      </c>
      <c r="W402" s="1">
        <f>IF(V402 + W401 &lt; 0, V402 + W401, 0)</f>
        <v>0</v>
      </c>
      <c r="X402" s="1">
        <v>0</v>
      </c>
      <c r="Y402" s="1">
        <f>IF(X402 + Y401 &lt; 0, X402 + Y401, 0)</f>
        <v>0</v>
      </c>
      <c r="Z402" s="1">
        <v>0</v>
      </c>
      <c r="AA402" s="1">
        <f>IF(Z402 + AA401 &lt; 0, Z402 + AA401, 0)</f>
        <v>0</v>
      </c>
      <c r="AB402" s="1">
        <v>0</v>
      </c>
      <c r="AC402" s="1">
        <f>IF(AB402 + AC401 &lt; 0, AB402 + AC401, 0)</f>
        <v>0</v>
      </c>
      <c r="AD402" s="1">
        <v>0</v>
      </c>
      <c r="AE402" s="1">
        <f>IF(AD402 + AE401 &lt; 0, AD402 + AE401, 0)</f>
        <v>0</v>
      </c>
      <c r="AF402" s="1">
        <v>0</v>
      </c>
      <c r="AG402" s="1">
        <f>IF(AF402 + AG401 &lt; 0, AF402 + AG401, 0)</f>
        <v>0</v>
      </c>
      <c r="AH402" s="1">
        <v>0</v>
      </c>
      <c r="AI402" s="1">
        <f>IF(AH402 + AI401 &lt; 0, AH402 + AI401, 0)</f>
        <v>0</v>
      </c>
      <c r="AJ402" s="1">
        <v>0</v>
      </c>
      <c r="AK402" s="1">
        <f>IF(AJ402 + AK401 &lt; 0, AJ402 + AK401, 0)</f>
        <v>0</v>
      </c>
    </row>
    <row r="403" spans="1:37" s="1" customFormat="1">
      <c r="A403" s="3">
        <v>45883</v>
      </c>
      <c r="B403" s="2" t="s">
        <v>25</v>
      </c>
      <c r="C403" s="2">
        <v>9</v>
      </c>
      <c r="D403" s="2">
        <v>9</v>
      </c>
      <c r="E403" s="2">
        <v>9</v>
      </c>
      <c r="F403" s="2">
        <v>1</v>
      </c>
      <c r="G403" s="2">
        <v>3</v>
      </c>
      <c r="H403" s="1">
        <v>0</v>
      </c>
      <c r="I403" s="1">
        <f>IF(H403 + I402 &lt; 0, H403 + I402, 0)</f>
        <v>0</v>
      </c>
      <c r="J403" s="1">
        <v>0</v>
      </c>
      <c r="K403" s="1">
        <f>IF(J403 + K402 &lt; 0, J403 + K402, 0)</f>
        <v>0</v>
      </c>
      <c r="L403" s="1">
        <v>0</v>
      </c>
      <c r="M403" s="1">
        <f>IF(L403 + M402 &lt; 0, L403 + M402, 0)</f>
        <v>0</v>
      </c>
      <c r="N403" s="1">
        <v>0</v>
      </c>
      <c r="O403" s="1">
        <f>IF(N403 + O402 &lt; 0, N403 + O402, 0)</f>
        <v>0</v>
      </c>
      <c r="P403" s="1">
        <v>0</v>
      </c>
      <c r="Q403" s="1">
        <f>IF(P403 + Q402 &lt; 0, P403 + Q402, 0)</f>
        <v>0</v>
      </c>
      <c r="R403" s="1">
        <v>0</v>
      </c>
      <c r="S403" s="1">
        <f>IF(R403 + S402 &lt; 0, R403 + S402, 0)</f>
        <v>0</v>
      </c>
      <c r="T403" s="1">
        <v>0</v>
      </c>
      <c r="U403" s="1">
        <f>IF(T403 + U402 &lt; 0, T403 + U402, 0)</f>
        <v>0</v>
      </c>
      <c r="V403" s="1">
        <v>0</v>
      </c>
      <c r="W403" s="1">
        <f>IF(V403 + W402 &lt; 0, V403 + W402, 0)</f>
        <v>0</v>
      </c>
      <c r="X403" s="1">
        <v>0</v>
      </c>
      <c r="Y403" s="1">
        <f>IF(X403 + Y402 &lt; 0, X403 + Y402, 0)</f>
        <v>0</v>
      </c>
      <c r="Z403" s="1">
        <v>611544.7843034182</v>
      </c>
      <c r="AA403" s="1">
        <f>IF(Z403 + AA402 &lt; 0, Z403 + AA402, 0)</f>
        <v>0</v>
      </c>
      <c r="AB403" s="1">
        <v>442007.1461272782</v>
      </c>
      <c r="AC403" s="1">
        <f>IF(AB403 + AC402 &lt; 0, AB403 + AC402, 0)</f>
        <v>0</v>
      </c>
      <c r="AD403" s="1">
        <v>530090.1105336193</v>
      </c>
      <c r="AE403" s="1">
        <f>IF(AD403 + AE402 &lt; 0, AD403 + AE402, 0)</f>
        <v>0</v>
      </c>
      <c r="AF403" s="1">
        <v>0</v>
      </c>
      <c r="AG403" s="1">
        <f>IF(AF403 + AG402 &lt; 0, AF403 + AG402, 0)</f>
        <v>0</v>
      </c>
      <c r="AH403" s="1">
        <v>0</v>
      </c>
      <c r="AI403" s="1">
        <f>IF(AH403 + AI402 &lt; 0, AH403 + AI402, 0)</f>
        <v>0</v>
      </c>
      <c r="AJ403" s="1">
        <v>0</v>
      </c>
      <c r="AK403" s="1">
        <f>IF(AJ403 + AK402 &lt; 0, AJ403 + AK402, 0)</f>
        <v>0</v>
      </c>
    </row>
    <row r="404" spans="1:37" s="1" customFormat="1">
      <c r="A404" s="3">
        <v>45887</v>
      </c>
      <c r="B404" s="2" t="s">
        <v>22</v>
      </c>
      <c r="C404" s="2">
        <v>8</v>
      </c>
      <c r="D404" s="2">
        <v>8</v>
      </c>
      <c r="E404" s="2">
        <v>8</v>
      </c>
      <c r="F404" s="2">
        <v>4</v>
      </c>
      <c r="G404" s="2">
        <v>2</v>
      </c>
      <c r="H404" s="1">
        <v>0</v>
      </c>
      <c r="I404" s="1">
        <f>IF(H404 + I403 &lt; 0, H404 + I403, 0)</f>
        <v>0</v>
      </c>
      <c r="J404" s="1">
        <v>0</v>
      </c>
      <c r="K404" s="1">
        <f>IF(J404 + K403 &lt; 0, J404 + K403, 0)</f>
        <v>0</v>
      </c>
      <c r="L404" s="1">
        <v>0</v>
      </c>
      <c r="M404" s="1">
        <f>IF(L404 + M403 &lt; 0, L404 + M403, 0)</f>
        <v>0</v>
      </c>
      <c r="N404" s="1">
        <v>0</v>
      </c>
      <c r="O404" s="1">
        <f>IF(N404 + O403 &lt; 0, N404 + O403, 0)</f>
        <v>0</v>
      </c>
      <c r="P404" s="1">
        <v>0</v>
      </c>
      <c r="Q404" s="1">
        <f>IF(P404 + Q403 &lt; 0, P404 + Q403, 0)</f>
        <v>0</v>
      </c>
      <c r="R404" s="1">
        <v>0</v>
      </c>
      <c r="S404" s="1">
        <f>IF(R404 + S403 &lt; 0, R404 + S403, 0)</f>
        <v>0</v>
      </c>
      <c r="T404" s="1">
        <v>0</v>
      </c>
      <c r="U404" s="1">
        <f>IF(T404 + U403 &lt; 0, T404 + U403, 0)</f>
        <v>0</v>
      </c>
      <c r="V404" s="1">
        <v>0</v>
      </c>
      <c r="W404" s="1">
        <f>IF(V404 + W403 &lt; 0, V404 + W403, 0)</f>
        <v>0</v>
      </c>
      <c r="X404" s="1">
        <v>0</v>
      </c>
      <c r="Y404" s="1">
        <f>IF(X404 + Y403 &lt; 0, X404 + Y403, 0)</f>
        <v>0</v>
      </c>
      <c r="Z404" s="1">
        <v>0</v>
      </c>
      <c r="AA404" s="1">
        <f>IF(Z404 + AA403 &lt; 0, Z404 + AA403, 0)</f>
        <v>0</v>
      </c>
      <c r="AB404" s="1">
        <v>0</v>
      </c>
      <c r="AC404" s="1">
        <f>IF(AB404 + AC403 &lt; 0, AB404 + AC403, 0)</f>
        <v>0</v>
      </c>
      <c r="AD404" s="1">
        <v>0</v>
      </c>
      <c r="AE404" s="1">
        <f>IF(AD404 + AE403 &lt; 0, AD404 + AE403, 0)</f>
        <v>0</v>
      </c>
      <c r="AF404" s="1">
        <v>0</v>
      </c>
      <c r="AG404" s="1">
        <f>IF(AF404 + AG403 &lt; 0, AF404 + AG403, 0)</f>
        <v>0</v>
      </c>
      <c r="AH404" s="1">
        <v>0</v>
      </c>
      <c r="AI404" s="1">
        <f>IF(AH404 + AI403 &lt; 0, AH404 + AI403, 0)</f>
        <v>0</v>
      </c>
      <c r="AJ404" s="1">
        <v>0</v>
      </c>
      <c r="AK404" s="1">
        <f>IF(AJ404 + AK403 &lt; 0, AJ404 + AK403, 0)</f>
        <v>0</v>
      </c>
    </row>
    <row r="405" spans="1:37" s="1" customFormat="1">
      <c r="A405" s="3">
        <v>45888</v>
      </c>
      <c r="B405" s="2" t="s">
        <v>23</v>
      </c>
      <c r="C405" s="2">
        <v>7</v>
      </c>
      <c r="D405" s="2">
        <v>7</v>
      </c>
      <c r="E405" s="2">
        <v>7</v>
      </c>
      <c r="F405" s="2">
        <v>3</v>
      </c>
      <c r="G405" s="2">
        <v>1</v>
      </c>
      <c r="H405" s="1">
        <v>0</v>
      </c>
      <c r="I405" s="1">
        <f>IF(H405 + I404 &lt; 0, H405 + I404, 0)</f>
        <v>0</v>
      </c>
      <c r="J405" s="1">
        <v>0</v>
      </c>
      <c r="K405" s="1">
        <f>IF(J405 + K404 &lt; 0, J405 + K404, 0)</f>
        <v>0</v>
      </c>
      <c r="L405" s="1">
        <v>0</v>
      </c>
      <c r="M405" s="1">
        <f>IF(L405 + M404 &lt; 0, L405 + M404, 0)</f>
        <v>0</v>
      </c>
      <c r="N405" s="1">
        <v>0</v>
      </c>
      <c r="O405" s="1">
        <f>IF(N405 + O404 &lt; 0, N405 + O404, 0)</f>
        <v>0</v>
      </c>
      <c r="P405" s="1">
        <v>0</v>
      </c>
      <c r="Q405" s="1">
        <f>IF(P405 + Q404 &lt; 0, P405 + Q404, 0)</f>
        <v>0</v>
      </c>
      <c r="R405" s="1">
        <v>0</v>
      </c>
      <c r="S405" s="1">
        <f>IF(R405 + S404 &lt; 0, R405 + S404, 0)</f>
        <v>0</v>
      </c>
      <c r="T405" s="1">
        <v>0</v>
      </c>
      <c r="U405" s="1">
        <f>IF(T405 + U404 &lt; 0, T405 + U404, 0)</f>
        <v>0</v>
      </c>
      <c r="V405" s="1">
        <v>0</v>
      </c>
      <c r="W405" s="1">
        <f>IF(V405 + W404 &lt; 0, V405 + W404, 0)</f>
        <v>0</v>
      </c>
      <c r="X405" s="1">
        <v>0</v>
      </c>
      <c r="Y405" s="1">
        <f>IF(X405 + Y404 &lt; 0, X405 + Y404, 0)</f>
        <v>0</v>
      </c>
      <c r="Z405" s="1">
        <v>0</v>
      </c>
      <c r="AA405" s="1">
        <f>IF(Z405 + AA404 &lt; 0, Z405 + AA404, 0)</f>
        <v>0</v>
      </c>
      <c r="AB405" s="1">
        <v>0</v>
      </c>
      <c r="AC405" s="1">
        <f>IF(AB405 + AC404 &lt; 0, AB405 + AC404, 0)</f>
        <v>0</v>
      </c>
      <c r="AD405" s="1">
        <v>0</v>
      </c>
      <c r="AE405" s="1">
        <f>IF(AD405 + AE404 &lt; 0, AD405 + AE404, 0)</f>
        <v>0</v>
      </c>
      <c r="AF405" s="1">
        <v>258235.439610507</v>
      </c>
      <c r="AG405" s="1">
        <f>IF(AF405 + AG404 &lt; 0, AF405 + AG404, 0)</f>
        <v>0</v>
      </c>
      <c r="AH405" s="1">
        <v>258235.439610507</v>
      </c>
      <c r="AI405" s="1">
        <f>IF(AH405 + AI404 &lt; 0, AH405 + AI404, 0)</f>
        <v>0</v>
      </c>
      <c r="AJ405" s="1">
        <v>147562.2816454896</v>
      </c>
      <c r="AK405" s="1">
        <f>IF(AJ405 + AK404 &lt; 0, AJ405 + AK404, 0)</f>
        <v>0</v>
      </c>
    </row>
    <row r="406" spans="1:37" s="1" customFormat="1">
      <c r="A406" s="3">
        <v>45889</v>
      </c>
      <c r="B406" s="2" t="s">
        <v>24</v>
      </c>
      <c r="C406" s="2">
        <v>6</v>
      </c>
      <c r="D406" s="2">
        <v>6</v>
      </c>
      <c r="E406" s="2">
        <v>6</v>
      </c>
      <c r="F406" s="2">
        <v>2</v>
      </c>
      <c r="G406" s="2">
        <v>5</v>
      </c>
      <c r="H406" s="1">
        <v>0</v>
      </c>
      <c r="I406" s="1">
        <f>IF(H406 + I405 &lt; 0, H406 + I405, 0)</f>
        <v>0</v>
      </c>
      <c r="J406" s="1">
        <v>0</v>
      </c>
      <c r="K406" s="1">
        <f>IF(J406 + K405 &lt; 0, J406 + K405, 0)</f>
        <v>0</v>
      </c>
      <c r="L406" s="1">
        <v>0</v>
      </c>
      <c r="M406" s="1">
        <f>IF(L406 + M405 &lt; 0, L406 + M405, 0)</f>
        <v>0</v>
      </c>
      <c r="N406" s="1">
        <v>0</v>
      </c>
      <c r="O406" s="1">
        <f>IF(N406 + O405 &lt; 0, N406 + O405, 0)</f>
        <v>0</v>
      </c>
      <c r="P406" s="1">
        <v>0</v>
      </c>
      <c r="Q406" s="1">
        <f>IF(P406 + Q405 &lt; 0, P406 + Q405, 0)</f>
        <v>0</v>
      </c>
      <c r="R406" s="1">
        <v>0</v>
      </c>
      <c r="S406" s="1">
        <f>IF(R406 + S405 &lt; 0, R406 + S405, 0)</f>
        <v>0</v>
      </c>
      <c r="T406" s="1">
        <v>0</v>
      </c>
      <c r="U406" s="1">
        <f>IF(T406 + U405 &lt; 0, T406 + U405, 0)</f>
        <v>0</v>
      </c>
      <c r="V406" s="1">
        <v>0</v>
      </c>
      <c r="W406" s="1">
        <f>IF(V406 + W405 &lt; 0, V406 + W405, 0)</f>
        <v>0</v>
      </c>
      <c r="X406" s="1">
        <v>0</v>
      </c>
      <c r="Y406" s="1">
        <f>IF(X406 + Y405 &lt; 0, X406 + Y405, 0)</f>
        <v>0</v>
      </c>
      <c r="Z406" s="1">
        <v>0</v>
      </c>
      <c r="AA406" s="1">
        <f>IF(Z406 + AA405 &lt; 0, Z406 + AA405, 0)</f>
        <v>0</v>
      </c>
      <c r="AB406" s="1">
        <v>0</v>
      </c>
      <c r="AC406" s="1">
        <f>IF(AB406 + AC405 &lt; 0, AB406 + AC405, 0)</f>
        <v>0</v>
      </c>
      <c r="AD406" s="1">
        <v>0</v>
      </c>
      <c r="AE406" s="1">
        <f>IF(AD406 + AE405 &lt; 0, AD406 + AE405, 0)</f>
        <v>0</v>
      </c>
      <c r="AF406" s="1">
        <v>0</v>
      </c>
      <c r="AG406" s="1">
        <f>IF(AF406 + AG405 &lt; 0, AF406 + AG405, 0)</f>
        <v>0</v>
      </c>
      <c r="AH406" s="1">
        <v>0</v>
      </c>
      <c r="AI406" s="1">
        <f>IF(AH406 + AI405 &lt; 0, AH406 + AI405, 0)</f>
        <v>0</v>
      </c>
      <c r="AJ406" s="1">
        <v>0</v>
      </c>
      <c r="AK406" s="1">
        <f>IF(AJ406 + AK405 &lt; 0, AJ406 + AK405, 0)</f>
        <v>0</v>
      </c>
    </row>
    <row r="407" spans="1:37" s="1" customFormat="1">
      <c r="A407" s="3">
        <v>45890</v>
      </c>
      <c r="B407" s="2" t="s">
        <v>25</v>
      </c>
      <c r="C407" s="2">
        <v>5</v>
      </c>
      <c r="D407" s="2">
        <v>5</v>
      </c>
      <c r="E407" s="2">
        <v>5</v>
      </c>
      <c r="F407" s="2">
        <v>1</v>
      </c>
      <c r="G407" s="2">
        <v>4</v>
      </c>
      <c r="H407" s="1">
        <v>0</v>
      </c>
      <c r="I407" s="1">
        <f>IF(H407 + I406 &lt; 0, H407 + I406, 0)</f>
        <v>0</v>
      </c>
      <c r="J407" s="1">
        <v>0</v>
      </c>
      <c r="K407" s="1">
        <f>IF(J407 + K406 &lt; 0, J407 + K406, 0)</f>
        <v>0</v>
      </c>
      <c r="L407" s="1">
        <v>0</v>
      </c>
      <c r="M407" s="1">
        <f>IF(L407 + M406 &lt; 0, L407 + M406, 0)</f>
        <v>0</v>
      </c>
      <c r="N407" s="1">
        <v>0</v>
      </c>
      <c r="O407" s="1">
        <f>IF(N407 + O406 &lt; 0, N407 + O406, 0)</f>
        <v>0</v>
      </c>
      <c r="P407" s="1">
        <v>0</v>
      </c>
      <c r="Q407" s="1">
        <f>IF(P407 + Q406 &lt; 0, P407 + Q406, 0)</f>
        <v>0</v>
      </c>
      <c r="R407" s="1">
        <v>0</v>
      </c>
      <c r="S407" s="1">
        <f>IF(R407 + S406 &lt; 0, R407 + S406, 0)</f>
        <v>0</v>
      </c>
      <c r="T407" s="1">
        <v>0</v>
      </c>
      <c r="U407" s="1">
        <f>IF(T407 + U406 &lt; 0, T407 + U406, 0)</f>
        <v>0</v>
      </c>
      <c r="V407" s="1">
        <v>0</v>
      </c>
      <c r="W407" s="1">
        <f>IF(V407 + W406 &lt; 0, V407 + W406, 0)</f>
        <v>0</v>
      </c>
      <c r="X407" s="1">
        <v>0</v>
      </c>
      <c r="Y407" s="1">
        <f>IF(X407 + Y406 &lt; 0, X407 + Y406, 0)</f>
        <v>0</v>
      </c>
      <c r="Z407" s="1">
        <v>761502.2431360249</v>
      </c>
      <c r="AA407" s="1">
        <f>IF(Z407 + AA406 &lt; 0, Z407 + AA406, 0)</f>
        <v>0</v>
      </c>
      <c r="AB407" s="1">
        <v>761502.2431360249</v>
      </c>
      <c r="AC407" s="1">
        <f>IF(AB407 + AC406 &lt; 0, AB407 + AC406, 0)</f>
        <v>0</v>
      </c>
      <c r="AD407" s="1">
        <v>420448.007804521</v>
      </c>
      <c r="AE407" s="1">
        <f>IF(AD407 + AE406 &lt; 0, AD407 + AE406, 0)</f>
        <v>0</v>
      </c>
      <c r="AF407" s="1">
        <v>0</v>
      </c>
      <c r="AG407" s="1">
        <f>IF(AF407 + AG406 &lt; 0, AF407 + AG406, 0)</f>
        <v>0</v>
      </c>
      <c r="AH407" s="1">
        <v>0</v>
      </c>
      <c r="AI407" s="1">
        <f>IF(AH407 + AI406 &lt; 0, AH407 + AI406, 0)</f>
        <v>0</v>
      </c>
      <c r="AJ407" s="1">
        <v>0</v>
      </c>
      <c r="AK407" s="1">
        <f>IF(AJ407 + AK406 &lt; 0, AJ407 + AK406, 0)</f>
        <v>0</v>
      </c>
    </row>
    <row r="408" spans="1:37" s="1" customFormat="1">
      <c r="A408" s="3">
        <v>45891</v>
      </c>
      <c r="B408" s="2" t="s">
        <v>26</v>
      </c>
      <c r="C408" s="2">
        <v>4</v>
      </c>
      <c r="D408" s="2">
        <v>4</v>
      </c>
      <c r="E408" s="2">
        <v>4</v>
      </c>
      <c r="F408" s="2">
        <v>4</v>
      </c>
      <c r="G408" s="2">
        <v>3</v>
      </c>
      <c r="H408" s="1">
        <v>0</v>
      </c>
      <c r="I408" s="1">
        <f>IF(H408 + I407 &lt; 0, H408 + I407, 0)</f>
        <v>0</v>
      </c>
      <c r="J408" s="1">
        <v>0</v>
      </c>
      <c r="K408" s="1">
        <f>IF(J408 + K407 &lt; 0, J408 + K407, 0)</f>
        <v>0</v>
      </c>
      <c r="L408" s="1">
        <v>0</v>
      </c>
      <c r="M408" s="1">
        <f>IF(L408 + M407 &lt; 0, L408 + M407, 0)</f>
        <v>0</v>
      </c>
      <c r="N408" s="1">
        <v>0</v>
      </c>
      <c r="O408" s="1">
        <f>IF(N408 + O407 &lt; 0, N408 + O407, 0)</f>
        <v>0</v>
      </c>
      <c r="P408" s="1">
        <v>0</v>
      </c>
      <c r="Q408" s="1">
        <f>IF(P408 + Q407 &lt; 0, P408 + Q407, 0)</f>
        <v>0</v>
      </c>
      <c r="R408" s="1">
        <v>0</v>
      </c>
      <c r="S408" s="1">
        <f>IF(R408 + S407 &lt; 0, R408 + S407, 0)</f>
        <v>0</v>
      </c>
      <c r="T408" s="1">
        <v>0</v>
      </c>
      <c r="U408" s="1">
        <f>IF(T408 + U407 &lt; 0, T408 + U407, 0)</f>
        <v>0</v>
      </c>
      <c r="V408" s="1">
        <v>0</v>
      </c>
      <c r="W408" s="1">
        <f>IF(V408 + W407 &lt; 0, V408 + W407, 0)</f>
        <v>0</v>
      </c>
      <c r="X408" s="1">
        <v>0</v>
      </c>
      <c r="Y408" s="1">
        <f>IF(X408 + Y407 &lt; 0, X408 + Y407, 0)</f>
        <v>0</v>
      </c>
      <c r="Z408" s="1">
        <v>0</v>
      </c>
      <c r="AA408" s="1">
        <f>IF(Z408 + AA407 &lt; 0, Z408 + AA407, 0)</f>
        <v>0</v>
      </c>
      <c r="AB408" s="1">
        <v>0</v>
      </c>
      <c r="AC408" s="1">
        <f>IF(AB408 + AC407 &lt; 0, AB408 + AC407, 0)</f>
        <v>0</v>
      </c>
      <c r="AD408" s="1">
        <v>0</v>
      </c>
      <c r="AE408" s="1">
        <f>IF(AD408 + AE407 &lt; 0, AD408 + AE407, 0)</f>
        <v>0</v>
      </c>
      <c r="AF408" s="1">
        <v>0</v>
      </c>
      <c r="AG408" s="1">
        <f>IF(AF408 + AG407 &lt; 0, AF408 + AG407, 0)</f>
        <v>0</v>
      </c>
      <c r="AH408" s="1">
        <v>0</v>
      </c>
      <c r="AI408" s="1">
        <f>IF(AH408 + AI407 &lt; 0, AH408 + AI407, 0)</f>
        <v>0</v>
      </c>
      <c r="AJ408" s="1">
        <v>0</v>
      </c>
      <c r="AK408" s="1">
        <f>IF(AJ408 + AK407 &lt; 0, AJ408 + AK407, 0)</f>
        <v>0</v>
      </c>
    </row>
    <row r="409" spans="1:37" s="1" customFormat="1">
      <c r="A409" s="3">
        <v>45894</v>
      </c>
      <c r="B409" s="2" t="s">
        <v>22</v>
      </c>
      <c r="C409" s="2">
        <v>3</v>
      </c>
      <c r="D409" s="2">
        <v>3</v>
      </c>
      <c r="E409" s="2">
        <v>3</v>
      </c>
      <c r="F409" s="2">
        <v>3</v>
      </c>
      <c r="G409" s="2">
        <v>2</v>
      </c>
      <c r="H409" s="1">
        <v>0</v>
      </c>
      <c r="I409" s="1">
        <f>IF(H409 + I408 &lt; 0, H409 + I408, 0)</f>
        <v>0</v>
      </c>
      <c r="J409" s="1">
        <v>0</v>
      </c>
      <c r="K409" s="1">
        <f>IF(J409 + K408 &lt; 0, J409 + K408, 0)</f>
        <v>0</v>
      </c>
      <c r="L409" s="1">
        <v>0</v>
      </c>
      <c r="M409" s="1">
        <f>IF(L409 + M408 &lt; 0, L409 + M408, 0)</f>
        <v>0</v>
      </c>
      <c r="N409" s="1">
        <v>0</v>
      </c>
      <c r="O409" s="1">
        <f>IF(N409 + O408 &lt; 0, N409 + O408, 0)</f>
        <v>0</v>
      </c>
      <c r="P409" s="1">
        <v>0</v>
      </c>
      <c r="Q409" s="1">
        <f>IF(P409 + Q408 &lt; 0, P409 + Q408, 0)</f>
        <v>0</v>
      </c>
      <c r="R409" s="1">
        <v>0</v>
      </c>
      <c r="S409" s="1">
        <f>IF(R409 + S408 &lt; 0, R409 + S408, 0)</f>
        <v>0</v>
      </c>
      <c r="T409" s="1">
        <v>0</v>
      </c>
      <c r="U409" s="1">
        <f>IF(T409 + U408 &lt; 0, T409 + U408, 0)</f>
        <v>0</v>
      </c>
      <c r="V409" s="1">
        <v>0</v>
      </c>
      <c r="W409" s="1">
        <f>IF(V409 + W408 &lt; 0, V409 + W408, 0)</f>
        <v>0</v>
      </c>
      <c r="X409" s="1">
        <v>0</v>
      </c>
      <c r="Y409" s="1">
        <f>IF(X409 + Y408 &lt; 0, X409 + Y408, 0)</f>
        <v>0</v>
      </c>
      <c r="Z409" s="1">
        <v>0</v>
      </c>
      <c r="AA409" s="1">
        <f>IF(Z409 + AA408 &lt; 0, Z409 + AA408, 0)</f>
        <v>0</v>
      </c>
      <c r="AB409" s="1">
        <v>0</v>
      </c>
      <c r="AC409" s="1">
        <f>IF(AB409 + AC408 &lt; 0, AB409 + AC408, 0)</f>
        <v>0</v>
      </c>
      <c r="AD409" s="1">
        <v>0</v>
      </c>
      <c r="AE409" s="1">
        <f>IF(AD409 + AE408 &lt; 0, AD409 + AE408, 0)</f>
        <v>0</v>
      </c>
      <c r="AF409" s="1">
        <v>0</v>
      </c>
      <c r="AG409" s="1">
        <f>IF(AF409 + AG408 &lt; 0, AF409 + AG408, 0)</f>
        <v>0</v>
      </c>
      <c r="AH409" s="1">
        <v>0</v>
      </c>
      <c r="AI409" s="1">
        <f>IF(AH409 + AI408 &lt; 0, AH409 + AI408, 0)</f>
        <v>0</v>
      </c>
      <c r="AJ409" s="1">
        <v>0</v>
      </c>
      <c r="AK409" s="1">
        <f>IF(AJ409 + AK408 &lt; 0, AJ409 + AK408, 0)</f>
        <v>0</v>
      </c>
    </row>
    <row r="410" spans="1:37" s="1" customFormat="1">
      <c r="A410" s="3">
        <v>45895</v>
      </c>
      <c r="B410" s="2" t="s">
        <v>23</v>
      </c>
      <c r="C410" s="2">
        <v>2</v>
      </c>
      <c r="D410" s="2">
        <v>2</v>
      </c>
      <c r="E410" s="2">
        <v>2</v>
      </c>
      <c r="F410" s="2">
        <v>2</v>
      </c>
      <c r="G410" s="2">
        <v>1</v>
      </c>
      <c r="H410" s="1">
        <v>0</v>
      </c>
      <c r="I410" s="1">
        <f>IF(H410 + I409 &lt; 0, H410 + I409, 0)</f>
        <v>0</v>
      </c>
      <c r="J410" s="1">
        <v>0</v>
      </c>
      <c r="K410" s="1">
        <f>IF(J410 + K409 &lt; 0, J410 + K409, 0)</f>
        <v>0</v>
      </c>
      <c r="L410" s="1">
        <v>0</v>
      </c>
      <c r="M410" s="1">
        <f>IF(L410 + M409 &lt; 0, L410 + M409, 0)</f>
        <v>0</v>
      </c>
      <c r="N410" s="1">
        <v>0</v>
      </c>
      <c r="O410" s="1">
        <f>IF(N410 + O409 &lt; 0, N410 + O409, 0)</f>
        <v>0</v>
      </c>
      <c r="P410" s="1">
        <v>0</v>
      </c>
      <c r="Q410" s="1">
        <f>IF(P410 + Q409 &lt; 0, P410 + Q409, 0)</f>
        <v>0</v>
      </c>
      <c r="R410" s="1">
        <v>0</v>
      </c>
      <c r="S410" s="1">
        <f>IF(R410 + S409 &lt; 0, R410 + S409, 0)</f>
        <v>0</v>
      </c>
      <c r="T410" s="1">
        <v>0</v>
      </c>
      <c r="U410" s="1">
        <f>IF(T410 + U409 &lt; 0, T410 + U409, 0)</f>
        <v>0</v>
      </c>
      <c r="V410" s="1">
        <v>0</v>
      </c>
      <c r="W410" s="1">
        <f>IF(V410 + W409 &lt; 0, V410 + W409, 0)</f>
        <v>0</v>
      </c>
      <c r="X410" s="1">
        <v>0</v>
      </c>
      <c r="Y410" s="1">
        <f>IF(X410 + Y409 &lt; 0, X410 + Y409, 0)</f>
        <v>0</v>
      </c>
      <c r="Z410" s="1">
        <v>0</v>
      </c>
      <c r="AA410" s="1">
        <f>IF(Z410 + AA409 &lt; 0, Z410 + AA409, 0)</f>
        <v>0</v>
      </c>
      <c r="AB410" s="1">
        <v>0</v>
      </c>
      <c r="AC410" s="1">
        <f>IF(AB410 + AC409 &lt; 0, AB410 + AC409, 0)</f>
        <v>0</v>
      </c>
      <c r="AD410" s="1">
        <v>0</v>
      </c>
      <c r="AE410" s="1">
        <f>IF(AD410 + AE409 &lt; 0, AD410 + AE409, 0)</f>
        <v>0</v>
      </c>
      <c r="AF410" s="1">
        <v>288824.0969903151</v>
      </c>
      <c r="AG410" s="1">
        <f>IF(AF410 + AG409 &lt; 0, AF410 + AG409, 0)</f>
        <v>0</v>
      </c>
      <c r="AH410" s="1">
        <v>44968.52951452185</v>
      </c>
      <c r="AI410" s="1">
        <f>IF(AH410 + AI409 &lt; 0, AH410 + AI409, 0)</f>
        <v>0</v>
      </c>
      <c r="AJ410" s="1">
        <v>181767.3141360372</v>
      </c>
      <c r="AK410" s="1">
        <f>IF(AJ410 + AK409 &lt; 0, AJ410 + AK409, 0)</f>
        <v>0</v>
      </c>
    </row>
    <row r="411" spans="1:37" s="1" customFormat="1">
      <c r="A411" s="3">
        <v>45897</v>
      </c>
      <c r="B411" s="2" t="s">
        <v>25</v>
      </c>
      <c r="C411" s="2">
        <v>1</v>
      </c>
      <c r="D411" s="2">
        <v>1</v>
      </c>
      <c r="E411" s="2">
        <v>1</v>
      </c>
      <c r="F411" s="2">
        <v>1</v>
      </c>
      <c r="G411" s="2">
        <v>6</v>
      </c>
      <c r="H411" s="1">
        <v>0</v>
      </c>
      <c r="I411" s="1">
        <f>IF(H411 + I410 &lt; 0, H411 + I410, 0)</f>
        <v>0</v>
      </c>
      <c r="J411" s="1">
        <v>0</v>
      </c>
      <c r="K411" s="1">
        <f>IF(J411 + K410 &lt; 0, J411 + K410, 0)</f>
        <v>0</v>
      </c>
      <c r="L411" s="1">
        <v>0</v>
      </c>
      <c r="M411" s="1">
        <f>IF(L411 + M410 &lt; 0, L411 + M410, 0)</f>
        <v>0</v>
      </c>
      <c r="N411" s="1">
        <v>0</v>
      </c>
      <c r="O411" s="1">
        <f>IF(N411 + O410 &lt; 0, N411 + O410, 0)</f>
        <v>0</v>
      </c>
      <c r="P411" s="1">
        <v>0</v>
      </c>
      <c r="Q411" s="1">
        <f>IF(P411 + Q410 &lt; 0, P411 + Q410, 0)</f>
        <v>0</v>
      </c>
      <c r="R411" s="1">
        <v>0</v>
      </c>
      <c r="S411" s="1">
        <f>IF(R411 + S410 &lt; 0, R411 + S410, 0)</f>
        <v>0</v>
      </c>
      <c r="T411" s="1">
        <v>0</v>
      </c>
      <c r="U411" s="1">
        <f>IF(T411 + U410 &lt; 0, T411 + U410, 0)</f>
        <v>0</v>
      </c>
      <c r="V411" s="1">
        <v>0</v>
      </c>
      <c r="W411" s="1">
        <f>IF(V411 + W410 &lt; 0, V411 + W410, 0)</f>
        <v>0</v>
      </c>
      <c r="X411" s="1">
        <v>0</v>
      </c>
      <c r="Y411" s="1">
        <f>IF(X411 + Y410 &lt; 0, X411 + Y410, 0)</f>
        <v>0</v>
      </c>
      <c r="Z411" s="1">
        <v>-47063.49647156792</v>
      </c>
      <c r="AA411" s="1">
        <f>IF(Z411 + AA410 &lt; 0, Z411 + AA410, 0)</f>
        <v>0</v>
      </c>
      <c r="AB411" s="1">
        <v>-47063.49647156792</v>
      </c>
      <c r="AC411" s="1">
        <f>IF(AB411 + AC410 &lt; 0, AB411 + AC410, 0)</f>
        <v>0</v>
      </c>
      <c r="AD411" s="1">
        <v>-476373.4581745218</v>
      </c>
      <c r="AE411" s="1">
        <f>IF(AD411 + AE410 &lt; 0, AD411 + AE410, 0)</f>
        <v>0</v>
      </c>
      <c r="AF411" s="1">
        <v>0</v>
      </c>
      <c r="AG411" s="1">
        <f>IF(AF411 + AG410 &lt; 0, AF411 + AG410, 0)</f>
        <v>0</v>
      </c>
      <c r="AH411" s="1">
        <v>0</v>
      </c>
      <c r="AI411" s="1">
        <f>IF(AH411 + AI410 &lt; 0, AH411 + AI410, 0)</f>
        <v>0</v>
      </c>
      <c r="AJ411" s="1">
        <v>0</v>
      </c>
      <c r="AK411" s="1">
        <f>IF(AJ411 + AK410 &lt; 0, AJ411 + AK410, 0)</f>
        <v>0</v>
      </c>
    </row>
    <row r="412" spans="1:37" s="1" customFormat="1">
      <c r="A412" s="3">
        <v>45898</v>
      </c>
      <c r="B412" s="2" t="s">
        <v>26</v>
      </c>
      <c r="C412" s="2">
        <v>23</v>
      </c>
      <c r="D412" s="2">
        <v>23</v>
      </c>
      <c r="E412" s="2">
        <v>23</v>
      </c>
      <c r="F412" s="2">
        <v>3</v>
      </c>
      <c r="G412" s="2">
        <v>5</v>
      </c>
      <c r="H412" s="1">
        <v>0</v>
      </c>
      <c r="I412" s="1">
        <f>IF(H412 + I411 &lt; 0, H412 + I411, 0)</f>
        <v>0</v>
      </c>
      <c r="J412" s="1">
        <v>0</v>
      </c>
      <c r="K412" s="1">
        <f>IF(J412 + K411 &lt; 0, J412 + K411, 0)</f>
        <v>0</v>
      </c>
      <c r="L412" s="1">
        <v>0</v>
      </c>
      <c r="M412" s="1">
        <f>IF(L412 + M411 &lt; 0, L412 + M411, 0)</f>
        <v>0</v>
      </c>
      <c r="N412" s="1">
        <v>0</v>
      </c>
      <c r="O412" s="1">
        <f>IF(N412 + O411 &lt; 0, N412 + O411, 0)</f>
        <v>0</v>
      </c>
      <c r="P412" s="1">
        <v>0</v>
      </c>
      <c r="Q412" s="1">
        <f>IF(P412 + Q411 &lt; 0, P412 + Q411, 0)</f>
        <v>0</v>
      </c>
      <c r="R412" s="1">
        <v>0</v>
      </c>
      <c r="S412" s="1">
        <f>IF(R412 + S411 &lt; 0, R412 + S411, 0)</f>
        <v>0</v>
      </c>
      <c r="T412" s="1">
        <v>0</v>
      </c>
      <c r="U412" s="1">
        <f>IF(T412 + U411 &lt; 0, T412 + U411, 0)</f>
        <v>0</v>
      </c>
      <c r="V412" s="1">
        <v>0</v>
      </c>
      <c r="W412" s="1">
        <f>IF(V412 + W411 &lt; 0, V412 + W411, 0)</f>
        <v>0</v>
      </c>
      <c r="X412" s="1">
        <v>0</v>
      </c>
      <c r="Y412" s="1">
        <f>IF(X412 + Y411 &lt; 0, X412 + Y411, 0)</f>
        <v>0</v>
      </c>
      <c r="Z412" s="1">
        <v>0</v>
      </c>
      <c r="AA412" s="1">
        <f>IF(Z412 + AA411 &lt; 0, Z412 + AA411, 0)</f>
        <v>0</v>
      </c>
      <c r="AB412" s="1">
        <v>0</v>
      </c>
      <c r="AC412" s="1">
        <f>IF(AB412 + AC411 &lt; 0, AB412 + AC411, 0)</f>
        <v>0</v>
      </c>
      <c r="AD412" s="1">
        <v>0</v>
      </c>
      <c r="AE412" s="1">
        <f>IF(AD412 + AE411 &lt; 0, AD412 + AE411, 0)</f>
        <v>0</v>
      </c>
      <c r="AF412" s="1">
        <v>0</v>
      </c>
      <c r="AG412" s="1">
        <f>IF(AF412 + AG411 &lt; 0, AF412 + AG411, 0)</f>
        <v>0</v>
      </c>
      <c r="AH412" s="1">
        <v>0</v>
      </c>
      <c r="AI412" s="1">
        <f>IF(AH412 + AI411 &lt; 0, AH412 + AI411, 0)</f>
        <v>0</v>
      </c>
      <c r="AJ412" s="1">
        <v>0</v>
      </c>
      <c r="AK412" s="1">
        <f>IF(AJ412 + AK411 &lt; 0, AJ412 + AK411, 0)</f>
        <v>0</v>
      </c>
    </row>
    <row r="413" spans="1:37" s="1" customFormat="1">
      <c r="A413" s="3">
        <v>45901</v>
      </c>
      <c r="B413" s="2" t="s">
        <v>22</v>
      </c>
      <c r="C413" s="2">
        <v>22</v>
      </c>
      <c r="D413" s="2">
        <v>22</v>
      </c>
      <c r="E413" s="2">
        <v>22</v>
      </c>
      <c r="F413" s="2">
        <v>2</v>
      </c>
      <c r="G413" s="2">
        <v>4</v>
      </c>
      <c r="H413" s="1">
        <v>0</v>
      </c>
      <c r="I413" s="1">
        <f>IF(H413 + I412 &lt; 0, H413 + I412, 0)</f>
        <v>0</v>
      </c>
      <c r="J413" s="1">
        <v>0</v>
      </c>
      <c r="K413" s="1">
        <f>IF(J413 + K412 &lt; 0, J413 + K412, 0)</f>
        <v>0</v>
      </c>
      <c r="L413" s="1">
        <v>0</v>
      </c>
      <c r="M413" s="1">
        <f>IF(L413 + M412 &lt; 0, L413 + M412, 0)</f>
        <v>0</v>
      </c>
      <c r="N413" s="1">
        <v>0</v>
      </c>
      <c r="O413" s="1">
        <f>IF(N413 + O412 &lt; 0, N413 + O412, 0)</f>
        <v>0</v>
      </c>
      <c r="P413" s="1">
        <v>0</v>
      </c>
      <c r="Q413" s="1">
        <f>IF(P413 + Q412 &lt; 0, P413 + Q412, 0)</f>
        <v>0</v>
      </c>
      <c r="R413" s="1">
        <v>0</v>
      </c>
      <c r="S413" s="1">
        <f>IF(R413 + S412 &lt; 0, R413 + S412, 0)</f>
        <v>0</v>
      </c>
      <c r="T413" s="1">
        <v>0</v>
      </c>
      <c r="U413" s="1">
        <f>IF(T413 + U412 &lt; 0, T413 + U412, 0)</f>
        <v>0</v>
      </c>
      <c r="V413" s="1">
        <v>0</v>
      </c>
      <c r="W413" s="1">
        <f>IF(V413 + W412 &lt; 0, V413 + W412, 0)</f>
        <v>0</v>
      </c>
      <c r="X413" s="1">
        <v>0</v>
      </c>
      <c r="Y413" s="1">
        <f>IF(X413 + Y412 &lt; 0, X413 + Y412, 0)</f>
        <v>0</v>
      </c>
      <c r="Z413" s="1">
        <v>0</v>
      </c>
      <c r="AA413" s="1">
        <f>IF(Z413 + AA412 &lt; 0, Z413 + AA412, 0)</f>
        <v>0</v>
      </c>
      <c r="AB413" s="1">
        <v>0</v>
      </c>
      <c r="AC413" s="1">
        <f>IF(AB413 + AC412 &lt; 0, AB413 + AC412, 0)</f>
        <v>0</v>
      </c>
      <c r="AD413" s="1">
        <v>0</v>
      </c>
      <c r="AE413" s="1">
        <f>IF(AD413 + AE412 &lt; 0, AD413 + AE412, 0)</f>
        <v>0</v>
      </c>
      <c r="AF413" s="1">
        <v>0</v>
      </c>
      <c r="AG413" s="1">
        <f>IF(AF413 + AG412 &lt; 0, AF413 + AG412, 0)</f>
        <v>0</v>
      </c>
      <c r="AH413" s="1">
        <v>0</v>
      </c>
      <c r="AI413" s="1">
        <f>IF(AH413 + AI412 &lt; 0, AH413 + AI412, 0)</f>
        <v>0</v>
      </c>
      <c r="AJ413" s="1">
        <v>0</v>
      </c>
      <c r="AK413" s="1">
        <f>IF(AJ413 + AK412 &lt; 0, AJ413 + AK412, 0)</f>
        <v>0</v>
      </c>
    </row>
    <row r="414" spans="1:37" s="1" customFormat="1">
      <c r="A414" s="3">
        <v>45902</v>
      </c>
      <c r="B414" s="2" t="s">
        <v>23</v>
      </c>
      <c r="C414" s="2">
        <v>21</v>
      </c>
      <c r="D414" s="2">
        <v>21</v>
      </c>
      <c r="E414" s="2">
        <v>21</v>
      </c>
      <c r="F414" s="2">
        <v>1</v>
      </c>
      <c r="G414" s="2">
        <v>3</v>
      </c>
      <c r="H414" s="1">
        <v>0</v>
      </c>
      <c r="I414" s="1">
        <f>IF(H414 + I413 &lt; 0, H414 + I413, 0)</f>
        <v>0</v>
      </c>
      <c r="J414" s="1">
        <v>0</v>
      </c>
      <c r="K414" s="1">
        <f>IF(J414 + K413 &lt; 0, J414 + K413, 0)</f>
        <v>0</v>
      </c>
      <c r="L414" s="1">
        <v>0</v>
      </c>
      <c r="M414" s="1">
        <f>IF(L414 + M413 &lt; 0, L414 + M413, 0)</f>
        <v>0</v>
      </c>
      <c r="N414" s="1">
        <v>0</v>
      </c>
      <c r="O414" s="1">
        <f>IF(N414 + O413 &lt; 0, N414 + O413, 0)</f>
        <v>0</v>
      </c>
      <c r="P414" s="1">
        <v>0</v>
      </c>
      <c r="Q414" s="1">
        <f>IF(P414 + Q413 &lt; 0, P414 + Q413, 0)</f>
        <v>0</v>
      </c>
      <c r="R414" s="1">
        <v>0</v>
      </c>
      <c r="S414" s="1">
        <f>IF(R414 + S413 &lt; 0, R414 + S413, 0)</f>
        <v>0</v>
      </c>
      <c r="T414" s="1">
        <v>0</v>
      </c>
      <c r="U414" s="1">
        <f>IF(T414 + U413 &lt; 0, T414 + U413, 0)</f>
        <v>0</v>
      </c>
      <c r="V414" s="1">
        <v>0</v>
      </c>
      <c r="W414" s="1">
        <f>IF(V414 + W413 &lt; 0, V414 + W413, 0)</f>
        <v>0</v>
      </c>
      <c r="X414" s="1">
        <v>0</v>
      </c>
      <c r="Y414" s="1">
        <f>IF(X414 + Y413 &lt; 0, X414 + Y413, 0)</f>
        <v>0</v>
      </c>
      <c r="Z414" s="1">
        <v>93624.90040779355</v>
      </c>
      <c r="AA414" s="1">
        <f>IF(Z414 + AA413 &lt; 0, Z414 + AA413, 0)</f>
        <v>0</v>
      </c>
      <c r="AB414" s="1">
        <v>93624.90040779355</v>
      </c>
      <c r="AC414" s="1">
        <f>IF(AB414 + AC413 &lt; 0, AB414 + AC413, 0)</f>
        <v>0</v>
      </c>
      <c r="AD414" s="1">
        <v>93624.90040779355</v>
      </c>
      <c r="AE414" s="1">
        <f>IF(AD414 + AE413 &lt; 0, AD414 + AE413, 0)</f>
        <v>0</v>
      </c>
      <c r="AF414" s="1">
        <v>0</v>
      </c>
      <c r="AG414" s="1">
        <f>IF(AF414 + AG413 &lt; 0, AF414 + AG413, 0)</f>
        <v>0</v>
      </c>
      <c r="AH414" s="1">
        <v>0</v>
      </c>
      <c r="AI414" s="1">
        <f>IF(AH414 + AI413 &lt; 0, AH414 + AI413, 0)</f>
        <v>0</v>
      </c>
      <c r="AJ414" s="1">
        <v>0</v>
      </c>
      <c r="AK414" s="1">
        <f>IF(AJ414 + AK413 &lt; 0, AJ414 + AK413, 0)</f>
        <v>0</v>
      </c>
    </row>
    <row r="415" spans="1:37" s="1" customFormat="1">
      <c r="A415" s="3">
        <v>45903</v>
      </c>
      <c r="B415" s="2" t="s">
        <v>24</v>
      </c>
      <c r="C415" s="2">
        <v>20</v>
      </c>
      <c r="D415" s="2">
        <v>20</v>
      </c>
      <c r="E415" s="2">
        <v>20</v>
      </c>
      <c r="F415" s="2">
        <v>5</v>
      </c>
      <c r="G415" s="2">
        <v>2</v>
      </c>
      <c r="H415" s="1">
        <v>0</v>
      </c>
      <c r="I415" s="1">
        <f>IF(H415 + I414 &lt; 0, H415 + I414, 0)</f>
        <v>0</v>
      </c>
      <c r="J415" s="1">
        <v>0</v>
      </c>
      <c r="K415" s="1">
        <f>IF(J415 + K414 &lt; 0, J415 + K414, 0)</f>
        <v>0</v>
      </c>
      <c r="L415" s="1">
        <v>0</v>
      </c>
      <c r="M415" s="1">
        <f>IF(L415 + M414 &lt; 0, L415 + M414, 0)</f>
        <v>0</v>
      </c>
      <c r="N415" s="1">
        <v>0</v>
      </c>
      <c r="O415" s="1">
        <f>IF(N415 + O414 &lt; 0, N415 + O414, 0)</f>
        <v>0</v>
      </c>
      <c r="P415" s="1">
        <v>0</v>
      </c>
      <c r="Q415" s="1">
        <f>IF(P415 + Q414 &lt; 0, P415 + Q414, 0)</f>
        <v>0</v>
      </c>
      <c r="R415" s="1">
        <v>0</v>
      </c>
      <c r="S415" s="1">
        <f>IF(R415 + S414 &lt; 0, R415 + S414, 0)</f>
        <v>0</v>
      </c>
      <c r="T415" s="1">
        <v>0</v>
      </c>
      <c r="U415" s="1">
        <f>IF(T415 + U414 &lt; 0, T415 + U414, 0)</f>
        <v>0</v>
      </c>
      <c r="V415" s="1">
        <v>0</v>
      </c>
      <c r="W415" s="1">
        <f>IF(V415 + W414 &lt; 0, V415 + W414, 0)</f>
        <v>0</v>
      </c>
      <c r="X415" s="1">
        <v>0</v>
      </c>
      <c r="Y415" s="1">
        <f>IF(X415 + Y414 &lt; 0, X415 + Y414, 0)</f>
        <v>0</v>
      </c>
      <c r="Z415" s="1">
        <v>0</v>
      </c>
      <c r="AA415" s="1">
        <f>IF(Z415 + AA414 &lt; 0, Z415 + AA414, 0)</f>
        <v>0</v>
      </c>
      <c r="AB415" s="1">
        <v>0</v>
      </c>
      <c r="AC415" s="1">
        <f>IF(AB415 + AC414 &lt; 0, AB415 + AC414, 0)</f>
        <v>0</v>
      </c>
      <c r="AD415" s="1">
        <v>0</v>
      </c>
      <c r="AE415" s="1">
        <f>IF(AD415 + AE414 &lt; 0, AD415 + AE414, 0)</f>
        <v>0</v>
      </c>
      <c r="AF415" s="1">
        <v>0</v>
      </c>
      <c r="AG415" s="1">
        <f>IF(AF415 + AG414 &lt; 0, AF415 + AG414, 0)</f>
        <v>0</v>
      </c>
      <c r="AH415" s="1">
        <v>0</v>
      </c>
      <c r="AI415" s="1">
        <f>IF(AH415 + AI414 &lt; 0, AH415 + AI414, 0)</f>
        <v>0</v>
      </c>
      <c r="AJ415" s="1">
        <v>0</v>
      </c>
      <c r="AK415" s="1">
        <f>IF(AJ415 + AK414 &lt; 0, AJ415 + AK414, 0)</f>
        <v>0</v>
      </c>
    </row>
    <row r="416" spans="1:37" s="1" customFormat="1">
      <c r="A416" s="3">
        <v>45904</v>
      </c>
      <c r="B416" s="2" t="s">
        <v>25</v>
      </c>
      <c r="C416" s="2">
        <v>19</v>
      </c>
      <c r="D416" s="2">
        <v>19</v>
      </c>
      <c r="E416" s="2">
        <v>19</v>
      </c>
      <c r="F416" s="2">
        <v>4</v>
      </c>
      <c r="G416" s="2">
        <v>1</v>
      </c>
      <c r="H416" s="1">
        <v>0</v>
      </c>
      <c r="I416" s="1">
        <f>IF(H416 + I415 &lt; 0, H416 + I415, 0)</f>
        <v>0</v>
      </c>
      <c r="J416" s="1">
        <v>0</v>
      </c>
      <c r="K416" s="1">
        <f>IF(J416 + K415 &lt; 0, J416 + K415, 0)</f>
        <v>0</v>
      </c>
      <c r="L416" s="1">
        <v>0</v>
      </c>
      <c r="M416" s="1">
        <f>IF(L416 + M415 &lt; 0, L416 + M415, 0)</f>
        <v>0</v>
      </c>
      <c r="N416" s="1">
        <v>0</v>
      </c>
      <c r="O416" s="1">
        <f>IF(N416 + O415 &lt; 0, N416 + O415, 0)</f>
        <v>0</v>
      </c>
      <c r="P416" s="1">
        <v>0</v>
      </c>
      <c r="Q416" s="1">
        <f>IF(P416 + Q415 &lt; 0, P416 + Q415, 0)</f>
        <v>0</v>
      </c>
      <c r="R416" s="1">
        <v>0</v>
      </c>
      <c r="S416" s="1">
        <f>IF(R416 + S415 &lt; 0, R416 + S415, 0)</f>
        <v>0</v>
      </c>
      <c r="T416" s="1">
        <v>0</v>
      </c>
      <c r="U416" s="1">
        <f>IF(T416 + U415 &lt; 0, T416 + U415, 0)</f>
        <v>0</v>
      </c>
      <c r="V416" s="1">
        <v>0</v>
      </c>
      <c r="W416" s="1">
        <f>IF(V416 + W415 &lt; 0, V416 + W415, 0)</f>
        <v>0</v>
      </c>
      <c r="X416" s="1">
        <v>0</v>
      </c>
      <c r="Y416" s="1">
        <f>IF(X416 + Y415 &lt; 0, X416 + Y415, 0)</f>
        <v>0</v>
      </c>
      <c r="Z416" s="1">
        <v>0</v>
      </c>
      <c r="AA416" s="1">
        <f>IF(Z416 + AA415 &lt; 0, Z416 + AA415, 0)</f>
        <v>0</v>
      </c>
      <c r="AB416" s="1">
        <v>0</v>
      </c>
      <c r="AC416" s="1">
        <f>IF(AB416 + AC415 &lt; 0, AB416 + AC415, 0)</f>
        <v>0</v>
      </c>
      <c r="AD416" s="1">
        <v>0</v>
      </c>
      <c r="AE416" s="1">
        <f>IF(AD416 + AE415 &lt; 0, AD416 + AE415, 0)</f>
        <v>0</v>
      </c>
      <c r="AF416" s="1">
        <v>-33740.72055123904</v>
      </c>
      <c r="AG416" s="1">
        <f>IF(AF416 + AG415 &lt; 0, AF416 + AG415, 0)</f>
        <v>0</v>
      </c>
      <c r="AH416" s="1">
        <v>-192134.2077342042</v>
      </c>
      <c r="AI416" s="1">
        <f>IF(AH416 + AI415 &lt; 0, AH416 + AI415, 0)</f>
        <v>0</v>
      </c>
      <c r="AJ416" s="1">
        <v>-589964.7018070228</v>
      </c>
      <c r="AK416" s="1">
        <f>IF(AJ416 + AK415 &lt; 0, AJ416 + AK415, 0)</f>
        <v>0</v>
      </c>
    </row>
    <row r="417" spans="1:37" s="1" customFormat="1">
      <c r="A417" s="3">
        <v>45905</v>
      </c>
      <c r="B417" s="2" t="s">
        <v>26</v>
      </c>
      <c r="C417" s="2">
        <v>18</v>
      </c>
      <c r="D417" s="2">
        <v>18</v>
      </c>
      <c r="E417" s="2">
        <v>18</v>
      </c>
      <c r="F417" s="2">
        <v>3</v>
      </c>
      <c r="G417" s="2">
        <v>5</v>
      </c>
      <c r="H417" s="1">
        <v>0</v>
      </c>
      <c r="I417" s="1">
        <f>IF(H417 + I416 &lt; 0, H417 + I416, 0)</f>
        <v>0</v>
      </c>
      <c r="J417" s="1">
        <v>0</v>
      </c>
      <c r="K417" s="1">
        <f>IF(J417 + K416 &lt; 0, J417 + K416, 0)</f>
        <v>0</v>
      </c>
      <c r="L417" s="1">
        <v>0</v>
      </c>
      <c r="M417" s="1">
        <f>IF(L417 + M416 &lt; 0, L417 + M416, 0)</f>
        <v>0</v>
      </c>
      <c r="N417" s="1">
        <v>0</v>
      </c>
      <c r="O417" s="1">
        <f>IF(N417 + O416 &lt; 0, N417 + O416, 0)</f>
        <v>0</v>
      </c>
      <c r="P417" s="1">
        <v>0</v>
      </c>
      <c r="Q417" s="1">
        <f>IF(P417 + Q416 &lt; 0, P417 + Q416, 0)</f>
        <v>0</v>
      </c>
      <c r="R417" s="1">
        <v>0</v>
      </c>
      <c r="S417" s="1">
        <f>IF(R417 + S416 &lt; 0, R417 + S416, 0)</f>
        <v>0</v>
      </c>
      <c r="T417" s="1">
        <v>0</v>
      </c>
      <c r="U417" s="1">
        <f>IF(T417 + U416 &lt; 0, T417 + U416, 0)</f>
        <v>0</v>
      </c>
      <c r="V417" s="1">
        <v>0</v>
      </c>
      <c r="W417" s="1">
        <f>IF(V417 + W416 &lt; 0, V417 + W416, 0)</f>
        <v>0</v>
      </c>
      <c r="X417" s="1">
        <v>0</v>
      </c>
      <c r="Y417" s="1">
        <f>IF(X417 + Y416 &lt; 0, X417 + Y416, 0)</f>
        <v>0</v>
      </c>
      <c r="Z417" s="1">
        <v>0</v>
      </c>
      <c r="AA417" s="1">
        <f>IF(Z417 + AA416 &lt; 0, Z417 + AA416, 0)</f>
        <v>0</v>
      </c>
      <c r="AB417" s="1">
        <v>0</v>
      </c>
      <c r="AC417" s="1">
        <f>IF(AB417 + AC416 &lt; 0, AB417 + AC416, 0)</f>
        <v>0</v>
      </c>
      <c r="AD417" s="1">
        <v>0</v>
      </c>
      <c r="AE417" s="1">
        <f>IF(AD417 + AE416 &lt; 0, AD417 + AE416, 0)</f>
        <v>0</v>
      </c>
      <c r="AF417" s="1">
        <v>0</v>
      </c>
      <c r="AG417" s="1">
        <f>IF(AF417 + AG416 &lt; 0, AF417 + AG416, 0)</f>
        <v>0</v>
      </c>
      <c r="AH417" s="1">
        <v>0</v>
      </c>
      <c r="AI417" s="1">
        <f>IF(AH417 + AI416 &lt; 0, AH417 + AI416, 0)</f>
        <v>0</v>
      </c>
      <c r="AJ417" s="1">
        <v>0</v>
      </c>
      <c r="AK417" s="1">
        <f>IF(AJ417 + AK416 &lt; 0, AJ417 + AK416, 0)</f>
        <v>0</v>
      </c>
    </row>
    <row r="418" spans="1:37" s="1" customFormat="1">
      <c r="A418" s="3">
        <v>45908</v>
      </c>
      <c r="B418" s="2" t="s">
        <v>22</v>
      </c>
      <c r="C418" s="2">
        <v>17</v>
      </c>
      <c r="D418" s="2">
        <v>17</v>
      </c>
      <c r="E418" s="2">
        <v>17</v>
      </c>
      <c r="F418" s="2">
        <v>2</v>
      </c>
      <c r="G418" s="2">
        <v>4</v>
      </c>
      <c r="H418" s="1">
        <v>0</v>
      </c>
      <c r="I418" s="1">
        <f>IF(H418 + I417 &lt; 0, H418 + I417, 0)</f>
        <v>0</v>
      </c>
      <c r="J418" s="1">
        <v>0</v>
      </c>
      <c r="K418" s="1">
        <f>IF(J418 + K417 &lt; 0, J418 + K417, 0)</f>
        <v>0</v>
      </c>
      <c r="L418" s="1">
        <v>0</v>
      </c>
      <c r="M418" s="1">
        <f>IF(L418 + M417 &lt; 0, L418 + M417, 0)</f>
        <v>0</v>
      </c>
      <c r="N418" s="1">
        <v>0</v>
      </c>
      <c r="O418" s="1">
        <f>IF(N418 + O417 &lt; 0, N418 + O417, 0)</f>
        <v>0</v>
      </c>
      <c r="P418" s="1">
        <v>0</v>
      </c>
      <c r="Q418" s="1">
        <f>IF(P418 + Q417 &lt; 0, P418 + Q417, 0)</f>
        <v>0</v>
      </c>
      <c r="R418" s="1">
        <v>0</v>
      </c>
      <c r="S418" s="1">
        <f>IF(R418 + S417 &lt; 0, R418 + S417, 0)</f>
        <v>0</v>
      </c>
      <c r="T418" s="1">
        <v>0</v>
      </c>
      <c r="U418" s="1">
        <f>IF(T418 + U417 &lt; 0, T418 + U417, 0)</f>
        <v>0</v>
      </c>
      <c r="V418" s="1">
        <v>0</v>
      </c>
      <c r="W418" s="1">
        <f>IF(V418 + W417 &lt; 0, V418 + W417, 0)</f>
        <v>0</v>
      </c>
      <c r="X418" s="1">
        <v>0</v>
      </c>
      <c r="Y418" s="1">
        <f>IF(X418 + Y417 &lt; 0, X418 + Y417, 0)</f>
        <v>0</v>
      </c>
      <c r="Z418" s="1">
        <v>0</v>
      </c>
      <c r="AA418" s="1">
        <f>IF(Z418 + AA417 &lt; 0, Z418 + AA417, 0)</f>
        <v>0</v>
      </c>
      <c r="AB418" s="1">
        <v>0</v>
      </c>
      <c r="AC418" s="1">
        <f>IF(AB418 + AC417 &lt; 0, AB418 + AC417, 0)</f>
        <v>0</v>
      </c>
      <c r="AD418" s="1">
        <v>0</v>
      </c>
      <c r="AE418" s="1">
        <f>IF(AD418 + AE417 &lt; 0, AD418 + AE417, 0)</f>
        <v>0</v>
      </c>
      <c r="AF418" s="1">
        <v>0</v>
      </c>
      <c r="AG418" s="1">
        <f>IF(AF418 + AG417 &lt; 0, AF418 + AG417, 0)</f>
        <v>0</v>
      </c>
      <c r="AH418" s="1">
        <v>0</v>
      </c>
      <c r="AI418" s="1">
        <f>IF(AH418 + AI417 &lt; 0, AH418 + AI417, 0)</f>
        <v>0</v>
      </c>
      <c r="AJ418" s="1">
        <v>0</v>
      </c>
      <c r="AK418" s="1">
        <f>IF(AJ418 + AK417 &lt; 0, AJ418 + AK417, 0)</f>
        <v>0</v>
      </c>
    </row>
    <row r="419" spans="1:37" s="1" customFormat="1">
      <c r="A419" s="3">
        <v>45909</v>
      </c>
      <c r="B419" s="2" t="s">
        <v>23</v>
      </c>
      <c r="C419" s="2">
        <v>16</v>
      </c>
      <c r="D419" s="2">
        <v>16</v>
      </c>
      <c r="E419" s="2">
        <v>16</v>
      </c>
      <c r="F419" s="2">
        <v>1</v>
      </c>
      <c r="G419" s="2">
        <v>3</v>
      </c>
      <c r="H419" s="1">
        <v>0</v>
      </c>
      <c r="I419" s="1">
        <f>IF(H419 + I418 &lt; 0, H419 + I418, 0)</f>
        <v>0</v>
      </c>
      <c r="J419" s="1">
        <v>0</v>
      </c>
      <c r="K419" s="1">
        <f>IF(J419 + K418 &lt; 0, J419 + K418, 0)</f>
        <v>0</v>
      </c>
      <c r="L419" s="1">
        <v>0</v>
      </c>
      <c r="M419" s="1">
        <f>IF(L419 + M418 &lt; 0, L419 + M418, 0)</f>
        <v>0</v>
      </c>
      <c r="N419" s="1">
        <v>0</v>
      </c>
      <c r="O419" s="1">
        <f>IF(N419 + O418 &lt; 0, N419 + O418, 0)</f>
        <v>0</v>
      </c>
      <c r="P419" s="1">
        <v>0</v>
      </c>
      <c r="Q419" s="1">
        <f>IF(P419 + Q418 &lt; 0, P419 + Q418, 0)</f>
        <v>0</v>
      </c>
      <c r="R419" s="1">
        <v>0</v>
      </c>
      <c r="S419" s="1">
        <f>IF(R419 + S418 &lt; 0, R419 + S418, 0)</f>
        <v>0</v>
      </c>
      <c r="T419" s="1">
        <v>0</v>
      </c>
      <c r="U419" s="1">
        <f>IF(T419 + U418 &lt; 0, T419 + U418, 0)</f>
        <v>0</v>
      </c>
      <c r="V419" s="1">
        <v>0</v>
      </c>
      <c r="W419" s="1">
        <f>IF(V419 + W418 &lt; 0, V419 + W418, 0)</f>
        <v>0</v>
      </c>
      <c r="X419" s="1">
        <v>0</v>
      </c>
      <c r="Y419" s="1">
        <f>IF(X419 + Y418 &lt; 0, X419 + Y418, 0)</f>
        <v>0</v>
      </c>
      <c r="Z419" s="1">
        <v>156211.0258093201</v>
      </c>
      <c r="AA419" s="1">
        <f>IF(Z419 + AA418 &lt; 0, Z419 + AA418, 0)</f>
        <v>0</v>
      </c>
      <c r="AB419" s="1">
        <v>388570.5278771282</v>
      </c>
      <c r="AC419" s="1">
        <f>IF(AB419 + AC418 &lt; 0, AB419 + AC418, 0)</f>
        <v>0</v>
      </c>
      <c r="AD419" s="1">
        <v>392783.7449058223</v>
      </c>
      <c r="AE419" s="1">
        <f>IF(AD419 + AE418 &lt; 0, AD419 + AE418, 0)</f>
        <v>0</v>
      </c>
      <c r="AF419" s="1">
        <v>0</v>
      </c>
      <c r="AG419" s="1">
        <f>IF(AF419 + AG418 &lt; 0, AF419 + AG418, 0)</f>
        <v>0</v>
      </c>
      <c r="AH419" s="1">
        <v>0</v>
      </c>
      <c r="AI419" s="1">
        <f>IF(AH419 + AI418 &lt; 0, AH419 + AI418, 0)</f>
        <v>0</v>
      </c>
      <c r="AJ419" s="1">
        <v>0</v>
      </c>
      <c r="AK419" s="1">
        <f>IF(AJ419 + AK418 &lt; 0, AJ419 + AK418, 0)</f>
        <v>0</v>
      </c>
    </row>
    <row r="420" spans="1:37" s="1" customFormat="1">
      <c r="A420" s="3">
        <v>45910</v>
      </c>
      <c r="B420" s="2" t="s">
        <v>24</v>
      </c>
      <c r="C420" s="2">
        <v>15</v>
      </c>
      <c r="D420" s="2">
        <v>15</v>
      </c>
      <c r="E420" s="2">
        <v>15</v>
      </c>
      <c r="F420" s="2">
        <v>5</v>
      </c>
      <c r="G420" s="2">
        <v>2</v>
      </c>
      <c r="H420" s="1">
        <v>0</v>
      </c>
      <c r="I420" s="1">
        <f>IF(H420 + I419 &lt; 0, H420 + I419, 0)</f>
        <v>0</v>
      </c>
      <c r="J420" s="1">
        <v>0</v>
      </c>
      <c r="K420" s="1">
        <f>IF(J420 + K419 &lt; 0, J420 + K419, 0)</f>
        <v>0</v>
      </c>
      <c r="L420" s="1">
        <v>0</v>
      </c>
      <c r="M420" s="1">
        <f>IF(L420 + M419 &lt; 0, L420 + M419, 0)</f>
        <v>0</v>
      </c>
      <c r="N420" s="1">
        <v>0</v>
      </c>
      <c r="O420" s="1">
        <f>IF(N420 + O419 &lt; 0, N420 + O419, 0)</f>
        <v>0</v>
      </c>
      <c r="P420" s="1">
        <v>0</v>
      </c>
      <c r="Q420" s="1">
        <f>IF(P420 + Q419 &lt; 0, P420 + Q419, 0)</f>
        <v>0</v>
      </c>
      <c r="R420" s="1">
        <v>0</v>
      </c>
      <c r="S420" s="1">
        <f>IF(R420 + S419 &lt; 0, R420 + S419, 0)</f>
        <v>0</v>
      </c>
      <c r="T420" s="1">
        <v>0</v>
      </c>
      <c r="U420" s="1">
        <f>IF(T420 + U419 &lt; 0, T420 + U419, 0)</f>
        <v>0</v>
      </c>
      <c r="V420" s="1">
        <v>0</v>
      </c>
      <c r="W420" s="1">
        <f>IF(V420 + W419 &lt; 0, V420 + W419, 0)</f>
        <v>0</v>
      </c>
      <c r="X420" s="1">
        <v>0</v>
      </c>
      <c r="Y420" s="1">
        <f>IF(X420 + Y419 &lt; 0, X420 + Y419, 0)</f>
        <v>0</v>
      </c>
      <c r="Z420" s="1">
        <v>0</v>
      </c>
      <c r="AA420" s="1">
        <f>IF(Z420 + AA419 &lt; 0, Z420 + AA419, 0)</f>
        <v>0</v>
      </c>
      <c r="AB420" s="1">
        <v>0</v>
      </c>
      <c r="AC420" s="1">
        <f>IF(AB420 + AC419 &lt; 0, AB420 + AC419, 0)</f>
        <v>0</v>
      </c>
      <c r="AD420" s="1">
        <v>0</v>
      </c>
      <c r="AE420" s="1">
        <f>IF(AD420 + AE419 &lt; 0, AD420 + AE419, 0)</f>
        <v>0</v>
      </c>
      <c r="AF420" s="1">
        <v>0</v>
      </c>
      <c r="AG420" s="1">
        <f>IF(AF420 + AG419 &lt; 0, AF420 + AG419, 0)</f>
        <v>0</v>
      </c>
      <c r="AH420" s="1">
        <v>0</v>
      </c>
      <c r="AI420" s="1">
        <f>IF(AH420 + AI419 &lt; 0, AH420 + AI419, 0)</f>
        <v>0</v>
      </c>
      <c r="AJ420" s="1">
        <v>0</v>
      </c>
      <c r="AK420" s="1">
        <f>IF(AJ420 + AK419 &lt; 0, AJ420 + AK419, 0)</f>
        <v>0</v>
      </c>
    </row>
    <row r="421" spans="1:37" s="1" customFormat="1">
      <c r="A421" s="3">
        <v>45911</v>
      </c>
      <c r="B421" s="2" t="s">
        <v>25</v>
      </c>
      <c r="C421" s="2">
        <v>14</v>
      </c>
      <c r="D421" s="2">
        <v>14</v>
      </c>
      <c r="E421" s="2">
        <v>14</v>
      </c>
      <c r="F421" s="2">
        <v>4</v>
      </c>
      <c r="G421" s="2">
        <v>1</v>
      </c>
      <c r="H421" s="1">
        <v>0</v>
      </c>
      <c r="I421" s="1">
        <f>IF(H421 + I420 &lt; 0, H421 + I420, 0)</f>
        <v>0</v>
      </c>
      <c r="J421" s="1">
        <v>0</v>
      </c>
      <c r="K421" s="1">
        <f>IF(J421 + K420 &lt; 0, J421 + K420, 0)</f>
        <v>0</v>
      </c>
      <c r="L421" s="1">
        <v>0</v>
      </c>
      <c r="M421" s="1">
        <f>IF(L421 + M420 &lt; 0, L421 + M420, 0)</f>
        <v>0</v>
      </c>
      <c r="N421" s="1">
        <v>0</v>
      </c>
      <c r="O421" s="1">
        <f>IF(N421 + O420 &lt; 0, N421 + O420, 0)</f>
        <v>0</v>
      </c>
      <c r="P421" s="1">
        <v>0</v>
      </c>
      <c r="Q421" s="1">
        <f>IF(P421 + Q420 &lt; 0, P421 + Q420, 0)</f>
        <v>0</v>
      </c>
      <c r="R421" s="1">
        <v>0</v>
      </c>
      <c r="S421" s="1">
        <f>IF(R421 + S420 &lt; 0, R421 + S420, 0)</f>
        <v>0</v>
      </c>
      <c r="T421" s="1">
        <v>0</v>
      </c>
      <c r="U421" s="1">
        <f>IF(T421 + U420 &lt; 0, T421 + U420, 0)</f>
        <v>0</v>
      </c>
      <c r="V421" s="1">
        <v>0</v>
      </c>
      <c r="W421" s="1">
        <f>IF(V421 + W420 &lt; 0, V421 + W420, 0)</f>
        <v>0</v>
      </c>
      <c r="X421" s="1">
        <v>0</v>
      </c>
      <c r="Y421" s="1">
        <f>IF(X421 + Y420 &lt; 0, X421 + Y420, 0)</f>
        <v>0</v>
      </c>
      <c r="Z421" s="1">
        <v>0</v>
      </c>
      <c r="AA421" s="1">
        <f>IF(Z421 + AA420 &lt; 0, Z421 + AA420, 0)</f>
        <v>0</v>
      </c>
      <c r="AB421" s="1">
        <v>0</v>
      </c>
      <c r="AC421" s="1">
        <f>IF(AB421 + AC420 &lt; 0, AB421 + AC420, 0)</f>
        <v>0</v>
      </c>
      <c r="AD421" s="1">
        <v>0</v>
      </c>
      <c r="AE421" s="1">
        <f>IF(AD421 + AE420 &lt; 0, AD421 + AE420, 0)</f>
        <v>0</v>
      </c>
      <c r="AF421" s="1">
        <v>500343.0415051662</v>
      </c>
      <c r="AG421" s="1">
        <f>IF(AF421 + AG420 &lt; 0, AF421 + AG420, 0)</f>
        <v>0</v>
      </c>
      <c r="AH421" s="1">
        <v>480386.0158902326</v>
      </c>
      <c r="AI421" s="1">
        <f>IF(AH421 + AI420 &lt; 0, AH421 + AI420, 0)</f>
        <v>0</v>
      </c>
      <c r="AJ421" s="1">
        <v>382090.2552570996</v>
      </c>
      <c r="AK421" s="1">
        <f>IF(AJ421 + AK420 &lt; 0, AJ421 + AK420, 0)</f>
        <v>0</v>
      </c>
    </row>
    <row r="422" spans="1:37" s="1" customFormat="1">
      <c r="A422" s="3">
        <v>45912</v>
      </c>
      <c r="B422" s="2" t="s">
        <v>26</v>
      </c>
      <c r="C422" s="2">
        <v>13</v>
      </c>
      <c r="D422" s="2">
        <v>13</v>
      </c>
      <c r="E422" s="2">
        <v>13</v>
      </c>
      <c r="F422" s="2">
        <v>3</v>
      </c>
      <c r="G422" s="2">
        <v>5</v>
      </c>
      <c r="H422" s="1">
        <v>0</v>
      </c>
      <c r="I422" s="1">
        <f>IF(H422 + I421 &lt; 0, H422 + I421, 0)</f>
        <v>0</v>
      </c>
      <c r="J422" s="1">
        <v>0</v>
      </c>
      <c r="K422" s="1">
        <f>IF(J422 + K421 &lt; 0, J422 + K421, 0)</f>
        <v>0</v>
      </c>
      <c r="L422" s="1">
        <v>0</v>
      </c>
      <c r="M422" s="1">
        <f>IF(L422 + M421 &lt; 0, L422 + M421, 0)</f>
        <v>0</v>
      </c>
      <c r="N422" s="1">
        <v>0</v>
      </c>
      <c r="O422" s="1">
        <f>IF(N422 + O421 &lt; 0, N422 + O421, 0)</f>
        <v>0</v>
      </c>
      <c r="P422" s="1">
        <v>0</v>
      </c>
      <c r="Q422" s="1">
        <f>IF(P422 + Q421 &lt; 0, P422 + Q421, 0)</f>
        <v>0</v>
      </c>
      <c r="R422" s="1">
        <v>0</v>
      </c>
      <c r="S422" s="1">
        <f>IF(R422 + S421 &lt; 0, R422 + S421, 0)</f>
        <v>0</v>
      </c>
      <c r="T422" s="1">
        <v>0</v>
      </c>
      <c r="U422" s="1">
        <f>IF(T422 + U421 &lt; 0, T422 + U421, 0)</f>
        <v>0</v>
      </c>
      <c r="V422" s="1">
        <v>0</v>
      </c>
      <c r="W422" s="1">
        <f>IF(V422 + W421 &lt; 0, V422 + W421, 0)</f>
        <v>0</v>
      </c>
      <c r="X422" s="1">
        <v>0</v>
      </c>
      <c r="Y422" s="1">
        <f>IF(X422 + Y421 &lt; 0, X422 + Y421, 0)</f>
        <v>0</v>
      </c>
      <c r="Z422" s="1">
        <v>0</v>
      </c>
      <c r="AA422" s="1">
        <f>IF(Z422 + AA421 &lt; 0, Z422 + AA421, 0)</f>
        <v>0</v>
      </c>
      <c r="AB422" s="1">
        <v>0</v>
      </c>
      <c r="AC422" s="1">
        <f>IF(AB422 + AC421 &lt; 0, AB422 + AC421, 0)</f>
        <v>0</v>
      </c>
      <c r="AD422" s="1">
        <v>0</v>
      </c>
      <c r="AE422" s="1">
        <f>IF(AD422 + AE421 &lt; 0, AD422 + AE421, 0)</f>
        <v>0</v>
      </c>
      <c r="AF422" s="1">
        <v>0</v>
      </c>
      <c r="AG422" s="1">
        <f>IF(AF422 + AG421 &lt; 0, AF422 + AG421, 0)</f>
        <v>0</v>
      </c>
      <c r="AH422" s="1">
        <v>0</v>
      </c>
      <c r="AI422" s="1">
        <f>IF(AH422 + AI421 &lt; 0, AH422 + AI421, 0)</f>
        <v>0</v>
      </c>
      <c r="AJ422" s="1">
        <v>0</v>
      </c>
      <c r="AK422" s="1">
        <f>IF(AJ422 + AK421 &lt; 0, AJ422 + AK421, 0)</f>
        <v>0</v>
      </c>
    </row>
    <row r="423" spans="1:37" s="1" customFormat="1">
      <c r="A423" s="3">
        <v>45915</v>
      </c>
      <c r="B423" s="2" t="s">
        <v>22</v>
      </c>
      <c r="C423" s="2">
        <v>12</v>
      </c>
      <c r="D423" s="2">
        <v>12</v>
      </c>
      <c r="E423" s="2">
        <v>12</v>
      </c>
      <c r="F423" s="2">
        <v>2</v>
      </c>
      <c r="G423" s="2">
        <v>4</v>
      </c>
      <c r="H423" s="1">
        <v>0</v>
      </c>
      <c r="I423" s="1">
        <f>IF(H423 + I422 &lt; 0, H423 + I422, 0)</f>
        <v>0</v>
      </c>
      <c r="J423" s="1">
        <v>0</v>
      </c>
      <c r="K423" s="1">
        <f>IF(J423 + K422 &lt; 0, J423 + K422, 0)</f>
        <v>0</v>
      </c>
      <c r="L423" s="1">
        <v>0</v>
      </c>
      <c r="M423" s="1">
        <f>IF(L423 + M422 &lt; 0, L423 + M422, 0)</f>
        <v>0</v>
      </c>
      <c r="N423" s="1">
        <v>0</v>
      </c>
      <c r="O423" s="1">
        <f>IF(N423 + O422 &lt; 0, N423 + O422, 0)</f>
        <v>0</v>
      </c>
      <c r="P423" s="1">
        <v>0</v>
      </c>
      <c r="Q423" s="1">
        <f>IF(P423 + Q422 &lt; 0, P423 + Q422, 0)</f>
        <v>0</v>
      </c>
      <c r="R423" s="1">
        <v>0</v>
      </c>
      <c r="S423" s="1">
        <f>IF(R423 + S422 &lt; 0, R423 + S422, 0)</f>
        <v>0</v>
      </c>
      <c r="T423" s="1">
        <v>0</v>
      </c>
      <c r="U423" s="1">
        <f>IF(T423 + U422 &lt; 0, T423 + U422, 0)</f>
        <v>0</v>
      </c>
      <c r="V423" s="1">
        <v>0</v>
      </c>
      <c r="W423" s="1">
        <f>IF(V423 + W422 &lt; 0, V423 + W422, 0)</f>
        <v>0</v>
      </c>
      <c r="X423" s="1">
        <v>0</v>
      </c>
      <c r="Y423" s="1">
        <f>IF(X423 + Y422 &lt; 0, X423 + Y422, 0)</f>
        <v>0</v>
      </c>
      <c r="Z423" s="1">
        <v>0</v>
      </c>
      <c r="AA423" s="1">
        <f>IF(Z423 + AA422 &lt; 0, Z423 + AA422, 0)</f>
        <v>0</v>
      </c>
      <c r="AB423" s="1">
        <v>0</v>
      </c>
      <c r="AC423" s="1">
        <f>IF(AB423 + AC422 &lt; 0, AB423 + AC422, 0)</f>
        <v>0</v>
      </c>
      <c r="AD423" s="1">
        <v>0</v>
      </c>
      <c r="AE423" s="1">
        <f>IF(AD423 + AE422 &lt; 0, AD423 + AE422, 0)</f>
        <v>0</v>
      </c>
      <c r="AF423" s="1">
        <v>0</v>
      </c>
      <c r="AG423" s="1">
        <f>IF(AF423 + AG422 &lt; 0, AF423 + AG422, 0)</f>
        <v>0</v>
      </c>
      <c r="AH423" s="1">
        <v>0</v>
      </c>
      <c r="AI423" s="1">
        <f>IF(AH423 + AI422 &lt; 0, AH423 + AI422, 0)</f>
        <v>0</v>
      </c>
      <c r="AJ423" s="1">
        <v>0</v>
      </c>
      <c r="AK423" s="1">
        <f>IF(AJ423 + AK422 &lt; 0, AJ423 + AK422, 0)</f>
        <v>0</v>
      </c>
    </row>
    <row r="424" spans="1:37" s="1" customFormat="1">
      <c r="A424" s="3">
        <v>45916</v>
      </c>
      <c r="B424" s="2" t="s">
        <v>23</v>
      </c>
      <c r="C424" s="2">
        <v>11</v>
      </c>
      <c r="D424" s="2">
        <v>11</v>
      </c>
      <c r="E424" s="2">
        <v>11</v>
      </c>
      <c r="F424" s="2">
        <v>1</v>
      </c>
      <c r="G424" s="2">
        <v>3</v>
      </c>
      <c r="H424" s="1">
        <v>0</v>
      </c>
      <c r="I424" s="1">
        <f>IF(H424 + I423 &lt; 0, H424 + I423, 0)</f>
        <v>0</v>
      </c>
      <c r="J424" s="1">
        <v>0</v>
      </c>
      <c r="K424" s="1">
        <f>IF(J424 + K423 &lt; 0, J424 + K423, 0)</f>
        <v>0</v>
      </c>
      <c r="L424" s="1">
        <v>0</v>
      </c>
      <c r="M424" s="1">
        <f>IF(L424 + M423 &lt; 0, L424 + M423, 0)</f>
        <v>0</v>
      </c>
      <c r="N424" s="1">
        <v>0</v>
      </c>
      <c r="O424" s="1">
        <f>IF(N424 + O423 &lt; 0, N424 + O423, 0)</f>
        <v>0</v>
      </c>
      <c r="P424" s="1">
        <v>0</v>
      </c>
      <c r="Q424" s="1">
        <f>IF(P424 + Q423 &lt; 0, P424 + Q423, 0)</f>
        <v>0</v>
      </c>
      <c r="R424" s="1">
        <v>0</v>
      </c>
      <c r="S424" s="1">
        <f>IF(R424 + S423 &lt; 0, R424 + S423, 0)</f>
        <v>0</v>
      </c>
      <c r="T424" s="1">
        <v>0</v>
      </c>
      <c r="U424" s="1">
        <f>IF(T424 + U423 &lt; 0, T424 + U423, 0)</f>
        <v>0</v>
      </c>
      <c r="V424" s="1">
        <v>0</v>
      </c>
      <c r="W424" s="1">
        <f>IF(V424 + W423 &lt; 0, V424 + W423, 0)</f>
        <v>0</v>
      </c>
      <c r="X424" s="1">
        <v>0</v>
      </c>
      <c r="Y424" s="1">
        <f>IF(X424 + Y423 &lt; 0, X424 + Y423, 0)</f>
        <v>0</v>
      </c>
      <c r="Z424" s="1">
        <v>587729.0344044757</v>
      </c>
      <c r="AA424" s="1">
        <f>IF(Z424 + AA423 &lt; 0, Z424 + AA423, 0)</f>
        <v>0</v>
      </c>
      <c r="AB424" s="1">
        <v>400786.063390121</v>
      </c>
      <c r="AC424" s="1">
        <f>IF(AB424 + AC423 &lt; 0, AB424 + AC423, 0)</f>
        <v>0</v>
      </c>
      <c r="AD424" s="1">
        <v>426509.2951340778</v>
      </c>
      <c r="AE424" s="1">
        <f>IF(AD424 + AE423 &lt; 0, AD424 + AE423, 0)</f>
        <v>0</v>
      </c>
      <c r="AF424" s="1">
        <v>0</v>
      </c>
      <c r="AG424" s="1">
        <f>IF(AF424 + AG423 &lt; 0, AF424 + AG423, 0)</f>
        <v>0</v>
      </c>
      <c r="AH424" s="1">
        <v>0</v>
      </c>
      <c r="AI424" s="1">
        <f>IF(AH424 + AI423 &lt; 0, AH424 + AI423, 0)</f>
        <v>0</v>
      </c>
      <c r="AJ424" s="1">
        <v>0</v>
      </c>
      <c r="AK424" s="1">
        <f>IF(AJ424 + AK423 &lt; 0, AJ424 + AK423, 0)</f>
        <v>0</v>
      </c>
    </row>
    <row r="425" spans="1:37" s="1" customFormat="1">
      <c r="A425" s="3">
        <v>45917</v>
      </c>
      <c r="B425" s="2" t="s">
        <v>24</v>
      </c>
      <c r="C425" s="2">
        <v>10</v>
      </c>
      <c r="D425" s="2">
        <v>10</v>
      </c>
      <c r="E425" s="2">
        <v>10</v>
      </c>
      <c r="F425" s="2">
        <v>5</v>
      </c>
      <c r="G425" s="2">
        <v>2</v>
      </c>
      <c r="H425" s="1">
        <v>0</v>
      </c>
      <c r="I425" s="1">
        <f>IF(H425 + I424 &lt; 0, H425 + I424, 0)</f>
        <v>0</v>
      </c>
      <c r="J425" s="1">
        <v>0</v>
      </c>
      <c r="K425" s="1">
        <f>IF(J425 + K424 &lt; 0, J425 + K424, 0)</f>
        <v>0</v>
      </c>
      <c r="L425" s="1">
        <v>0</v>
      </c>
      <c r="M425" s="1">
        <f>IF(L425 + M424 &lt; 0, L425 + M424, 0)</f>
        <v>0</v>
      </c>
      <c r="N425" s="1">
        <v>0</v>
      </c>
      <c r="O425" s="1">
        <f>IF(N425 + O424 &lt; 0, N425 + O424, 0)</f>
        <v>0</v>
      </c>
      <c r="P425" s="1">
        <v>0</v>
      </c>
      <c r="Q425" s="1">
        <f>IF(P425 + Q424 &lt; 0, P425 + Q424, 0)</f>
        <v>0</v>
      </c>
      <c r="R425" s="1">
        <v>0</v>
      </c>
      <c r="S425" s="1">
        <f>IF(R425 + S424 &lt; 0, R425 + S424, 0)</f>
        <v>0</v>
      </c>
      <c r="T425" s="1">
        <v>0</v>
      </c>
      <c r="U425" s="1">
        <f>IF(T425 + U424 &lt; 0, T425 + U424, 0)</f>
        <v>0</v>
      </c>
      <c r="V425" s="1">
        <v>0</v>
      </c>
      <c r="W425" s="1">
        <f>IF(V425 + W424 &lt; 0, V425 + W424, 0)</f>
        <v>0</v>
      </c>
      <c r="X425" s="1">
        <v>0</v>
      </c>
      <c r="Y425" s="1">
        <f>IF(X425 + Y424 &lt; 0, X425 + Y424, 0)</f>
        <v>0</v>
      </c>
      <c r="Z425" s="1">
        <v>0</v>
      </c>
      <c r="AA425" s="1">
        <f>IF(Z425 + AA424 &lt; 0, Z425 + AA424, 0)</f>
        <v>0</v>
      </c>
      <c r="AB425" s="1">
        <v>0</v>
      </c>
      <c r="AC425" s="1">
        <f>IF(AB425 + AC424 &lt; 0, AB425 + AC424, 0)</f>
        <v>0</v>
      </c>
      <c r="AD425" s="1">
        <v>0</v>
      </c>
      <c r="AE425" s="1">
        <f>IF(AD425 + AE424 &lt; 0, AD425 + AE424, 0)</f>
        <v>0</v>
      </c>
      <c r="AF425" s="1">
        <v>0</v>
      </c>
      <c r="AG425" s="1">
        <f>IF(AF425 + AG424 &lt; 0, AF425 + AG424, 0)</f>
        <v>0</v>
      </c>
      <c r="AH425" s="1">
        <v>0</v>
      </c>
      <c r="AI425" s="1">
        <f>IF(AH425 + AI424 &lt; 0, AH425 + AI424, 0)</f>
        <v>0</v>
      </c>
      <c r="AJ425" s="1">
        <v>0</v>
      </c>
      <c r="AK425" s="1">
        <f>IF(AJ425 + AK424 &lt; 0, AJ425 + AK424, 0)</f>
        <v>0</v>
      </c>
    </row>
    <row r="426" spans="1:37" s="1" customFormat="1">
      <c r="A426" s="3">
        <v>45918</v>
      </c>
      <c r="B426" s="2" t="s">
        <v>25</v>
      </c>
      <c r="C426" s="2">
        <v>9</v>
      </c>
      <c r="D426" s="2">
        <v>9</v>
      </c>
      <c r="E426" s="2">
        <v>9</v>
      </c>
      <c r="F426" s="2">
        <v>4</v>
      </c>
      <c r="G426" s="2">
        <v>1</v>
      </c>
      <c r="H426" s="1">
        <v>0</v>
      </c>
      <c r="I426" s="1">
        <f>IF(H426 + I425 &lt; 0, H426 + I425, 0)</f>
        <v>0</v>
      </c>
      <c r="J426" s="1">
        <v>0</v>
      </c>
      <c r="K426" s="1">
        <f>IF(J426 + K425 &lt; 0, J426 + K425, 0)</f>
        <v>0</v>
      </c>
      <c r="L426" s="1">
        <v>0</v>
      </c>
      <c r="M426" s="1">
        <f>IF(L426 + M425 &lt; 0, L426 + M425, 0)</f>
        <v>0</v>
      </c>
      <c r="N426" s="1">
        <v>0</v>
      </c>
      <c r="O426" s="1">
        <f>IF(N426 + O425 &lt; 0, N426 + O425, 0)</f>
        <v>0</v>
      </c>
      <c r="P426" s="1">
        <v>0</v>
      </c>
      <c r="Q426" s="1">
        <f>IF(P426 + Q425 &lt; 0, P426 + Q425, 0)</f>
        <v>0</v>
      </c>
      <c r="R426" s="1">
        <v>0</v>
      </c>
      <c r="S426" s="1">
        <f>IF(R426 + S425 &lt; 0, R426 + S425, 0)</f>
        <v>0</v>
      </c>
      <c r="T426" s="1">
        <v>0</v>
      </c>
      <c r="U426" s="1">
        <f>IF(T426 + U425 &lt; 0, T426 + U425, 0)</f>
        <v>0</v>
      </c>
      <c r="V426" s="1">
        <v>0</v>
      </c>
      <c r="W426" s="1">
        <f>IF(V426 + W425 &lt; 0, V426 + W425, 0)</f>
        <v>0</v>
      </c>
      <c r="X426" s="1">
        <v>0</v>
      </c>
      <c r="Y426" s="1">
        <f>IF(X426 + Y425 &lt; 0, X426 + Y425, 0)</f>
        <v>0</v>
      </c>
      <c r="Z426" s="1">
        <v>0</v>
      </c>
      <c r="AA426" s="1">
        <f>IF(Z426 + AA425 &lt; 0, Z426 + AA425, 0)</f>
        <v>0</v>
      </c>
      <c r="AB426" s="1">
        <v>0</v>
      </c>
      <c r="AC426" s="1">
        <f>IF(AB426 + AC425 &lt; 0, AB426 + AC425, 0)</f>
        <v>0</v>
      </c>
      <c r="AD426" s="1">
        <v>0</v>
      </c>
      <c r="AE426" s="1">
        <f>IF(AD426 + AE425 &lt; 0, AD426 + AE425, 0)</f>
        <v>0</v>
      </c>
      <c r="AF426" s="1">
        <v>228856.5878759557</v>
      </c>
      <c r="AG426" s="1">
        <f>IF(AF426 + AG425 &lt; 0, AF426 + AG425, 0)</f>
        <v>0</v>
      </c>
      <c r="AH426" s="1">
        <v>70594.65081288251</v>
      </c>
      <c r="AI426" s="1">
        <f>IF(AH426 + AI425 &lt; 0, AH426 + AI425, 0)</f>
        <v>0</v>
      </c>
      <c r="AJ426" s="1">
        <v>65686.72356513426</v>
      </c>
      <c r="AK426" s="1">
        <f>IF(AJ426 + AK425 &lt; 0, AJ426 + AK425, 0)</f>
        <v>0</v>
      </c>
    </row>
    <row r="427" spans="1:37" s="1" customFormat="1">
      <c r="A427" s="3">
        <v>45919</v>
      </c>
      <c r="B427" s="2" t="s">
        <v>26</v>
      </c>
      <c r="C427" s="2">
        <v>8</v>
      </c>
      <c r="D427" s="2">
        <v>8</v>
      </c>
      <c r="E427" s="2">
        <v>8</v>
      </c>
      <c r="F427" s="2">
        <v>3</v>
      </c>
      <c r="G427" s="2">
        <v>5</v>
      </c>
      <c r="H427" s="1">
        <v>0</v>
      </c>
      <c r="I427" s="1">
        <f>IF(H427 + I426 &lt; 0, H427 + I426, 0)</f>
        <v>0</v>
      </c>
      <c r="J427" s="1">
        <v>0</v>
      </c>
      <c r="K427" s="1">
        <f>IF(J427 + K426 &lt; 0, J427 + K426, 0)</f>
        <v>0</v>
      </c>
      <c r="L427" s="1">
        <v>0</v>
      </c>
      <c r="M427" s="1">
        <f>IF(L427 + M426 &lt; 0, L427 + M426, 0)</f>
        <v>0</v>
      </c>
      <c r="N427" s="1">
        <v>0</v>
      </c>
      <c r="O427" s="1">
        <f>IF(N427 + O426 &lt; 0, N427 + O426, 0)</f>
        <v>0</v>
      </c>
      <c r="P427" s="1">
        <v>0</v>
      </c>
      <c r="Q427" s="1">
        <f>IF(P427 + Q426 &lt; 0, P427 + Q426, 0)</f>
        <v>0</v>
      </c>
      <c r="R427" s="1">
        <v>0</v>
      </c>
      <c r="S427" s="1">
        <f>IF(R427 + S426 &lt; 0, R427 + S426, 0)</f>
        <v>0</v>
      </c>
      <c r="T427" s="1">
        <v>0</v>
      </c>
      <c r="U427" s="1">
        <f>IF(T427 + U426 &lt; 0, T427 + U426, 0)</f>
        <v>0</v>
      </c>
      <c r="V427" s="1">
        <v>0</v>
      </c>
      <c r="W427" s="1">
        <f>IF(V427 + W426 &lt; 0, V427 + W426, 0)</f>
        <v>0</v>
      </c>
      <c r="X427" s="1">
        <v>0</v>
      </c>
      <c r="Y427" s="1">
        <f>IF(X427 + Y426 &lt; 0, X427 + Y426, 0)</f>
        <v>0</v>
      </c>
      <c r="Z427" s="1">
        <v>0</v>
      </c>
      <c r="AA427" s="1">
        <f>IF(Z427 + AA426 &lt; 0, Z427 + AA426, 0)</f>
        <v>0</v>
      </c>
      <c r="AB427" s="1">
        <v>0</v>
      </c>
      <c r="AC427" s="1">
        <f>IF(AB427 + AC426 &lt; 0, AB427 + AC426, 0)</f>
        <v>0</v>
      </c>
      <c r="AD427" s="1">
        <v>0</v>
      </c>
      <c r="AE427" s="1">
        <f>IF(AD427 + AE426 &lt; 0, AD427 + AE426, 0)</f>
        <v>0</v>
      </c>
      <c r="AF427" s="1">
        <v>0</v>
      </c>
      <c r="AG427" s="1">
        <f>IF(AF427 + AG426 &lt; 0, AF427 + AG426, 0)</f>
        <v>0</v>
      </c>
      <c r="AH427" s="1">
        <v>0</v>
      </c>
      <c r="AI427" s="1">
        <f>IF(AH427 + AI426 &lt; 0, AH427 + AI426, 0)</f>
        <v>0</v>
      </c>
      <c r="AJ427" s="1">
        <v>0</v>
      </c>
      <c r="AK427" s="1">
        <f>IF(AJ427 + AK426 &lt; 0, AJ427 + AK426, 0)</f>
        <v>0</v>
      </c>
    </row>
    <row r="428" spans="1:37" s="1" customFormat="1">
      <c r="A428" s="3">
        <v>45922</v>
      </c>
      <c r="B428" s="2" t="s">
        <v>22</v>
      </c>
      <c r="C428" s="2">
        <v>7</v>
      </c>
      <c r="D428" s="2">
        <v>7</v>
      </c>
      <c r="E428" s="2">
        <v>7</v>
      </c>
      <c r="F428" s="2">
        <v>2</v>
      </c>
      <c r="G428" s="2">
        <v>4</v>
      </c>
      <c r="H428" s="1">
        <v>0</v>
      </c>
      <c r="I428" s="1">
        <f>IF(H428 + I427 &lt; 0, H428 + I427, 0)</f>
        <v>0</v>
      </c>
      <c r="J428" s="1">
        <v>0</v>
      </c>
      <c r="K428" s="1">
        <f>IF(J428 + K427 &lt; 0, J428 + K427, 0)</f>
        <v>0</v>
      </c>
      <c r="L428" s="1">
        <v>0</v>
      </c>
      <c r="M428" s="1">
        <f>IF(L428 + M427 &lt; 0, L428 + M427, 0)</f>
        <v>0</v>
      </c>
      <c r="N428" s="1">
        <v>0</v>
      </c>
      <c r="O428" s="1">
        <f>IF(N428 + O427 &lt; 0, N428 + O427, 0)</f>
        <v>0</v>
      </c>
      <c r="P428" s="1">
        <v>0</v>
      </c>
      <c r="Q428" s="1">
        <f>IF(P428 + Q427 &lt; 0, P428 + Q427, 0)</f>
        <v>0</v>
      </c>
      <c r="R428" s="1">
        <v>0</v>
      </c>
      <c r="S428" s="1">
        <f>IF(R428 + S427 &lt; 0, R428 + S427, 0)</f>
        <v>0</v>
      </c>
      <c r="T428" s="1">
        <v>0</v>
      </c>
      <c r="U428" s="1">
        <f>IF(T428 + U427 &lt; 0, T428 + U427, 0)</f>
        <v>0</v>
      </c>
      <c r="V428" s="1">
        <v>0</v>
      </c>
      <c r="W428" s="1">
        <f>IF(V428 + W427 &lt; 0, V428 + W427, 0)</f>
        <v>0</v>
      </c>
      <c r="X428" s="1">
        <v>0</v>
      </c>
      <c r="Y428" s="1">
        <f>IF(X428 + Y427 &lt; 0, X428 + Y427, 0)</f>
        <v>0</v>
      </c>
      <c r="Z428" s="1">
        <v>0</v>
      </c>
      <c r="AA428" s="1">
        <f>IF(Z428 + AA427 &lt; 0, Z428 + AA427, 0)</f>
        <v>0</v>
      </c>
      <c r="AB428" s="1">
        <v>0</v>
      </c>
      <c r="AC428" s="1">
        <f>IF(AB428 + AC427 &lt; 0, AB428 + AC427, 0)</f>
        <v>0</v>
      </c>
      <c r="AD428" s="1">
        <v>0</v>
      </c>
      <c r="AE428" s="1">
        <f>IF(AD428 + AE427 &lt; 0, AD428 + AE427, 0)</f>
        <v>0</v>
      </c>
      <c r="AF428" s="1">
        <v>0</v>
      </c>
      <c r="AG428" s="1">
        <f>IF(AF428 + AG427 &lt; 0, AF428 + AG427, 0)</f>
        <v>0</v>
      </c>
      <c r="AH428" s="1">
        <v>0</v>
      </c>
      <c r="AI428" s="1">
        <f>IF(AH428 + AI427 &lt; 0, AH428 + AI427, 0)</f>
        <v>0</v>
      </c>
      <c r="AJ428" s="1">
        <v>0</v>
      </c>
      <c r="AK428" s="1">
        <f>IF(AJ428 + AK427 &lt; 0, AJ428 + AK427, 0)</f>
        <v>0</v>
      </c>
    </row>
    <row r="429" spans="1:37" s="1" customFormat="1">
      <c r="A429" s="3">
        <v>45923</v>
      </c>
      <c r="B429" s="2" t="s">
        <v>23</v>
      </c>
      <c r="C429" s="2">
        <v>6</v>
      </c>
      <c r="D429" s="2">
        <v>6</v>
      </c>
      <c r="E429" s="2">
        <v>6</v>
      </c>
      <c r="F429" s="2">
        <v>1</v>
      </c>
      <c r="G429" s="2">
        <v>3</v>
      </c>
      <c r="H429" s="1">
        <v>0</v>
      </c>
      <c r="I429" s="1">
        <f>IF(H429 + I428 &lt; 0, H429 + I428, 0)</f>
        <v>0</v>
      </c>
      <c r="J429" s="1">
        <v>0</v>
      </c>
      <c r="K429" s="1">
        <f>IF(J429 + K428 &lt; 0, J429 + K428, 0)</f>
        <v>0</v>
      </c>
      <c r="L429" s="1">
        <v>0</v>
      </c>
      <c r="M429" s="1">
        <f>IF(L429 + M428 &lt; 0, L429 + M428, 0)</f>
        <v>0</v>
      </c>
      <c r="N429" s="1">
        <v>0</v>
      </c>
      <c r="O429" s="1">
        <f>IF(N429 + O428 &lt; 0, N429 + O428, 0)</f>
        <v>0</v>
      </c>
      <c r="P429" s="1">
        <v>0</v>
      </c>
      <c r="Q429" s="1">
        <f>IF(P429 + Q428 &lt; 0, P429 + Q428, 0)</f>
        <v>0</v>
      </c>
      <c r="R429" s="1">
        <v>0</v>
      </c>
      <c r="S429" s="1">
        <f>IF(R429 + S428 &lt; 0, R429 + S428, 0)</f>
        <v>0</v>
      </c>
      <c r="T429" s="1">
        <v>0</v>
      </c>
      <c r="U429" s="1">
        <f>IF(T429 + U428 &lt; 0, T429 + U428, 0)</f>
        <v>0</v>
      </c>
      <c r="V429" s="1">
        <v>0</v>
      </c>
      <c r="W429" s="1">
        <f>IF(V429 + W428 &lt; 0, V429 + W428, 0)</f>
        <v>0</v>
      </c>
      <c r="X429" s="1">
        <v>0</v>
      </c>
      <c r="Y429" s="1">
        <f>IF(X429 + Y428 &lt; 0, X429 + Y428, 0)</f>
        <v>0</v>
      </c>
      <c r="Z429" s="1">
        <v>106463.7570401799</v>
      </c>
      <c r="AA429" s="1">
        <f>IF(Z429 + AA428 &lt; 0, Z429 + AA428, 0)</f>
        <v>0</v>
      </c>
      <c r="AB429" s="1">
        <v>-184149.8193019018</v>
      </c>
      <c r="AC429" s="1">
        <f>IF(AB429 + AC428 &lt; 0, AB429 + AC428, 0)</f>
        <v>0</v>
      </c>
      <c r="AD429" s="1">
        <v>-97629.96109486523</v>
      </c>
      <c r="AE429" s="1">
        <f>IF(AD429 + AE428 &lt; 0, AD429 + AE428, 0)</f>
        <v>0</v>
      </c>
      <c r="AF429" s="1">
        <v>0</v>
      </c>
      <c r="AG429" s="1">
        <f>IF(AF429 + AG428 &lt; 0, AF429 + AG428, 0)</f>
        <v>0</v>
      </c>
      <c r="AH429" s="1">
        <v>0</v>
      </c>
      <c r="AI429" s="1">
        <f>IF(AH429 + AI428 &lt; 0, AH429 + AI428, 0)</f>
        <v>0</v>
      </c>
      <c r="AJ429" s="1">
        <v>0</v>
      </c>
      <c r="AK429" s="1">
        <f>IF(AJ429 + AK428 &lt; 0, AJ429 + AK428, 0)</f>
        <v>0</v>
      </c>
    </row>
    <row r="430" spans="1:37" s="1" customFormat="1">
      <c r="A430" s="3">
        <v>45924</v>
      </c>
      <c r="B430" s="2" t="s">
        <v>24</v>
      </c>
      <c r="C430" s="2">
        <v>5</v>
      </c>
      <c r="D430" s="2">
        <v>5</v>
      </c>
      <c r="E430" s="2">
        <v>5</v>
      </c>
      <c r="F430" s="2">
        <v>5</v>
      </c>
      <c r="G430" s="2">
        <v>2</v>
      </c>
      <c r="H430" s="1">
        <v>0</v>
      </c>
      <c r="I430" s="1">
        <f>IF(H430 + I429 &lt; 0, H430 + I429, 0)</f>
        <v>0</v>
      </c>
      <c r="J430" s="1">
        <v>0</v>
      </c>
      <c r="K430" s="1">
        <f>IF(J430 + K429 &lt; 0, J430 + K429, 0)</f>
        <v>0</v>
      </c>
      <c r="L430" s="1">
        <v>0</v>
      </c>
      <c r="M430" s="1">
        <f>IF(L430 + M429 &lt; 0, L430 + M429, 0)</f>
        <v>0</v>
      </c>
      <c r="N430" s="1">
        <v>0</v>
      </c>
      <c r="O430" s="1">
        <f>IF(N430 + O429 &lt; 0, N430 + O429, 0)</f>
        <v>0</v>
      </c>
      <c r="P430" s="1">
        <v>0</v>
      </c>
      <c r="Q430" s="1">
        <f>IF(P430 + Q429 &lt; 0, P430 + Q429, 0)</f>
        <v>0</v>
      </c>
      <c r="R430" s="1">
        <v>0</v>
      </c>
      <c r="S430" s="1">
        <f>IF(R430 + S429 &lt; 0, R430 + S429, 0)</f>
        <v>0</v>
      </c>
      <c r="T430" s="1">
        <v>0</v>
      </c>
      <c r="U430" s="1">
        <f>IF(T430 + U429 &lt; 0, T430 + U429, 0)</f>
        <v>0</v>
      </c>
      <c r="V430" s="1">
        <v>0</v>
      </c>
      <c r="W430" s="1">
        <f>IF(V430 + W429 &lt; 0, V430 + W429, 0)</f>
        <v>0</v>
      </c>
      <c r="X430" s="1">
        <v>0</v>
      </c>
      <c r="Y430" s="1">
        <f>IF(X430 + Y429 &lt; 0, X430 + Y429, 0)</f>
        <v>0</v>
      </c>
      <c r="Z430" s="1">
        <v>0</v>
      </c>
      <c r="AA430" s="1">
        <f>IF(Z430 + AA429 &lt; 0, Z430 + AA429, 0)</f>
        <v>0</v>
      </c>
      <c r="AB430" s="1">
        <v>0</v>
      </c>
      <c r="AC430" s="1">
        <f>IF(AB430 + AC429 &lt; 0, AB430 + AC429, 0)</f>
        <v>0</v>
      </c>
      <c r="AD430" s="1">
        <v>0</v>
      </c>
      <c r="AE430" s="1">
        <f>IF(AD430 + AE429 &lt; 0, AD430 + AE429, 0)</f>
        <v>0</v>
      </c>
      <c r="AF430" s="1">
        <v>0</v>
      </c>
      <c r="AG430" s="1">
        <f>IF(AF430 + AG429 &lt; 0, AF430 + AG429, 0)</f>
        <v>0</v>
      </c>
      <c r="AH430" s="1">
        <v>0</v>
      </c>
      <c r="AI430" s="1">
        <f>IF(AH430 + AI429 &lt; 0, AH430 + AI429, 0)</f>
        <v>0</v>
      </c>
      <c r="AJ430" s="1">
        <v>0</v>
      </c>
      <c r="AK430" s="1">
        <f>IF(AJ430 + AK429 &lt; 0, AJ430 + AK429, 0)</f>
        <v>0</v>
      </c>
    </row>
    <row r="431" spans="1:37" s="1" customFormat="1">
      <c r="A431" s="3">
        <v>45925</v>
      </c>
      <c r="B431" s="2" t="s">
        <v>25</v>
      </c>
      <c r="C431" s="2">
        <v>4</v>
      </c>
      <c r="D431" s="2">
        <v>4</v>
      </c>
      <c r="E431" s="2">
        <v>4</v>
      </c>
      <c r="F431" s="2">
        <v>4</v>
      </c>
      <c r="G431" s="2">
        <v>1</v>
      </c>
      <c r="H431" s="1">
        <v>0</v>
      </c>
      <c r="I431" s="1">
        <f>IF(H431 + I430 &lt; 0, H431 + I430, 0)</f>
        <v>0</v>
      </c>
      <c r="J431" s="1">
        <v>0</v>
      </c>
      <c r="K431" s="1">
        <f>IF(J431 + K430 &lt; 0, J431 + K430, 0)</f>
        <v>0</v>
      </c>
      <c r="L431" s="1">
        <v>0</v>
      </c>
      <c r="M431" s="1">
        <f>IF(L431 + M430 &lt; 0, L431 + M430, 0)</f>
        <v>0</v>
      </c>
      <c r="N431" s="1">
        <v>0</v>
      </c>
      <c r="O431" s="1">
        <f>IF(N431 + O430 &lt; 0, N431 + O430, 0)</f>
        <v>0</v>
      </c>
      <c r="P431" s="1">
        <v>0</v>
      </c>
      <c r="Q431" s="1">
        <f>IF(P431 + Q430 &lt; 0, P431 + Q430, 0)</f>
        <v>0</v>
      </c>
      <c r="R431" s="1">
        <v>0</v>
      </c>
      <c r="S431" s="1">
        <f>IF(R431 + S430 &lt; 0, R431 + S430, 0)</f>
        <v>0</v>
      </c>
      <c r="T431" s="1">
        <v>0</v>
      </c>
      <c r="U431" s="1">
        <f>IF(T431 + U430 &lt; 0, T431 + U430, 0)</f>
        <v>0</v>
      </c>
      <c r="V431" s="1">
        <v>0</v>
      </c>
      <c r="W431" s="1">
        <f>IF(V431 + W430 &lt; 0, V431 + W430, 0)</f>
        <v>0</v>
      </c>
      <c r="X431" s="1">
        <v>0</v>
      </c>
      <c r="Y431" s="1">
        <f>IF(X431 + Y430 &lt; 0, X431 + Y430, 0)</f>
        <v>0</v>
      </c>
      <c r="Z431" s="1">
        <v>0</v>
      </c>
      <c r="AA431" s="1">
        <f>IF(Z431 + AA430 &lt; 0, Z431 + AA430, 0)</f>
        <v>0</v>
      </c>
      <c r="AB431" s="1">
        <v>0</v>
      </c>
      <c r="AC431" s="1">
        <f>IF(AB431 + AC430 &lt; 0, AB431 + AC430, 0)</f>
        <v>0</v>
      </c>
      <c r="AD431" s="1">
        <v>0</v>
      </c>
      <c r="AE431" s="1">
        <f>IF(AD431 + AE430 &lt; 0, AD431 + AE430, 0)</f>
        <v>0</v>
      </c>
      <c r="AF431" s="1">
        <v>-1925.708700287387</v>
      </c>
      <c r="AG431" s="1">
        <f>IF(AF431 + AG430 &lt; 0, AF431 + AG430, 0)</f>
        <v>0</v>
      </c>
      <c r="AH431" s="1">
        <v>-122405.6351902561</v>
      </c>
      <c r="AI431" s="1">
        <f>IF(AH431 + AI430 &lt; 0, AH431 + AI430, 0)</f>
        <v>0</v>
      </c>
      <c r="AJ431" s="1">
        <v>-22195.2063801788</v>
      </c>
      <c r="AK431" s="1">
        <f>IF(AJ431 + AK430 &lt; 0, AJ431 + AK430, 0)</f>
        <v>0</v>
      </c>
    </row>
    <row r="432" spans="1:37" s="1" customFormat="1">
      <c r="A432" s="3">
        <v>45926</v>
      </c>
      <c r="B432" s="2" t="s">
        <v>26</v>
      </c>
      <c r="C432" s="2">
        <v>3</v>
      </c>
      <c r="D432" s="2">
        <v>3</v>
      </c>
      <c r="E432" s="2">
        <v>3</v>
      </c>
      <c r="F432" s="2">
        <v>3</v>
      </c>
      <c r="G432" s="2">
        <v>4</v>
      </c>
      <c r="H432" s="1">
        <v>0</v>
      </c>
      <c r="I432" s="1">
        <f>IF(H432 + I431 &lt; 0, H432 + I431, 0)</f>
        <v>0</v>
      </c>
      <c r="J432" s="1">
        <v>0</v>
      </c>
      <c r="K432" s="1">
        <f>IF(J432 + K431 &lt; 0, J432 + K431, 0)</f>
        <v>0</v>
      </c>
      <c r="L432" s="1">
        <v>0</v>
      </c>
      <c r="M432" s="1">
        <f>IF(L432 + M431 &lt; 0, L432 + M431, 0)</f>
        <v>0</v>
      </c>
      <c r="N432" s="1">
        <v>0</v>
      </c>
      <c r="O432" s="1">
        <f>IF(N432 + O431 &lt; 0, N432 + O431, 0)</f>
        <v>0</v>
      </c>
      <c r="P432" s="1">
        <v>0</v>
      </c>
      <c r="Q432" s="1">
        <f>IF(P432 + Q431 &lt; 0, P432 + Q431, 0)</f>
        <v>0</v>
      </c>
      <c r="R432" s="1">
        <v>0</v>
      </c>
      <c r="S432" s="1">
        <f>IF(R432 + S431 &lt; 0, R432 + S431, 0)</f>
        <v>0</v>
      </c>
      <c r="T432" s="1">
        <v>0</v>
      </c>
      <c r="U432" s="1">
        <f>IF(T432 + U431 &lt; 0, T432 + U431, 0)</f>
        <v>0</v>
      </c>
      <c r="V432" s="1">
        <v>0</v>
      </c>
      <c r="W432" s="1">
        <f>IF(V432 + W431 &lt; 0, V432 + W431, 0)</f>
        <v>0</v>
      </c>
      <c r="X432" s="1">
        <v>0</v>
      </c>
      <c r="Y432" s="1">
        <f>IF(X432 + Y431 &lt; 0, X432 + Y431, 0)</f>
        <v>0</v>
      </c>
      <c r="Z432" s="1">
        <v>0</v>
      </c>
      <c r="AA432" s="1">
        <f>IF(Z432 + AA431 &lt; 0, Z432 + AA431, 0)</f>
        <v>0</v>
      </c>
      <c r="AB432" s="1">
        <v>0</v>
      </c>
      <c r="AC432" s="1">
        <f>IF(AB432 + AC431 &lt; 0, AB432 + AC431, 0)</f>
        <v>0</v>
      </c>
      <c r="AD432" s="1">
        <v>0</v>
      </c>
      <c r="AE432" s="1">
        <f>IF(AD432 + AE431 &lt; 0, AD432 + AE431, 0)</f>
        <v>0</v>
      </c>
      <c r="AF432" s="1">
        <v>0</v>
      </c>
      <c r="AG432" s="1">
        <f>IF(AF432 + AG431 &lt; 0, AF432 + AG431, 0)</f>
        <v>0</v>
      </c>
      <c r="AH432" s="1">
        <v>0</v>
      </c>
      <c r="AI432" s="1">
        <f>IF(AH432 + AI431 &lt; 0, AH432 + AI431, 0)</f>
        <v>0</v>
      </c>
      <c r="AJ432" s="1">
        <v>0</v>
      </c>
      <c r="AK432" s="1">
        <f>IF(AJ432 + AK431 &lt; 0, AJ432 + AK431, 0)</f>
        <v>0</v>
      </c>
    </row>
    <row r="433" spans="1:37" s="1" customFormat="1">
      <c r="A433" s="3">
        <v>45929</v>
      </c>
      <c r="B433" s="2" t="s">
        <v>22</v>
      </c>
      <c r="C433" s="2">
        <v>2</v>
      </c>
      <c r="D433" s="2">
        <v>2</v>
      </c>
      <c r="E433" s="2">
        <v>2</v>
      </c>
      <c r="F433" s="2">
        <v>2</v>
      </c>
      <c r="G433" s="2">
        <v>3</v>
      </c>
      <c r="H433" s="1">
        <v>0</v>
      </c>
      <c r="I433" s="1">
        <f>IF(H433 + I432 &lt; 0, H433 + I432, 0)</f>
        <v>0</v>
      </c>
      <c r="J433" s="1">
        <v>0</v>
      </c>
      <c r="K433" s="1">
        <f>IF(J433 + K432 &lt; 0, J433 + K432, 0)</f>
        <v>0</v>
      </c>
      <c r="L433" s="1">
        <v>0</v>
      </c>
      <c r="M433" s="1">
        <f>IF(L433 + M432 &lt; 0, L433 + M432, 0)</f>
        <v>0</v>
      </c>
      <c r="N433" s="1">
        <v>0</v>
      </c>
      <c r="O433" s="1">
        <f>IF(N433 + O432 &lt; 0, N433 + O432, 0)</f>
        <v>0</v>
      </c>
      <c r="P433" s="1">
        <v>0</v>
      </c>
      <c r="Q433" s="1">
        <f>IF(P433 + Q432 &lt; 0, P433 + Q432, 0)</f>
        <v>0</v>
      </c>
      <c r="R433" s="1">
        <v>0</v>
      </c>
      <c r="S433" s="1">
        <f>IF(R433 + S432 &lt; 0, R433 + S432, 0)</f>
        <v>0</v>
      </c>
      <c r="T433" s="1">
        <v>0</v>
      </c>
      <c r="U433" s="1">
        <f>IF(T433 + U432 &lt; 0, T433 + U432, 0)</f>
        <v>0</v>
      </c>
      <c r="V433" s="1">
        <v>0</v>
      </c>
      <c r="W433" s="1">
        <f>IF(V433 + W432 &lt; 0, V433 + W432, 0)</f>
        <v>0</v>
      </c>
      <c r="X433" s="1">
        <v>0</v>
      </c>
      <c r="Y433" s="1">
        <f>IF(X433 + Y432 &lt; 0, X433 + Y432, 0)</f>
        <v>0</v>
      </c>
      <c r="Z433" s="1">
        <v>0</v>
      </c>
      <c r="AA433" s="1">
        <f>IF(Z433 + AA432 &lt; 0, Z433 + AA432, 0)</f>
        <v>0</v>
      </c>
      <c r="AB433" s="1">
        <v>0</v>
      </c>
      <c r="AC433" s="1">
        <f>IF(AB433 + AC432 &lt; 0, AB433 + AC432, 0)</f>
        <v>0</v>
      </c>
      <c r="AD433" s="1">
        <v>0</v>
      </c>
      <c r="AE433" s="1">
        <f>IF(AD433 + AE432 &lt; 0, AD433 + AE432, 0)</f>
        <v>0</v>
      </c>
      <c r="AF433" s="1">
        <v>0</v>
      </c>
      <c r="AG433" s="1">
        <f>IF(AF433 + AG432 &lt; 0, AF433 + AG432, 0)</f>
        <v>0</v>
      </c>
      <c r="AH433" s="1">
        <v>0</v>
      </c>
      <c r="AI433" s="1">
        <f>IF(AH433 + AI432 &lt; 0, AH433 + AI432, 0)</f>
        <v>0</v>
      </c>
      <c r="AJ433" s="1">
        <v>0</v>
      </c>
      <c r="AK433" s="1">
        <f>IF(AJ433 + AK432 &lt; 0, AJ433 + AK432, 0)</f>
        <v>0</v>
      </c>
    </row>
    <row r="434" spans="1:37" s="1" customFormat="1">
      <c r="A434" s="3">
        <v>45930</v>
      </c>
      <c r="B434" s="2" t="s">
        <v>23</v>
      </c>
      <c r="C434" s="2">
        <v>1</v>
      </c>
      <c r="D434" s="2">
        <v>1</v>
      </c>
      <c r="E434" s="2">
        <v>1</v>
      </c>
      <c r="F434" s="2">
        <v>1</v>
      </c>
      <c r="G434" s="2">
        <v>2</v>
      </c>
      <c r="H434" s="1">
        <v>0</v>
      </c>
      <c r="I434" s="1">
        <f>IF(H434 + I433 &lt; 0, H434 + I433, 0)</f>
        <v>0</v>
      </c>
      <c r="J434" s="1">
        <v>0</v>
      </c>
      <c r="K434" s="1">
        <f>IF(J434 + K433 &lt; 0, J434 + K433, 0)</f>
        <v>0</v>
      </c>
      <c r="L434" s="1">
        <v>0</v>
      </c>
      <c r="M434" s="1">
        <f>IF(L434 + M433 &lt; 0, L434 + M433, 0)</f>
        <v>0</v>
      </c>
      <c r="N434" s="1">
        <v>0</v>
      </c>
      <c r="O434" s="1">
        <f>IF(N434 + O433 &lt; 0, N434 + O433, 0)</f>
        <v>0</v>
      </c>
      <c r="P434" s="1">
        <v>0</v>
      </c>
      <c r="Q434" s="1">
        <f>IF(P434 + Q433 &lt; 0, P434 + Q433, 0)</f>
        <v>0</v>
      </c>
      <c r="R434" s="1">
        <v>0</v>
      </c>
      <c r="S434" s="1">
        <f>IF(R434 + S433 &lt; 0, R434 + S433, 0)</f>
        <v>0</v>
      </c>
      <c r="T434" s="1">
        <v>0</v>
      </c>
      <c r="U434" s="1">
        <f>IF(T434 + U433 &lt; 0, T434 + U433, 0)</f>
        <v>0</v>
      </c>
      <c r="V434" s="1">
        <v>0</v>
      </c>
      <c r="W434" s="1">
        <f>IF(V434 + W433 &lt; 0, V434 + W433, 0)</f>
        <v>0</v>
      </c>
      <c r="X434" s="1">
        <v>0</v>
      </c>
      <c r="Y434" s="1">
        <f>IF(X434 + Y433 &lt; 0, X434 + Y433, 0)</f>
        <v>0</v>
      </c>
      <c r="Z434" s="1">
        <v>-372353.3472104265</v>
      </c>
      <c r="AA434" s="1">
        <f>IF(Z434 + AA433 &lt; 0, Z434 + AA433, 0)</f>
        <v>0</v>
      </c>
      <c r="AB434" s="1">
        <v>-331758.0864878157</v>
      </c>
      <c r="AC434" s="1">
        <f>IF(AB434 + AC433 &lt; 0, AB434 + AC433, 0)</f>
        <v>0</v>
      </c>
      <c r="AD434" s="1">
        <v>32486.62480296161</v>
      </c>
      <c r="AE434" s="1">
        <f>IF(AD434 + AE433 &lt; 0, AD434 + AE433, 0)</f>
        <v>0</v>
      </c>
      <c r="AF434" s="1">
        <v>0</v>
      </c>
      <c r="AG434" s="1">
        <f>IF(AF434 + AG433 &lt; 0, AF434 + AG433, 0)</f>
        <v>0</v>
      </c>
      <c r="AH434" s="1">
        <v>0</v>
      </c>
      <c r="AI434" s="1">
        <f>IF(AH434 + AI433 &lt; 0, AH434 + AI433, 0)</f>
        <v>0</v>
      </c>
      <c r="AJ434" s="1">
        <v>0</v>
      </c>
      <c r="AK434" s="1">
        <f>IF(AJ434 + AK433 &lt; 0, AJ434 + AK433, 0)</f>
        <v>0</v>
      </c>
    </row>
    <row r="435" spans="1:37" s="1" customFormat="1">
      <c r="A435" s="3">
        <v>45931</v>
      </c>
      <c r="B435" s="2" t="s">
        <v>24</v>
      </c>
      <c r="C435" s="2">
        <v>17</v>
      </c>
      <c r="D435" s="2">
        <v>17</v>
      </c>
      <c r="E435" s="2">
        <v>17</v>
      </c>
      <c r="F435" s="2">
        <v>4</v>
      </c>
      <c r="G435" s="2">
        <v>1</v>
      </c>
      <c r="H435" s="1">
        <v>0</v>
      </c>
      <c r="I435" s="1">
        <f>IF(H435 + I434 &lt; 0, H435 + I434, 0)</f>
        <v>0</v>
      </c>
      <c r="J435" s="1">
        <v>0</v>
      </c>
      <c r="K435" s="1">
        <f>IF(J435 + K434 &lt; 0, J435 + K434, 0)</f>
        <v>0</v>
      </c>
      <c r="L435" s="1">
        <v>0</v>
      </c>
      <c r="M435" s="1">
        <f>IF(L435 + M434 &lt; 0, L435 + M434, 0)</f>
        <v>0</v>
      </c>
      <c r="N435" s="1">
        <v>0</v>
      </c>
      <c r="O435" s="1">
        <f>IF(N435 + O434 &lt; 0, N435 + O434, 0)</f>
        <v>0</v>
      </c>
      <c r="P435" s="1">
        <v>0</v>
      </c>
      <c r="Q435" s="1">
        <f>IF(P435 + Q434 &lt; 0, P435 + Q434, 0)</f>
        <v>0</v>
      </c>
      <c r="R435" s="1">
        <v>0</v>
      </c>
      <c r="S435" s="1">
        <f>IF(R435 + S434 &lt; 0, R435 + S434, 0)</f>
        <v>0</v>
      </c>
      <c r="T435" s="1">
        <v>0</v>
      </c>
      <c r="U435" s="1">
        <f>IF(T435 + U434 &lt; 0, T435 + U434, 0)</f>
        <v>0</v>
      </c>
      <c r="V435" s="1">
        <v>0</v>
      </c>
      <c r="W435" s="1">
        <f>IF(V435 + W434 &lt; 0, V435 + W434, 0)</f>
        <v>0</v>
      </c>
      <c r="X435" s="1">
        <v>0</v>
      </c>
      <c r="Y435" s="1">
        <f>IF(X435 + Y434 &lt; 0, X435 + Y434, 0)</f>
        <v>0</v>
      </c>
      <c r="Z435" s="1">
        <v>0</v>
      </c>
      <c r="AA435" s="1">
        <f>IF(Z435 + AA434 &lt; 0, Z435 + AA434, 0)</f>
        <v>0</v>
      </c>
      <c r="AB435" s="1">
        <v>0</v>
      </c>
      <c r="AC435" s="1">
        <f>IF(AB435 + AC434 &lt; 0, AB435 + AC434, 0)</f>
        <v>0</v>
      </c>
      <c r="AD435" s="1">
        <v>0</v>
      </c>
      <c r="AE435" s="1">
        <f>IF(AD435 + AE434 &lt; 0, AD435 + AE434, 0)</f>
        <v>0</v>
      </c>
      <c r="AF435" s="1">
        <v>426049.2186229531</v>
      </c>
      <c r="AG435" s="1">
        <f>IF(AF435 + AG434 &lt; 0, AF435 + AG434, 0)</f>
        <v>0</v>
      </c>
      <c r="AH435" s="1">
        <v>426049.2186229531</v>
      </c>
      <c r="AI435" s="1">
        <f>IF(AH435 + AI434 &lt; 0, AH435 + AI434, 0)</f>
        <v>0</v>
      </c>
      <c r="AJ435" s="1">
        <v>241782.6618310183</v>
      </c>
      <c r="AK435" s="1">
        <f>IF(AJ435 + AK434 &lt; 0, AJ435 + AK434, 0)</f>
        <v>0</v>
      </c>
    </row>
    <row r="436" spans="1:37" s="1" customFormat="1">
      <c r="A436" s="3">
        <v>45933</v>
      </c>
      <c r="B436" s="2" t="s">
        <v>26</v>
      </c>
      <c r="C436" s="2">
        <v>16</v>
      </c>
      <c r="D436" s="2">
        <v>16</v>
      </c>
      <c r="E436" s="2">
        <v>16</v>
      </c>
      <c r="F436" s="2">
        <v>3</v>
      </c>
      <c r="G436" s="2">
        <v>5</v>
      </c>
      <c r="H436" s="1">
        <v>0</v>
      </c>
      <c r="I436" s="1">
        <f>IF(H436 + I435 &lt; 0, H436 + I435, 0)</f>
        <v>0</v>
      </c>
      <c r="J436" s="1">
        <v>0</v>
      </c>
      <c r="K436" s="1">
        <f>IF(J436 + K435 &lt; 0, J436 + K435, 0)</f>
        <v>0</v>
      </c>
      <c r="L436" s="1">
        <v>0</v>
      </c>
      <c r="M436" s="1">
        <f>IF(L436 + M435 &lt; 0, L436 + M435, 0)</f>
        <v>0</v>
      </c>
      <c r="N436" s="1">
        <v>0</v>
      </c>
      <c r="O436" s="1">
        <f>IF(N436 + O435 &lt; 0, N436 + O435, 0)</f>
        <v>0</v>
      </c>
      <c r="P436" s="1">
        <v>0</v>
      </c>
      <c r="Q436" s="1">
        <f>IF(P436 + Q435 &lt; 0, P436 + Q435, 0)</f>
        <v>0</v>
      </c>
      <c r="R436" s="1">
        <v>0</v>
      </c>
      <c r="S436" s="1">
        <f>IF(R436 + S435 &lt; 0, R436 + S435, 0)</f>
        <v>0</v>
      </c>
      <c r="T436" s="1">
        <v>0</v>
      </c>
      <c r="U436" s="1">
        <f>IF(T436 + U435 &lt; 0, T436 + U435, 0)</f>
        <v>0</v>
      </c>
      <c r="V436" s="1">
        <v>0</v>
      </c>
      <c r="W436" s="1">
        <f>IF(V436 + W435 &lt; 0, V436 + W435, 0)</f>
        <v>0</v>
      </c>
      <c r="X436" s="1">
        <v>0</v>
      </c>
      <c r="Y436" s="1">
        <f>IF(X436 + Y435 &lt; 0, X436 + Y435, 0)</f>
        <v>0</v>
      </c>
      <c r="Z436" s="1">
        <v>0</v>
      </c>
      <c r="AA436" s="1">
        <f>IF(Z436 + AA435 &lt; 0, Z436 + AA435, 0)</f>
        <v>0</v>
      </c>
      <c r="AB436" s="1">
        <v>0</v>
      </c>
      <c r="AC436" s="1">
        <f>IF(AB436 + AC435 &lt; 0, AB436 + AC435, 0)</f>
        <v>0</v>
      </c>
      <c r="AD436" s="1">
        <v>0</v>
      </c>
      <c r="AE436" s="1">
        <f>IF(AD436 + AE435 &lt; 0, AD436 + AE435, 0)</f>
        <v>0</v>
      </c>
      <c r="AF436" s="1">
        <v>0</v>
      </c>
      <c r="AG436" s="1">
        <f>IF(AF436 + AG435 &lt; 0, AF436 + AG435, 0)</f>
        <v>0</v>
      </c>
      <c r="AH436" s="1">
        <v>0</v>
      </c>
      <c r="AI436" s="1">
        <f>IF(AH436 + AI435 &lt; 0, AH436 + AI435, 0)</f>
        <v>0</v>
      </c>
      <c r="AJ436" s="1">
        <v>0</v>
      </c>
      <c r="AK436" s="1">
        <f>IF(AJ436 + AK435 &lt; 0, AJ436 + AK435, 0)</f>
        <v>0</v>
      </c>
    </row>
    <row r="437" spans="1:37" s="1" customFormat="1">
      <c r="A437" s="3">
        <v>45936</v>
      </c>
      <c r="B437" s="2" t="s">
        <v>22</v>
      </c>
      <c r="C437" s="2">
        <v>15</v>
      </c>
      <c r="D437" s="2">
        <v>15</v>
      </c>
      <c r="E437" s="2">
        <v>15</v>
      </c>
      <c r="F437" s="2">
        <v>2</v>
      </c>
      <c r="G437" s="2">
        <v>4</v>
      </c>
      <c r="H437" s="1">
        <v>0</v>
      </c>
      <c r="I437" s="1">
        <f>IF(H437 + I436 &lt; 0, H437 + I436, 0)</f>
        <v>0</v>
      </c>
      <c r="J437" s="1">
        <v>0</v>
      </c>
      <c r="K437" s="1">
        <f>IF(J437 + K436 &lt; 0, J437 + K436, 0)</f>
        <v>0</v>
      </c>
      <c r="L437" s="1">
        <v>0</v>
      </c>
      <c r="M437" s="1">
        <f>IF(L437 + M436 &lt; 0, L437 + M436, 0)</f>
        <v>0</v>
      </c>
      <c r="N437" s="1">
        <v>0</v>
      </c>
      <c r="O437" s="1">
        <f>IF(N437 + O436 &lt; 0, N437 + O436, 0)</f>
        <v>0</v>
      </c>
      <c r="P437" s="1">
        <v>0</v>
      </c>
      <c r="Q437" s="1">
        <f>IF(P437 + Q436 &lt; 0, P437 + Q436, 0)</f>
        <v>0</v>
      </c>
      <c r="R437" s="1">
        <v>0</v>
      </c>
      <c r="S437" s="1">
        <f>IF(R437 + S436 &lt; 0, R437 + S436, 0)</f>
        <v>0</v>
      </c>
      <c r="T437" s="1">
        <v>0</v>
      </c>
      <c r="U437" s="1">
        <f>IF(T437 + U436 &lt; 0, T437 + U436, 0)</f>
        <v>0</v>
      </c>
      <c r="V437" s="1">
        <v>0</v>
      </c>
      <c r="W437" s="1">
        <f>IF(V437 + W436 &lt; 0, V437 + W436, 0)</f>
        <v>0</v>
      </c>
      <c r="X437" s="1">
        <v>0</v>
      </c>
      <c r="Y437" s="1">
        <f>IF(X437 + Y436 &lt; 0, X437 + Y436, 0)</f>
        <v>0</v>
      </c>
      <c r="Z437" s="1">
        <v>0</v>
      </c>
      <c r="AA437" s="1">
        <f>IF(Z437 + AA436 &lt; 0, Z437 + AA436, 0)</f>
        <v>0</v>
      </c>
      <c r="AB437" s="1">
        <v>0</v>
      </c>
      <c r="AC437" s="1">
        <f>IF(AB437 + AC436 &lt; 0, AB437 + AC436, 0)</f>
        <v>0</v>
      </c>
      <c r="AD437" s="1">
        <v>0</v>
      </c>
      <c r="AE437" s="1">
        <f>IF(AD437 + AE436 &lt; 0, AD437 + AE436, 0)</f>
        <v>0</v>
      </c>
      <c r="AF437" s="1">
        <v>0</v>
      </c>
      <c r="AG437" s="1">
        <f>IF(AF437 + AG436 &lt; 0, AF437 + AG436, 0)</f>
        <v>0</v>
      </c>
      <c r="AH437" s="1">
        <v>0</v>
      </c>
      <c r="AI437" s="1">
        <f>IF(AH437 + AI436 &lt; 0, AH437 + AI436, 0)</f>
        <v>0</v>
      </c>
      <c r="AJ437" s="1">
        <v>0</v>
      </c>
      <c r="AK437" s="1">
        <f>IF(AJ437 + AK436 &lt; 0, AJ437 + AK436, 0)</f>
        <v>0</v>
      </c>
    </row>
    <row r="438" spans="1:37" s="1" customFormat="1">
      <c r="A438" s="3">
        <v>45937</v>
      </c>
      <c r="B438" s="2" t="s">
        <v>23</v>
      </c>
      <c r="C438" s="2">
        <v>14</v>
      </c>
      <c r="D438" s="2">
        <v>14</v>
      </c>
      <c r="E438" s="2">
        <v>14</v>
      </c>
      <c r="F438" s="2">
        <v>1</v>
      </c>
      <c r="G438" s="2">
        <v>3</v>
      </c>
      <c r="H438" s="1">
        <v>0</v>
      </c>
      <c r="I438" s="1">
        <f>IF(H438 + I437 &lt; 0, H438 + I437, 0)</f>
        <v>0</v>
      </c>
      <c r="J438" s="1">
        <v>0</v>
      </c>
      <c r="K438" s="1">
        <f>IF(J438 + K437 &lt; 0, J438 + K437, 0)</f>
        <v>0</v>
      </c>
      <c r="L438" s="1">
        <v>0</v>
      </c>
      <c r="M438" s="1">
        <f>IF(L438 + M437 &lt; 0, L438 + M437, 0)</f>
        <v>0</v>
      </c>
      <c r="N438" s="1">
        <v>0</v>
      </c>
      <c r="O438" s="1">
        <f>IF(N438 + O437 &lt; 0, N438 + O437, 0)</f>
        <v>0</v>
      </c>
      <c r="P438" s="1">
        <v>0</v>
      </c>
      <c r="Q438" s="1">
        <f>IF(P438 + Q437 &lt; 0, P438 + Q437, 0)</f>
        <v>0</v>
      </c>
      <c r="R438" s="1">
        <v>0</v>
      </c>
      <c r="S438" s="1">
        <f>IF(R438 + S437 &lt; 0, R438 + S437, 0)</f>
        <v>0</v>
      </c>
      <c r="T438" s="1">
        <v>0</v>
      </c>
      <c r="U438" s="1">
        <f>IF(T438 + U437 &lt; 0, T438 + U437, 0)</f>
        <v>0</v>
      </c>
      <c r="V438" s="1">
        <v>0</v>
      </c>
      <c r="W438" s="1">
        <f>IF(V438 + W437 &lt; 0, V438 + W437, 0)</f>
        <v>0</v>
      </c>
      <c r="X438" s="1">
        <v>0</v>
      </c>
      <c r="Y438" s="1">
        <f>IF(X438 + Y437 &lt; 0, X438 + Y437, 0)</f>
        <v>0</v>
      </c>
      <c r="Z438" s="1">
        <v>-257295.2605864604</v>
      </c>
      <c r="AA438" s="1">
        <f>IF(Z438 + AA437 &lt; 0, Z438 + AA437, 0)</f>
        <v>0</v>
      </c>
      <c r="AB438" s="1">
        <v>-257295.2605864604</v>
      </c>
      <c r="AC438" s="1">
        <f>IF(AB438 + AC437 &lt; 0, AB438 + AC437, 0)</f>
        <v>0</v>
      </c>
      <c r="AD438" s="1">
        <v>-439381.2787538744</v>
      </c>
      <c r="AE438" s="1">
        <f>IF(AD438 + AE437 &lt; 0, AD438 + AE437, 0)</f>
        <v>0</v>
      </c>
      <c r="AF438" s="1">
        <v>0</v>
      </c>
      <c r="AG438" s="1">
        <f>IF(AF438 + AG437 &lt; 0, AF438 + AG437, 0)</f>
        <v>0</v>
      </c>
      <c r="AH438" s="1">
        <v>0</v>
      </c>
      <c r="AI438" s="1">
        <f>IF(AH438 + AI437 &lt; 0, AH438 + AI437, 0)</f>
        <v>0</v>
      </c>
      <c r="AJ438" s="1">
        <v>0</v>
      </c>
      <c r="AK438" s="1">
        <f>IF(AJ438 + AK437 &lt; 0, AJ438 + AK437, 0)</f>
        <v>0</v>
      </c>
    </row>
    <row r="439" spans="1:37" s="1" customFormat="1">
      <c r="A439" s="3">
        <v>45938</v>
      </c>
      <c r="B439" s="2" t="s">
        <v>24</v>
      </c>
      <c r="C439" s="2">
        <v>13</v>
      </c>
      <c r="D439" s="2">
        <v>13</v>
      </c>
      <c r="E439" s="2">
        <v>13</v>
      </c>
      <c r="F439" s="2">
        <v>5</v>
      </c>
      <c r="G439" s="2">
        <v>2</v>
      </c>
      <c r="H439" s="1">
        <v>0</v>
      </c>
      <c r="I439" s="1">
        <f>IF(H439 + I438 &lt; 0, H439 + I438, 0)</f>
        <v>0</v>
      </c>
      <c r="J439" s="1">
        <v>0</v>
      </c>
      <c r="K439" s="1">
        <f>IF(J439 + K438 &lt; 0, J439 + K438, 0)</f>
        <v>0</v>
      </c>
      <c r="L439" s="1">
        <v>0</v>
      </c>
      <c r="M439" s="1">
        <f>IF(L439 + M438 &lt; 0, L439 + M438, 0)</f>
        <v>0</v>
      </c>
      <c r="N439" s="1">
        <v>0</v>
      </c>
      <c r="O439" s="1">
        <f>IF(N439 + O438 &lt; 0, N439 + O438, 0)</f>
        <v>0</v>
      </c>
      <c r="P439" s="1">
        <v>0</v>
      </c>
      <c r="Q439" s="1">
        <f>IF(P439 + Q438 &lt; 0, P439 + Q438, 0)</f>
        <v>0</v>
      </c>
      <c r="R439" s="1">
        <v>0</v>
      </c>
      <c r="S439" s="1">
        <f>IF(R439 + S438 &lt; 0, R439 + S438, 0)</f>
        <v>0</v>
      </c>
      <c r="T439" s="1">
        <v>0</v>
      </c>
      <c r="U439" s="1">
        <f>IF(T439 + U438 &lt; 0, T439 + U438, 0)</f>
        <v>0</v>
      </c>
      <c r="V439" s="1">
        <v>0</v>
      </c>
      <c r="W439" s="1">
        <f>IF(V439 + W438 &lt; 0, V439 + W438, 0)</f>
        <v>0</v>
      </c>
      <c r="X439" s="1">
        <v>0</v>
      </c>
      <c r="Y439" s="1">
        <f>IF(X439 + Y438 &lt; 0, X439 + Y438, 0)</f>
        <v>0</v>
      </c>
      <c r="Z439" s="1">
        <v>0</v>
      </c>
      <c r="AA439" s="1">
        <f>IF(Z439 + AA438 &lt; 0, Z439 + AA438, 0)</f>
        <v>0</v>
      </c>
      <c r="AB439" s="1">
        <v>0</v>
      </c>
      <c r="AC439" s="1">
        <f>IF(AB439 + AC438 &lt; 0, AB439 + AC438, 0)</f>
        <v>0</v>
      </c>
      <c r="AD439" s="1">
        <v>0</v>
      </c>
      <c r="AE439" s="1">
        <f>IF(AD439 + AE438 &lt; 0, AD439 + AE438, 0)</f>
        <v>0</v>
      </c>
      <c r="AF439" s="1">
        <v>0</v>
      </c>
      <c r="AG439" s="1">
        <f>IF(AF439 + AG438 &lt; 0, AF439 + AG438, 0)</f>
        <v>0</v>
      </c>
      <c r="AH439" s="1">
        <v>0</v>
      </c>
      <c r="AI439" s="1">
        <f>IF(AH439 + AI438 &lt; 0, AH439 + AI438, 0)</f>
        <v>0</v>
      </c>
      <c r="AJ439" s="1">
        <v>0</v>
      </c>
      <c r="AK439" s="1">
        <f>IF(AJ439 + AK438 &lt; 0, AJ439 + AK438, 0)</f>
        <v>0</v>
      </c>
    </row>
    <row r="440" spans="1:37" s="1" customFormat="1">
      <c r="A440" s="3">
        <v>45939</v>
      </c>
      <c r="B440" s="2" t="s">
        <v>25</v>
      </c>
      <c r="C440" s="2">
        <v>12</v>
      </c>
      <c r="D440" s="2">
        <v>12</v>
      </c>
      <c r="E440" s="2">
        <v>12</v>
      </c>
      <c r="F440" s="2">
        <v>4</v>
      </c>
      <c r="G440" s="2">
        <v>1</v>
      </c>
      <c r="H440" s="1">
        <v>0</v>
      </c>
      <c r="I440" s="1">
        <f>IF(H440 + I439 &lt; 0, H440 + I439, 0)</f>
        <v>0</v>
      </c>
      <c r="J440" s="1">
        <v>0</v>
      </c>
      <c r="K440" s="1">
        <f>IF(J440 + K439 &lt; 0, J440 + K439, 0)</f>
        <v>0</v>
      </c>
      <c r="L440" s="1">
        <v>0</v>
      </c>
      <c r="M440" s="1">
        <f>IF(L440 + M439 &lt; 0, L440 + M439, 0)</f>
        <v>0</v>
      </c>
      <c r="N440" s="1">
        <v>0</v>
      </c>
      <c r="O440" s="1">
        <f>IF(N440 + O439 &lt; 0, N440 + O439, 0)</f>
        <v>0</v>
      </c>
      <c r="P440" s="1">
        <v>0</v>
      </c>
      <c r="Q440" s="1">
        <f>IF(P440 + Q439 &lt; 0, P440 + Q439, 0)</f>
        <v>0</v>
      </c>
      <c r="R440" s="1">
        <v>0</v>
      </c>
      <c r="S440" s="1">
        <f>IF(R440 + S439 &lt; 0, R440 + S439, 0)</f>
        <v>0</v>
      </c>
      <c r="T440" s="1">
        <v>0</v>
      </c>
      <c r="U440" s="1">
        <f>IF(T440 + U439 &lt; 0, T440 + U439, 0)</f>
        <v>0</v>
      </c>
      <c r="V440" s="1">
        <v>0</v>
      </c>
      <c r="W440" s="1">
        <f>IF(V440 + W439 &lt; 0, V440 + W439, 0)</f>
        <v>0</v>
      </c>
      <c r="X440" s="1">
        <v>0</v>
      </c>
      <c r="Y440" s="1">
        <f>IF(X440 + Y439 &lt; 0, X440 + Y439, 0)</f>
        <v>0</v>
      </c>
      <c r="Z440" s="1">
        <v>0</v>
      </c>
      <c r="AA440" s="1">
        <f>IF(Z440 + AA439 &lt; 0, Z440 + AA439, 0)</f>
        <v>0</v>
      </c>
      <c r="AB440" s="1">
        <v>0</v>
      </c>
      <c r="AC440" s="1">
        <f>IF(AB440 + AC439 &lt; 0, AB440 + AC439, 0)</f>
        <v>0</v>
      </c>
      <c r="AD440" s="1">
        <v>0</v>
      </c>
      <c r="AE440" s="1">
        <f>IF(AD440 + AE439 &lt; 0, AD440 + AE439, 0)</f>
        <v>0</v>
      </c>
      <c r="AF440" s="1">
        <v>388119.4240809211</v>
      </c>
      <c r="AG440" s="1">
        <f>IF(AF440 + AG439 &lt; 0, AF440 + AG439, 0)</f>
        <v>0</v>
      </c>
      <c r="AH440" s="1">
        <v>212385.3472765681</v>
      </c>
      <c r="AI440" s="1">
        <f>IF(AH440 + AI439 &lt; 0, AH440 + AI439, 0)</f>
        <v>0</v>
      </c>
      <c r="AJ440" s="1">
        <v>230022.9375103413</v>
      </c>
      <c r="AK440" s="1">
        <f>IF(AJ440 + AK439 &lt; 0, AJ440 + AK439, 0)</f>
        <v>0</v>
      </c>
    </row>
    <row r="441" spans="1:37" s="1" customFormat="1">
      <c r="A441" s="3">
        <v>45940</v>
      </c>
      <c r="B441" s="2" t="s">
        <v>26</v>
      </c>
      <c r="C441" s="2">
        <v>11</v>
      </c>
      <c r="D441" s="2">
        <v>11</v>
      </c>
      <c r="E441" s="2">
        <v>11</v>
      </c>
      <c r="F441" s="2">
        <v>3</v>
      </c>
      <c r="G441" s="2">
        <v>5</v>
      </c>
      <c r="H441" s="1">
        <v>0</v>
      </c>
      <c r="I441" s="1">
        <f>IF(H441 + I440 &lt; 0, H441 + I440, 0)</f>
        <v>0</v>
      </c>
      <c r="J441" s="1">
        <v>0</v>
      </c>
      <c r="K441" s="1">
        <f>IF(J441 + K440 &lt; 0, J441 + K440, 0)</f>
        <v>0</v>
      </c>
      <c r="L441" s="1">
        <v>0</v>
      </c>
      <c r="M441" s="1">
        <f>IF(L441 + M440 &lt; 0, L441 + M440, 0)</f>
        <v>0</v>
      </c>
      <c r="N441" s="1">
        <v>0</v>
      </c>
      <c r="O441" s="1">
        <f>IF(N441 + O440 &lt; 0, N441 + O440, 0)</f>
        <v>0</v>
      </c>
      <c r="P441" s="1">
        <v>0</v>
      </c>
      <c r="Q441" s="1">
        <f>IF(P441 + Q440 &lt; 0, P441 + Q440, 0)</f>
        <v>0</v>
      </c>
      <c r="R441" s="1">
        <v>0</v>
      </c>
      <c r="S441" s="1">
        <f>IF(R441 + S440 &lt; 0, R441 + S440, 0)</f>
        <v>0</v>
      </c>
      <c r="T441" s="1">
        <v>0</v>
      </c>
      <c r="U441" s="1">
        <f>IF(T441 + U440 &lt; 0, T441 + U440, 0)</f>
        <v>0</v>
      </c>
      <c r="V441" s="1">
        <v>0</v>
      </c>
      <c r="W441" s="1">
        <f>IF(V441 + W440 &lt; 0, V441 + W440, 0)</f>
        <v>0</v>
      </c>
      <c r="X441" s="1">
        <v>0</v>
      </c>
      <c r="Y441" s="1">
        <f>IF(X441 + Y440 &lt; 0, X441 + Y440, 0)</f>
        <v>0</v>
      </c>
      <c r="Z441" s="1">
        <v>0</v>
      </c>
      <c r="AA441" s="1">
        <f>IF(Z441 + AA440 &lt; 0, Z441 + AA440, 0)</f>
        <v>0</v>
      </c>
      <c r="AB441" s="1">
        <v>0</v>
      </c>
      <c r="AC441" s="1">
        <f>IF(AB441 + AC440 &lt; 0, AB441 + AC440, 0)</f>
        <v>0</v>
      </c>
      <c r="AD441" s="1">
        <v>0</v>
      </c>
      <c r="AE441" s="1">
        <f>IF(AD441 + AE440 &lt; 0, AD441 + AE440, 0)</f>
        <v>0</v>
      </c>
      <c r="AF441" s="1">
        <v>0</v>
      </c>
      <c r="AG441" s="1">
        <f>IF(AF441 + AG440 &lt; 0, AF441 + AG440, 0)</f>
        <v>0</v>
      </c>
      <c r="AH441" s="1">
        <v>0</v>
      </c>
      <c r="AI441" s="1">
        <f>IF(AH441 + AI440 &lt; 0, AH441 + AI440, 0)</f>
        <v>0</v>
      </c>
      <c r="AJ441" s="1">
        <v>0</v>
      </c>
      <c r="AK441" s="1">
        <f>IF(AJ441 + AK440 &lt; 0, AJ441 + AK440, 0)</f>
        <v>0</v>
      </c>
    </row>
    <row r="442" spans="1:37" s="1" customFormat="1">
      <c r="A442" s="3">
        <v>45943</v>
      </c>
      <c r="B442" s="2" t="s">
        <v>22</v>
      </c>
      <c r="C442" s="2">
        <v>10</v>
      </c>
      <c r="D442" s="2">
        <v>10</v>
      </c>
      <c r="E442" s="2">
        <v>10</v>
      </c>
      <c r="F442" s="2">
        <v>2</v>
      </c>
      <c r="G442" s="2">
        <v>4</v>
      </c>
      <c r="H442" s="1">
        <v>0</v>
      </c>
      <c r="I442" s="1">
        <f>IF(H442 + I441 &lt; 0, H442 + I441, 0)</f>
        <v>0</v>
      </c>
      <c r="J442" s="1">
        <v>0</v>
      </c>
      <c r="K442" s="1">
        <f>IF(J442 + K441 &lt; 0, J442 + K441, 0)</f>
        <v>0</v>
      </c>
      <c r="L442" s="1">
        <v>0</v>
      </c>
      <c r="M442" s="1">
        <f>IF(L442 + M441 &lt; 0, L442 + M441, 0)</f>
        <v>0</v>
      </c>
      <c r="N442" s="1">
        <v>0</v>
      </c>
      <c r="O442" s="1">
        <f>IF(N442 + O441 &lt; 0, N442 + O441, 0)</f>
        <v>0</v>
      </c>
      <c r="P442" s="1">
        <v>0</v>
      </c>
      <c r="Q442" s="1">
        <f>IF(P442 + Q441 &lt; 0, P442 + Q441, 0)</f>
        <v>0</v>
      </c>
      <c r="R442" s="1">
        <v>0</v>
      </c>
      <c r="S442" s="1">
        <f>IF(R442 + S441 &lt; 0, R442 + S441, 0)</f>
        <v>0</v>
      </c>
      <c r="T442" s="1">
        <v>0</v>
      </c>
      <c r="U442" s="1">
        <f>IF(T442 + U441 &lt; 0, T442 + U441, 0)</f>
        <v>0</v>
      </c>
      <c r="V442" s="1">
        <v>0</v>
      </c>
      <c r="W442" s="1">
        <f>IF(V442 + W441 &lt; 0, V442 + W441, 0)</f>
        <v>0</v>
      </c>
      <c r="X442" s="1">
        <v>0</v>
      </c>
      <c r="Y442" s="1">
        <f>IF(X442 + Y441 &lt; 0, X442 + Y441, 0)</f>
        <v>0</v>
      </c>
      <c r="Z442" s="1">
        <v>0</v>
      </c>
      <c r="AA442" s="1">
        <f>IF(Z442 + AA441 &lt; 0, Z442 + AA441, 0)</f>
        <v>0</v>
      </c>
      <c r="AB442" s="1">
        <v>0</v>
      </c>
      <c r="AC442" s="1">
        <f>IF(AB442 + AC441 &lt; 0, AB442 + AC441, 0)</f>
        <v>0</v>
      </c>
      <c r="AD442" s="1">
        <v>0</v>
      </c>
      <c r="AE442" s="1">
        <f>IF(AD442 + AE441 &lt; 0, AD442 + AE441, 0)</f>
        <v>0</v>
      </c>
      <c r="AF442" s="1">
        <v>0</v>
      </c>
      <c r="AG442" s="1">
        <f>IF(AF442 + AG441 &lt; 0, AF442 + AG441, 0)</f>
        <v>0</v>
      </c>
      <c r="AH442" s="1">
        <v>0</v>
      </c>
      <c r="AI442" s="1">
        <f>IF(AH442 + AI441 &lt; 0, AH442 + AI441, 0)</f>
        <v>0</v>
      </c>
      <c r="AJ442" s="1">
        <v>0</v>
      </c>
      <c r="AK442" s="1">
        <f>IF(AJ442 + AK441 &lt; 0, AJ442 + AK441, 0)</f>
        <v>0</v>
      </c>
    </row>
    <row r="443" spans="1:37" s="1" customFormat="1">
      <c r="A443" s="3">
        <v>45944</v>
      </c>
      <c r="B443" s="2" t="s">
        <v>23</v>
      </c>
      <c r="C443" s="2">
        <v>9</v>
      </c>
      <c r="D443" s="2">
        <v>9</v>
      </c>
      <c r="E443" s="2">
        <v>9</v>
      </c>
      <c r="F443" s="2">
        <v>1</v>
      </c>
      <c r="G443" s="2">
        <v>3</v>
      </c>
      <c r="H443" s="1">
        <v>0</v>
      </c>
      <c r="I443" s="1">
        <f>IF(H443 + I442 &lt; 0, H443 + I442, 0)</f>
        <v>0</v>
      </c>
      <c r="J443" s="1">
        <v>0</v>
      </c>
      <c r="K443" s="1">
        <f>IF(J443 + K442 &lt; 0, J443 + K442, 0)</f>
        <v>0</v>
      </c>
      <c r="L443" s="1">
        <v>0</v>
      </c>
      <c r="M443" s="1">
        <f>IF(L443 + M442 &lt; 0, L443 + M442, 0)</f>
        <v>0</v>
      </c>
      <c r="N443" s="1">
        <v>0</v>
      </c>
      <c r="O443" s="1">
        <f>IF(N443 + O442 &lt; 0, N443 + O442, 0)</f>
        <v>0</v>
      </c>
      <c r="P443" s="1">
        <v>0</v>
      </c>
      <c r="Q443" s="1">
        <f>IF(P443 + Q442 &lt; 0, P443 + Q442, 0)</f>
        <v>0</v>
      </c>
      <c r="R443" s="1">
        <v>0</v>
      </c>
      <c r="S443" s="1">
        <f>IF(R443 + S442 &lt; 0, R443 + S442, 0)</f>
        <v>0</v>
      </c>
      <c r="T443" s="1">
        <v>0</v>
      </c>
      <c r="U443" s="1">
        <f>IF(T443 + U442 &lt; 0, T443 + U442, 0)</f>
        <v>0</v>
      </c>
      <c r="V443" s="1">
        <v>0</v>
      </c>
      <c r="W443" s="1">
        <f>IF(V443 + W442 &lt; 0, V443 + W442, 0)</f>
        <v>0</v>
      </c>
      <c r="X443" s="1">
        <v>0</v>
      </c>
      <c r="Y443" s="1">
        <f>IF(X443 + Y442 &lt; 0, X443 + Y442, 0)</f>
        <v>0</v>
      </c>
      <c r="Z443" s="1">
        <v>-213649.8925632613</v>
      </c>
      <c r="AA443" s="1">
        <f>IF(Z443 + AA442 &lt; 0, Z443 + AA442, 0)</f>
        <v>0</v>
      </c>
      <c r="AB443" s="1">
        <v>-441404.6325041493</v>
      </c>
      <c r="AC443" s="1">
        <f>IF(AB443 + AC442 &lt; 0, AB443 + AC442, 0)</f>
        <v>0</v>
      </c>
      <c r="AD443" s="1">
        <v>-224303.5147436074</v>
      </c>
      <c r="AE443" s="1">
        <f>IF(AD443 + AE442 &lt; 0, AD443 + AE442, 0)</f>
        <v>0</v>
      </c>
      <c r="AF443" s="1">
        <v>0</v>
      </c>
      <c r="AG443" s="1">
        <f>IF(AF443 + AG442 &lt; 0, AF443 + AG442, 0)</f>
        <v>0</v>
      </c>
      <c r="AH443" s="1">
        <v>0</v>
      </c>
      <c r="AI443" s="1">
        <f>IF(AH443 + AI442 &lt; 0, AH443 + AI442, 0)</f>
        <v>0</v>
      </c>
      <c r="AJ443" s="1">
        <v>0</v>
      </c>
      <c r="AK443" s="1">
        <f>IF(AJ443 + AK442 &lt; 0, AJ443 + AK442, 0)</f>
        <v>0</v>
      </c>
    </row>
    <row r="444" spans="1:37" s="1" customFormat="1">
      <c r="A444" s="3">
        <v>45945</v>
      </c>
      <c r="B444" s="2" t="s">
        <v>24</v>
      </c>
      <c r="C444" s="2">
        <v>8</v>
      </c>
      <c r="D444" s="2">
        <v>8</v>
      </c>
      <c r="E444" s="2">
        <v>8</v>
      </c>
      <c r="F444" s="2">
        <v>4</v>
      </c>
      <c r="G444" s="2">
        <v>2</v>
      </c>
      <c r="H444" s="1">
        <v>0</v>
      </c>
      <c r="I444" s="1">
        <f>IF(H444 + I443 &lt; 0, H444 + I443, 0)</f>
        <v>0</v>
      </c>
      <c r="J444" s="1">
        <v>0</v>
      </c>
      <c r="K444" s="1">
        <f>IF(J444 + K443 &lt; 0, J444 + K443, 0)</f>
        <v>0</v>
      </c>
      <c r="L444" s="1">
        <v>0</v>
      </c>
      <c r="M444" s="1">
        <f>IF(L444 + M443 &lt; 0, L444 + M443, 0)</f>
        <v>0</v>
      </c>
      <c r="N444" s="1">
        <v>0</v>
      </c>
      <c r="O444" s="1">
        <f>IF(N444 + O443 &lt; 0, N444 + O443, 0)</f>
        <v>0</v>
      </c>
      <c r="P444" s="1">
        <v>0</v>
      </c>
      <c r="Q444" s="1">
        <f>IF(P444 + Q443 &lt; 0, P444 + Q443, 0)</f>
        <v>0</v>
      </c>
      <c r="R444" s="1">
        <v>0</v>
      </c>
      <c r="S444" s="1">
        <f>IF(R444 + S443 &lt; 0, R444 + S443, 0)</f>
        <v>0</v>
      </c>
      <c r="T444" s="1">
        <v>0</v>
      </c>
      <c r="U444" s="1">
        <f>IF(T444 + U443 &lt; 0, T444 + U443, 0)</f>
        <v>0</v>
      </c>
      <c r="V444" s="1">
        <v>0</v>
      </c>
      <c r="W444" s="1">
        <f>IF(V444 + W443 &lt; 0, V444 + W443, 0)</f>
        <v>0</v>
      </c>
      <c r="X444" s="1">
        <v>0</v>
      </c>
      <c r="Y444" s="1">
        <f>IF(X444 + Y443 &lt; 0, X444 + Y443, 0)</f>
        <v>0</v>
      </c>
      <c r="Z444" s="1">
        <v>0</v>
      </c>
      <c r="AA444" s="1">
        <f>IF(Z444 + AA443 &lt; 0, Z444 + AA443, 0)</f>
        <v>0</v>
      </c>
      <c r="AB444" s="1">
        <v>0</v>
      </c>
      <c r="AC444" s="1">
        <f>IF(AB444 + AC443 &lt; 0, AB444 + AC443, 0)</f>
        <v>0</v>
      </c>
      <c r="AD444" s="1">
        <v>0</v>
      </c>
      <c r="AE444" s="1">
        <f>IF(AD444 + AE443 &lt; 0, AD444 + AE443, 0)</f>
        <v>0</v>
      </c>
      <c r="AF444" s="1">
        <v>0</v>
      </c>
      <c r="AG444" s="1">
        <f>IF(AF444 + AG443 &lt; 0, AF444 + AG443, 0)</f>
        <v>0</v>
      </c>
      <c r="AH444" s="1">
        <v>0</v>
      </c>
      <c r="AI444" s="1">
        <f>IF(AH444 + AI443 &lt; 0, AH444 + AI443, 0)</f>
        <v>0</v>
      </c>
      <c r="AJ444" s="1">
        <v>0</v>
      </c>
      <c r="AK444" s="1">
        <f>IF(AJ444 + AK443 &lt; 0, AJ444 + AK443, 0)</f>
        <v>0</v>
      </c>
    </row>
    <row r="445" spans="1:37" s="1" customFormat="1">
      <c r="A445" s="3">
        <v>45946</v>
      </c>
      <c r="B445" s="2" t="s">
        <v>25</v>
      </c>
      <c r="C445" s="2">
        <v>7</v>
      </c>
      <c r="D445" s="2">
        <v>7</v>
      </c>
      <c r="E445" s="2">
        <v>7</v>
      </c>
      <c r="F445" s="2">
        <v>3</v>
      </c>
      <c r="G445" s="2">
        <v>1</v>
      </c>
      <c r="H445" s="1">
        <v>0</v>
      </c>
      <c r="I445" s="1">
        <f>IF(H445 + I444 &lt; 0, H445 + I444, 0)</f>
        <v>0</v>
      </c>
      <c r="J445" s="1">
        <v>0</v>
      </c>
      <c r="K445" s="1">
        <f>IF(J445 + K444 &lt; 0, J445 + K444, 0)</f>
        <v>0</v>
      </c>
      <c r="L445" s="1">
        <v>0</v>
      </c>
      <c r="M445" s="1">
        <f>IF(L445 + M444 &lt; 0, L445 + M444, 0)</f>
        <v>0</v>
      </c>
      <c r="N445" s="1">
        <v>0</v>
      </c>
      <c r="O445" s="1">
        <f>IF(N445 + O444 &lt; 0, N445 + O444, 0)</f>
        <v>0</v>
      </c>
      <c r="P445" s="1">
        <v>0</v>
      </c>
      <c r="Q445" s="1">
        <f>IF(P445 + Q444 &lt; 0, P445 + Q444, 0)</f>
        <v>0</v>
      </c>
      <c r="R445" s="1">
        <v>0</v>
      </c>
      <c r="S445" s="1">
        <f>IF(R445 + S444 &lt; 0, R445 + S444, 0)</f>
        <v>0</v>
      </c>
      <c r="T445" s="1">
        <v>0</v>
      </c>
      <c r="U445" s="1">
        <f>IF(T445 + U444 &lt; 0, T445 + U444, 0)</f>
        <v>0</v>
      </c>
      <c r="V445" s="1">
        <v>0</v>
      </c>
      <c r="W445" s="1">
        <f>IF(V445 + W444 &lt; 0, V445 + W444, 0)</f>
        <v>0</v>
      </c>
      <c r="X445" s="1">
        <v>0</v>
      </c>
      <c r="Y445" s="1">
        <f>IF(X445 + Y444 &lt; 0, X445 + Y444, 0)</f>
        <v>0</v>
      </c>
      <c r="Z445" s="1">
        <v>0</v>
      </c>
      <c r="AA445" s="1">
        <f>IF(Z445 + AA444 &lt; 0, Z445 + AA444, 0)</f>
        <v>0</v>
      </c>
      <c r="AB445" s="1">
        <v>0</v>
      </c>
      <c r="AC445" s="1">
        <f>IF(AB445 + AC444 &lt; 0, AB445 + AC444, 0)</f>
        <v>0</v>
      </c>
      <c r="AD445" s="1">
        <v>0</v>
      </c>
      <c r="AE445" s="1">
        <f>IF(AD445 + AE444 &lt; 0, AD445 + AE444, 0)</f>
        <v>0</v>
      </c>
      <c r="AF445" s="1">
        <v>-179191.6800899518</v>
      </c>
      <c r="AG445" s="1">
        <f>IF(AF445 + AG444 &lt; 0, AF445 + AG444, 0)</f>
        <v>0</v>
      </c>
      <c r="AH445" s="1">
        <v>67135.43647611553</v>
      </c>
      <c r="AI445" s="1">
        <f>IF(AH445 + AI444 &lt; 0, AH445 + AI444, 0)</f>
        <v>0</v>
      </c>
      <c r="AJ445" s="1">
        <v>-63441.57502874646</v>
      </c>
      <c r="AK445" s="1">
        <f>IF(AJ445 + AK444 &lt; 0, AJ445 + AK444, 0)</f>
        <v>0</v>
      </c>
    </row>
    <row r="446" spans="1:37" s="1" customFormat="1">
      <c r="A446" s="3">
        <v>45947</v>
      </c>
      <c r="B446" s="2" t="s">
        <v>26</v>
      </c>
      <c r="C446" s="2">
        <v>6</v>
      </c>
      <c r="D446" s="2">
        <v>6</v>
      </c>
      <c r="E446" s="2">
        <v>6</v>
      </c>
      <c r="F446" s="2">
        <v>2</v>
      </c>
      <c r="G446" s="2">
        <v>3</v>
      </c>
      <c r="H446" s="1">
        <v>0</v>
      </c>
      <c r="I446" s="1">
        <f>IF(H446 + I445 &lt; 0, H446 + I445, 0)</f>
        <v>0</v>
      </c>
      <c r="J446" s="1">
        <v>0</v>
      </c>
      <c r="K446" s="1">
        <f>IF(J446 + K445 &lt; 0, J446 + K445, 0)</f>
        <v>0</v>
      </c>
      <c r="L446" s="1">
        <v>0</v>
      </c>
      <c r="M446" s="1">
        <f>IF(L446 + M445 &lt; 0, L446 + M445, 0)</f>
        <v>0</v>
      </c>
      <c r="N446" s="1">
        <v>0</v>
      </c>
      <c r="O446" s="1">
        <f>IF(N446 + O445 &lt; 0, N446 + O445, 0)</f>
        <v>0</v>
      </c>
      <c r="P446" s="1">
        <v>0</v>
      </c>
      <c r="Q446" s="1">
        <f>IF(P446 + Q445 &lt; 0, P446 + Q445, 0)</f>
        <v>0</v>
      </c>
      <c r="R446" s="1">
        <v>0</v>
      </c>
      <c r="S446" s="1">
        <f>IF(R446 + S445 &lt; 0, R446 + S445, 0)</f>
        <v>0</v>
      </c>
      <c r="T446" s="1">
        <v>0</v>
      </c>
      <c r="U446" s="1">
        <f>IF(T446 + U445 &lt; 0, T446 + U445, 0)</f>
        <v>0</v>
      </c>
      <c r="V446" s="1">
        <v>0</v>
      </c>
      <c r="W446" s="1">
        <f>IF(V446 + W445 &lt; 0, V446 + W445, 0)</f>
        <v>0</v>
      </c>
      <c r="X446" s="1">
        <v>0</v>
      </c>
      <c r="Y446" s="1">
        <f>IF(X446 + Y445 &lt; 0, X446 + Y445, 0)</f>
        <v>0</v>
      </c>
      <c r="Z446" s="1">
        <v>0</v>
      </c>
      <c r="AA446" s="1">
        <f>IF(Z446 + AA445 &lt; 0, Z446 + AA445, 0)</f>
        <v>0</v>
      </c>
      <c r="AB446" s="1">
        <v>0</v>
      </c>
      <c r="AC446" s="1">
        <f>IF(AB446 + AC445 &lt; 0, AB446 + AC445, 0)</f>
        <v>0</v>
      </c>
      <c r="AD446" s="1">
        <v>0</v>
      </c>
      <c r="AE446" s="1">
        <f>IF(AD446 + AE445 &lt; 0, AD446 + AE445, 0)</f>
        <v>0</v>
      </c>
      <c r="AF446" s="1">
        <v>0</v>
      </c>
      <c r="AG446" s="1">
        <f>IF(AF446 + AG445 &lt; 0, AF446 + AG445, 0)</f>
        <v>0</v>
      </c>
      <c r="AH446" s="1">
        <v>0</v>
      </c>
      <c r="AI446" s="1">
        <f>IF(AH446 + AI445 &lt; 0, AH446 + AI445, 0)</f>
        <v>0</v>
      </c>
      <c r="AJ446" s="1">
        <v>0</v>
      </c>
      <c r="AK446" s="1">
        <f>IF(AJ446 + AK445 &lt; 0, AJ446 + AK445, 0)</f>
        <v>0</v>
      </c>
    </row>
    <row r="447" spans="1:37" s="1" customFormat="1">
      <c r="A447" s="3">
        <v>45950</v>
      </c>
      <c r="B447" s="2" t="s">
        <v>22</v>
      </c>
      <c r="C447" s="2">
        <v>5</v>
      </c>
      <c r="D447" s="2">
        <v>5</v>
      </c>
      <c r="E447" s="2">
        <v>5</v>
      </c>
      <c r="F447" s="2">
        <v>1</v>
      </c>
      <c r="G447" s="2">
        <v>2</v>
      </c>
      <c r="H447" s="1">
        <v>0</v>
      </c>
      <c r="I447" s="1">
        <f>IF(H447 + I446 &lt; 0, H447 + I446, 0)</f>
        <v>0</v>
      </c>
      <c r="J447" s="1">
        <v>0</v>
      </c>
      <c r="K447" s="1">
        <f>IF(J447 + K446 &lt; 0, J447 + K446, 0)</f>
        <v>0</v>
      </c>
      <c r="L447" s="1">
        <v>0</v>
      </c>
      <c r="M447" s="1">
        <f>IF(L447 + M446 &lt; 0, L447 + M446, 0)</f>
        <v>0</v>
      </c>
      <c r="N447" s="1">
        <v>0</v>
      </c>
      <c r="O447" s="1">
        <f>IF(N447 + O446 &lt; 0, N447 + O446, 0)</f>
        <v>0</v>
      </c>
      <c r="P447" s="1">
        <v>0</v>
      </c>
      <c r="Q447" s="1">
        <f>IF(P447 + Q446 &lt; 0, P447 + Q446, 0)</f>
        <v>0</v>
      </c>
      <c r="R447" s="1">
        <v>0</v>
      </c>
      <c r="S447" s="1">
        <f>IF(R447 + S446 &lt; 0, R447 + S446, 0)</f>
        <v>0</v>
      </c>
      <c r="T447" s="1">
        <v>0</v>
      </c>
      <c r="U447" s="1">
        <f>IF(T447 + U446 &lt; 0, T447 + U446, 0)</f>
        <v>0</v>
      </c>
      <c r="V447" s="1">
        <v>0</v>
      </c>
      <c r="W447" s="1">
        <f>IF(V447 + W446 &lt; 0, V447 + W446, 0)</f>
        <v>0</v>
      </c>
      <c r="X447" s="1">
        <v>0</v>
      </c>
      <c r="Y447" s="1">
        <f>IF(X447 + Y446 &lt; 0, X447 + Y446, 0)</f>
        <v>0</v>
      </c>
      <c r="Z447" s="1">
        <v>-508730.7900782507</v>
      </c>
      <c r="AA447" s="1">
        <f>IF(Z447 + AA446 &lt; 0, Z447 + AA446, 0)</f>
        <v>0</v>
      </c>
      <c r="AB447" s="1">
        <v>-508730.7900782507</v>
      </c>
      <c r="AC447" s="1">
        <f>IF(AB447 + AC446 &lt; 0, AB447 + AC446, 0)</f>
        <v>0</v>
      </c>
      <c r="AD447" s="1">
        <v>-916966.247437238</v>
      </c>
      <c r="AE447" s="1">
        <f>IF(AD447 + AE446 &lt; 0, AD447 + AE446, 0)</f>
        <v>0</v>
      </c>
      <c r="AF447" s="1">
        <v>0</v>
      </c>
      <c r="AG447" s="1">
        <f>IF(AF447 + AG446 &lt; 0, AF447 + AG446, 0)</f>
        <v>0</v>
      </c>
      <c r="AH447" s="1">
        <v>0</v>
      </c>
      <c r="AI447" s="1">
        <f>IF(AH447 + AI446 &lt; 0, AH447 + AI446, 0)</f>
        <v>0</v>
      </c>
      <c r="AJ447" s="1">
        <v>0</v>
      </c>
      <c r="AK447" s="1">
        <f>IF(AJ447 + AK446 &lt; 0, AJ447 + AK446, 0)</f>
        <v>0</v>
      </c>
    </row>
    <row r="448" spans="1:37" s="1" customFormat="1">
      <c r="A448" s="3">
        <v>45953</v>
      </c>
      <c r="B448" s="2" t="s">
        <v>25</v>
      </c>
      <c r="C448" s="2">
        <v>4</v>
      </c>
      <c r="D448" s="2">
        <v>4</v>
      </c>
      <c r="E448" s="2">
        <v>4</v>
      </c>
      <c r="F448" s="2">
        <v>4</v>
      </c>
      <c r="G448" s="2">
        <v>1</v>
      </c>
      <c r="H448" s="1">
        <v>0</v>
      </c>
      <c r="I448" s="1">
        <f>IF(H448 + I447 &lt; 0, H448 + I447, 0)</f>
        <v>0</v>
      </c>
      <c r="J448" s="1">
        <v>0</v>
      </c>
      <c r="K448" s="1">
        <f>IF(J448 + K447 &lt; 0, J448 + K447, 0)</f>
        <v>0</v>
      </c>
      <c r="L448" s="1">
        <v>0</v>
      </c>
      <c r="M448" s="1">
        <f>IF(L448 + M447 &lt; 0, L448 + M447, 0)</f>
        <v>0</v>
      </c>
      <c r="N448" s="1">
        <v>0</v>
      </c>
      <c r="O448" s="1">
        <f>IF(N448 + O447 &lt; 0, N448 + O447, 0)</f>
        <v>0</v>
      </c>
      <c r="P448" s="1">
        <v>0</v>
      </c>
      <c r="Q448" s="1">
        <f>IF(P448 + Q447 &lt; 0, P448 + Q447, 0)</f>
        <v>0</v>
      </c>
      <c r="R448" s="1">
        <v>0</v>
      </c>
      <c r="S448" s="1">
        <f>IF(R448 + S447 &lt; 0, R448 + S447, 0)</f>
        <v>0</v>
      </c>
      <c r="T448" s="1">
        <v>0</v>
      </c>
      <c r="U448" s="1">
        <f>IF(T448 + U447 &lt; 0, T448 + U447, 0)</f>
        <v>0</v>
      </c>
      <c r="V448" s="1">
        <v>0</v>
      </c>
      <c r="W448" s="1">
        <f>IF(V448 + W447 &lt; 0, V448 + W447, 0)</f>
        <v>0</v>
      </c>
      <c r="X448" s="1">
        <v>0</v>
      </c>
      <c r="Y448" s="1">
        <f>IF(X448 + Y447 &lt; 0, X448 + Y447, 0)</f>
        <v>0</v>
      </c>
      <c r="Z448" s="1">
        <v>0</v>
      </c>
      <c r="AA448" s="1">
        <f>IF(Z448 + AA447 &lt; 0, Z448 + AA447, 0)</f>
        <v>0</v>
      </c>
      <c r="AB448" s="1">
        <v>0</v>
      </c>
      <c r="AC448" s="1">
        <f>IF(AB448 + AC447 &lt; 0, AB448 + AC447, 0)</f>
        <v>0</v>
      </c>
      <c r="AD448" s="1">
        <v>0</v>
      </c>
      <c r="AE448" s="1">
        <f>IF(AD448 + AE447 &lt; 0, AD448 + AE447, 0)</f>
        <v>0</v>
      </c>
      <c r="AF448" s="1">
        <v>-23644.93454182465</v>
      </c>
      <c r="AG448" s="1">
        <f>IF(AF448 + AG447 &lt; 0, AF448 + AG447, 0)</f>
        <v>0</v>
      </c>
      <c r="AH448" s="1">
        <v>-23644.93454182465</v>
      </c>
      <c r="AI448" s="1">
        <f>IF(AH448 + AI447 &lt; 0, AH448 + AI447, 0)</f>
        <v>0</v>
      </c>
      <c r="AJ448" s="1">
        <v>-23644.93454182465</v>
      </c>
      <c r="AK448" s="1">
        <f>IF(AJ448 + AK447 &lt; 0, AJ448 + AK447, 0)</f>
        <v>0</v>
      </c>
    </row>
    <row r="449" spans="1:37" s="1" customFormat="1">
      <c r="A449" s="3">
        <v>45954</v>
      </c>
      <c r="B449" s="2" t="s">
        <v>26</v>
      </c>
      <c r="C449" s="2">
        <v>3</v>
      </c>
      <c r="D449" s="2">
        <v>3</v>
      </c>
      <c r="E449" s="2">
        <v>3</v>
      </c>
      <c r="F449" s="2">
        <v>3</v>
      </c>
      <c r="G449" s="2">
        <v>5</v>
      </c>
      <c r="H449" s="1">
        <v>0</v>
      </c>
      <c r="I449" s="1">
        <f>IF(H449 + I448 &lt; 0, H449 + I448, 0)</f>
        <v>0</v>
      </c>
      <c r="J449" s="1">
        <v>0</v>
      </c>
      <c r="K449" s="1">
        <f>IF(J449 + K448 &lt; 0, J449 + K448, 0)</f>
        <v>0</v>
      </c>
      <c r="L449" s="1">
        <v>0</v>
      </c>
      <c r="M449" s="1">
        <f>IF(L449 + M448 &lt; 0, L449 + M448, 0)</f>
        <v>0</v>
      </c>
      <c r="N449" s="1">
        <v>0</v>
      </c>
      <c r="O449" s="1">
        <f>IF(N449 + O448 &lt; 0, N449 + O448, 0)</f>
        <v>0</v>
      </c>
      <c r="P449" s="1">
        <v>0</v>
      </c>
      <c r="Q449" s="1">
        <f>IF(P449 + Q448 &lt; 0, P449 + Q448, 0)</f>
        <v>0</v>
      </c>
      <c r="R449" s="1">
        <v>0</v>
      </c>
      <c r="S449" s="1">
        <f>IF(R449 + S448 &lt; 0, R449 + S448, 0)</f>
        <v>0</v>
      </c>
      <c r="T449" s="1">
        <v>0</v>
      </c>
      <c r="U449" s="1">
        <f>IF(T449 + U448 &lt; 0, T449 + U448, 0)</f>
        <v>0</v>
      </c>
      <c r="V449" s="1">
        <v>0</v>
      </c>
      <c r="W449" s="1">
        <f>IF(V449 + W448 &lt; 0, V449 + W448, 0)</f>
        <v>0</v>
      </c>
      <c r="X449" s="1">
        <v>0</v>
      </c>
      <c r="Y449" s="1">
        <f>IF(X449 + Y448 &lt; 0, X449 + Y448, 0)</f>
        <v>0</v>
      </c>
      <c r="Z449" s="1">
        <v>0</v>
      </c>
      <c r="AA449" s="1">
        <f>IF(Z449 + AA448 &lt; 0, Z449 + AA448, 0)</f>
        <v>0</v>
      </c>
      <c r="AB449" s="1">
        <v>0</v>
      </c>
      <c r="AC449" s="1">
        <f>IF(AB449 + AC448 &lt; 0, AB449 + AC448, 0)</f>
        <v>0</v>
      </c>
      <c r="AD449" s="1">
        <v>0</v>
      </c>
      <c r="AE449" s="1">
        <f>IF(AD449 + AE448 &lt; 0, AD449 + AE448, 0)</f>
        <v>0</v>
      </c>
      <c r="AF449" s="1">
        <v>0</v>
      </c>
      <c r="AG449" s="1">
        <f>IF(AF449 + AG448 &lt; 0, AF449 + AG448, 0)</f>
        <v>0</v>
      </c>
      <c r="AH449" s="1">
        <v>0</v>
      </c>
      <c r="AI449" s="1">
        <f>IF(AH449 + AI448 &lt; 0, AH449 + AI448, 0)</f>
        <v>0</v>
      </c>
      <c r="AJ449" s="1">
        <v>0</v>
      </c>
      <c r="AK449" s="1">
        <f>IF(AJ449 + AK448 &lt; 0, AJ449 + AK448, 0)</f>
        <v>0</v>
      </c>
    </row>
    <row r="450" spans="1:37" s="1" customFormat="1">
      <c r="A450" s="3">
        <v>45957</v>
      </c>
      <c r="B450" s="2" t="s">
        <v>22</v>
      </c>
      <c r="C450" s="2">
        <v>2</v>
      </c>
      <c r="D450" s="2">
        <v>2</v>
      </c>
      <c r="E450" s="2">
        <v>2</v>
      </c>
      <c r="F450" s="2">
        <v>2</v>
      </c>
      <c r="G450" s="2">
        <v>4</v>
      </c>
      <c r="H450" s="1">
        <v>0</v>
      </c>
      <c r="I450" s="1">
        <f>IF(H450 + I449 &lt; 0, H450 + I449, 0)</f>
        <v>0</v>
      </c>
      <c r="J450" s="1">
        <v>0</v>
      </c>
      <c r="K450" s="1">
        <f>IF(J450 + K449 &lt; 0, J450 + K449, 0)</f>
        <v>0</v>
      </c>
      <c r="L450" s="1">
        <v>0</v>
      </c>
      <c r="M450" s="1">
        <f>IF(L450 + M449 &lt; 0, L450 + M449, 0)</f>
        <v>0</v>
      </c>
      <c r="N450" s="1">
        <v>0</v>
      </c>
      <c r="O450" s="1">
        <f>IF(N450 + O449 &lt; 0, N450 + O449, 0)</f>
        <v>0</v>
      </c>
      <c r="P450" s="1">
        <v>0</v>
      </c>
      <c r="Q450" s="1">
        <f>IF(P450 + Q449 &lt; 0, P450 + Q449, 0)</f>
        <v>0</v>
      </c>
      <c r="R450" s="1">
        <v>0</v>
      </c>
      <c r="S450" s="1">
        <f>IF(R450 + S449 &lt; 0, R450 + S449, 0)</f>
        <v>0</v>
      </c>
      <c r="T450" s="1">
        <v>0</v>
      </c>
      <c r="U450" s="1">
        <f>IF(T450 + U449 &lt; 0, T450 + U449, 0)</f>
        <v>0</v>
      </c>
      <c r="V450" s="1">
        <v>0</v>
      </c>
      <c r="W450" s="1">
        <f>IF(V450 + W449 &lt; 0, V450 + W449, 0)</f>
        <v>0</v>
      </c>
      <c r="X450" s="1">
        <v>0</v>
      </c>
      <c r="Y450" s="1">
        <f>IF(X450 + Y449 &lt; 0, X450 + Y449, 0)</f>
        <v>0</v>
      </c>
      <c r="Z450" s="1">
        <v>0</v>
      </c>
      <c r="AA450" s="1">
        <f>IF(Z450 + AA449 &lt; 0, Z450 + AA449, 0)</f>
        <v>0</v>
      </c>
      <c r="AB450" s="1">
        <v>0</v>
      </c>
      <c r="AC450" s="1">
        <f>IF(AB450 + AC449 &lt; 0, AB450 + AC449, 0)</f>
        <v>0</v>
      </c>
      <c r="AD450" s="1">
        <v>0</v>
      </c>
      <c r="AE450" s="1">
        <f>IF(AD450 + AE449 &lt; 0, AD450 + AE449, 0)</f>
        <v>0</v>
      </c>
      <c r="AF450" s="1">
        <v>0</v>
      </c>
      <c r="AG450" s="1">
        <f>IF(AF450 + AG449 &lt; 0, AF450 + AG449, 0)</f>
        <v>0</v>
      </c>
      <c r="AH450" s="1">
        <v>0</v>
      </c>
      <c r="AI450" s="1">
        <f>IF(AH450 + AI449 &lt; 0, AH450 + AI449, 0)</f>
        <v>0</v>
      </c>
      <c r="AJ450" s="1">
        <v>0</v>
      </c>
      <c r="AK450" s="1">
        <f>IF(AJ450 + AK449 &lt; 0, AJ450 + AK449, 0)</f>
        <v>0</v>
      </c>
    </row>
    <row r="451" spans="1:37" s="1" customFormat="1">
      <c r="A451" s="3">
        <v>45958</v>
      </c>
      <c r="B451" s="2" t="s">
        <v>23</v>
      </c>
      <c r="C451" s="2">
        <v>1</v>
      </c>
      <c r="D451" s="2">
        <v>1</v>
      </c>
      <c r="E451" s="2">
        <v>1</v>
      </c>
      <c r="F451" s="2">
        <v>1</v>
      </c>
      <c r="G451" s="2">
        <v>3</v>
      </c>
      <c r="H451" s="1">
        <v>0</v>
      </c>
      <c r="I451" s="1">
        <f>IF(H451 + I450 &lt; 0, H451 + I450, 0)</f>
        <v>0</v>
      </c>
      <c r="J451" s="1">
        <v>0</v>
      </c>
      <c r="K451" s="1">
        <f>IF(J451 + K450 &lt; 0, J451 + K450, 0)</f>
        <v>0</v>
      </c>
      <c r="L451" s="1">
        <v>0</v>
      </c>
      <c r="M451" s="1">
        <f>IF(L451 + M450 &lt; 0, L451 + M450, 0)</f>
        <v>0</v>
      </c>
      <c r="N451" s="1">
        <v>0</v>
      </c>
      <c r="O451" s="1">
        <f>IF(N451 + O450 &lt; 0, N451 + O450, 0)</f>
        <v>0</v>
      </c>
      <c r="P451" s="1">
        <v>0</v>
      </c>
      <c r="Q451" s="1">
        <f>IF(P451 + Q450 &lt; 0, P451 + Q450, 0)</f>
        <v>0</v>
      </c>
      <c r="R451" s="1">
        <v>0</v>
      </c>
      <c r="S451" s="1">
        <f>IF(R451 + S450 &lt; 0, R451 + S450, 0)</f>
        <v>0</v>
      </c>
      <c r="T451" s="1">
        <v>0</v>
      </c>
      <c r="U451" s="1">
        <f>IF(T451 + U450 &lt; 0, T451 + U450, 0)</f>
        <v>0</v>
      </c>
      <c r="V451" s="1">
        <v>0</v>
      </c>
      <c r="W451" s="1">
        <f>IF(V451 + W450 &lt; 0, V451 + W450, 0)</f>
        <v>0</v>
      </c>
      <c r="X451" s="1">
        <v>0</v>
      </c>
      <c r="Y451" s="1">
        <f>IF(X451 + Y450 &lt; 0, X451 + Y450, 0)</f>
        <v>0</v>
      </c>
      <c r="Z451" s="1">
        <v>-274566.6791401938</v>
      </c>
      <c r="AA451" s="1">
        <f>IF(Z451 + AA450 &lt; 0, Z451 + AA450, 0)</f>
        <v>0</v>
      </c>
      <c r="AB451" s="1">
        <v>-274566.6791401938</v>
      </c>
      <c r="AC451" s="1">
        <f>IF(AB451 + AC450 &lt; 0, AB451 + AC450, 0)</f>
        <v>0</v>
      </c>
      <c r="AD451" s="1">
        <v>-81028.30240773097</v>
      </c>
      <c r="AE451" s="1">
        <f>IF(AD451 + AE450 &lt; 0, AD451 + AE450, 0)</f>
        <v>0</v>
      </c>
      <c r="AF451" s="1">
        <v>0</v>
      </c>
      <c r="AG451" s="1">
        <f>IF(AF451 + AG450 &lt; 0, AF451 + AG450, 0)</f>
        <v>0</v>
      </c>
      <c r="AH451" s="1">
        <v>0</v>
      </c>
      <c r="AI451" s="1">
        <f>IF(AH451 + AI450 &lt; 0, AH451 + AI450, 0)</f>
        <v>0</v>
      </c>
      <c r="AJ451" s="1">
        <v>0</v>
      </c>
      <c r="AK451" s="1">
        <f>IF(AJ451 + AK450 &lt; 0, AJ451 + AK450, 0)</f>
        <v>0</v>
      </c>
    </row>
    <row r="452" spans="1:37" s="1" customFormat="1">
      <c r="A452" s="3">
        <v>45959</v>
      </c>
      <c r="B452" s="2" t="s">
        <v>24</v>
      </c>
      <c r="C452" s="2">
        <v>19</v>
      </c>
      <c r="D452" s="2">
        <v>19</v>
      </c>
      <c r="E452" s="2">
        <v>19</v>
      </c>
      <c r="F452" s="2">
        <v>5</v>
      </c>
      <c r="G452" s="2">
        <v>2</v>
      </c>
      <c r="H452" s="1">
        <v>0</v>
      </c>
      <c r="I452" s="1">
        <f>IF(H452 + I451 &lt; 0, H452 + I451, 0)</f>
        <v>0</v>
      </c>
      <c r="J452" s="1">
        <v>0</v>
      </c>
      <c r="K452" s="1">
        <f>IF(J452 + K451 &lt; 0, J452 + K451, 0)</f>
        <v>0</v>
      </c>
      <c r="L452" s="1">
        <v>0</v>
      </c>
      <c r="M452" s="1">
        <f>IF(L452 + M451 &lt; 0, L452 + M451, 0)</f>
        <v>0</v>
      </c>
      <c r="N452" s="1">
        <v>0</v>
      </c>
      <c r="O452" s="1">
        <f>IF(N452 + O451 &lt; 0, N452 + O451, 0)</f>
        <v>0</v>
      </c>
      <c r="P452" s="1">
        <v>0</v>
      </c>
      <c r="Q452" s="1">
        <f>IF(P452 + Q451 &lt; 0, P452 + Q451, 0)</f>
        <v>0</v>
      </c>
      <c r="R452" s="1">
        <v>0</v>
      </c>
      <c r="S452" s="1">
        <f>IF(R452 + S451 &lt; 0, R452 + S451, 0)</f>
        <v>0</v>
      </c>
      <c r="T452" s="1">
        <v>0</v>
      </c>
      <c r="U452" s="1">
        <f>IF(T452 + U451 &lt; 0, T452 + U451, 0)</f>
        <v>0</v>
      </c>
      <c r="V452" s="1">
        <v>0</v>
      </c>
      <c r="W452" s="1">
        <f>IF(V452 + W451 &lt; 0, V452 + W451, 0)</f>
        <v>0</v>
      </c>
      <c r="X452" s="1">
        <v>0</v>
      </c>
      <c r="Y452" s="1">
        <f>IF(X452 + Y451 &lt; 0, X452 + Y451, 0)</f>
        <v>0</v>
      </c>
      <c r="Z452" s="1">
        <v>0</v>
      </c>
      <c r="AA452" s="1">
        <f>IF(Z452 + AA451 &lt; 0, Z452 + AA451, 0)</f>
        <v>0</v>
      </c>
      <c r="AB452" s="1">
        <v>0</v>
      </c>
      <c r="AC452" s="1">
        <f>IF(AB452 + AC451 &lt; 0, AB452 + AC451, 0)</f>
        <v>0</v>
      </c>
      <c r="AD452" s="1">
        <v>0</v>
      </c>
      <c r="AE452" s="1">
        <f>IF(AD452 + AE451 &lt; 0, AD452 + AE451, 0)</f>
        <v>0</v>
      </c>
      <c r="AF452" s="1">
        <v>0</v>
      </c>
      <c r="AG452" s="1">
        <f>IF(AF452 + AG451 &lt; 0, AF452 + AG451, 0)</f>
        <v>0</v>
      </c>
      <c r="AH452" s="1">
        <v>0</v>
      </c>
      <c r="AI452" s="1">
        <f>IF(AH452 + AI451 &lt; 0, AH452 + AI451, 0)</f>
        <v>0</v>
      </c>
      <c r="AJ452" s="1">
        <v>0</v>
      </c>
      <c r="AK452" s="1">
        <f>IF(AJ452 + AK451 &lt; 0, AJ452 + AK451, 0)</f>
        <v>0</v>
      </c>
    </row>
    <row r="453" spans="1:37" s="1" customFormat="1">
      <c r="A453" s="3">
        <v>45960</v>
      </c>
      <c r="B453" s="2" t="s">
        <v>25</v>
      </c>
      <c r="C453" s="2">
        <v>18</v>
      </c>
      <c r="D453" s="2">
        <v>18</v>
      </c>
      <c r="E453" s="2">
        <v>18</v>
      </c>
      <c r="F453" s="2">
        <v>4</v>
      </c>
      <c r="G453" s="2">
        <v>1</v>
      </c>
      <c r="H453" s="1">
        <v>0</v>
      </c>
      <c r="I453" s="1">
        <f>IF(H453 + I452 &lt; 0, H453 + I452, 0)</f>
        <v>0</v>
      </c>
      <c r="J453" s="1">
        <v>0</v>
      </c>
      <c r="K453" s="1">
        <f>IF(J453 + K452 &lt; 0, J453 + K452, 0)</f>
        <v>0</v>
      </c>
      <c r="L453" s="1">
        <v>0</v>
      </c>
      <c r="M453" s="1">
        <f>IF(L453 + M452 &lt; 0, L453 + M452, 0)</f>
        <v>0</v>
      </c>
      <c r="N453" s="1">
        <v>0</v>
      </c>
      <c r="O453" s="1">
        <f>IF(N453 + O452 &lt; 0, N453 + O452, 0)</f>
        <v>0</v>
      </c>
      <c r="P453" s="1">
        <v>0</v>
      </c>
      <c r="Q453" s="1">
        <f>IF(P453 + Q452 &lt; 0, P453 + Q452, 0)</f>
        <v>0</v>
      </c>
      <c r="R453" s="1">
        <v>0</v>
      </c>
      <c r="S453" s="1">
        <f>IF(R453 + S452 &lt; 0, R453 + S452, 0)</f>
        <v>0</v>
      </c>
      <c r="T453" s="1">
        <v>0</v>
      </c>
      <c r="U453" s="1">
        <f>IF(T453 + U452 &lt; 0, T453 + U452, 0)</f>
        <v>0</v>
      </c>
      <c r="V453" s="1">
        <v>0</v>
      </c>
      <c r="W453" s="1">
        <f>IF(V453 + W452 &lt; 0, V453 + W452, 0)</f>
        <v>0</v>
      </c>
      <c r="X453" s="1">
        <v>0</v>
      </c>
      <c r="Y453" s="1">
        <f>IF(X453 + Y452 &lt; 0, X453 + Y452, 0)</f>
        <v>0</v>
      </c>
      <c r="Z453" s="1">
        <v>0</v>
      </c>
      <c r="AA453" s="1">
        <f>IF(Z453 + AA452 &lt; 0, Z453 + AA452, 0)</f>
        <v>0</v>
      </c>
      <c r="AB453" s="1">
        <v>0</v>
      </c>
      <c r="AC453" s="1">
        <f>IF(AB453 + AC452 &lt; 0, AB453 + AC452, 0)</f>
        <v>0</v>
      </c>
      <c r="AD453" s="1">
        <v>0</v>
      </c>
      <c r="AE453" s="1">
        <f>IF(AD453 + AE452 &lt; 0, AD453 + AE452, 0)</f>
        <v>0</v>
      </c>
      <c r="AF453" s="1">
        <v>546327.3355788243</v>
      </c>
      <c r="AG453" s="1">
        <f>IF(AF453 + AG452 &lt; 0, AF453 + AG452, 0)</f>
        <v>0</v>
      </c>
      <c r="AH453" s="1">
        <v>767572.279204924</v>
      </c>
      <c r="AI453" s="1">
        <f>IF(AH453 + AI452 &lt; 0, AH453 + AI452, 0)</f>
        <v>0</v>
      </c>
      <c r="AJ453" s="1">
        <v>610425.9249871166</v>
      </c>
      <c r="AK453" s="1">
        <f>IF(AJ453 + AK452 &lt; 0, AJ453 + AK452, 0)</f>
        <v>0</v>
      </c>
    </row>
    <row r="454" spans="1:37" s="1" customFormat="1">
      <c r="A454" s="3">
        <v>45961</v>
      </c>
      <c r="B454" s="2" t="s">
        <v>26</v>
      </c>
      <c r="C454" s="2">
        <v>17</v>
      </c>
      <c r="D454" s="2">
        <v>17</v>
      </c>
      <c r="E454" s="2">
        <v>17</v>
      </c>
      <c r="F454" s="2">
        <v>3</v>
      </c>
      <c r="G454" s="2">
        <v>4</v>
      </c>
      <c r="H454" s="1">
        <v>0</v>
      </c>
      <c r="I454" s="1">
        <f>IF(H454 + I453 &lt; 0, H454 + I453, 0)</f>
        <v>0</v>
      </c>
      <c r="J454" s="1">
        <v>0</v>
      </c>
      <c r="K454" s="1">
        <f>IF(J454 + K453 &lt; 0, J454 + K453, 0)</f>
        <v>0</v>
      </c>
      <c r="L454" s="1">
        <v>0</v>
      </c>
      <c r="M454" s="1">
        <f>IF(L454 + M453 &lt; 0, L454 + M453, 0)</f>
        <v>0</v>
      </c>
      <c r="N454" s="1">
        <v>0</v>
      </c>
      <c r="O454" s="1">
        <f>IF(N454 + O453 &lt; 0, N454 + O453, 0)</f>
        <v>0</v>
      </c>
      <c r="P454" s="1">
        <v>0</v>
      </c>
      <c r="Q454" s="1">
        <f>IF(P454 + Q453 &lt; 0, P454 + Q453, 0)</f>
        <v>0</v>
      </c>
      <c r="R454" s="1">
        <v>0</v>
      </c>
      <c r="S454" s="1">
        <f>IF(R454 + S453 &lt; 0, R454 + S453, 0)</f>
        <v>0</v>
      </c>
      <c r="T454" s="1">
        <v>0</v>
      </c>
      <c r="U454" s="1">
        <f>IF(T454 + U453 &lt; 0, T454 + U453, 0)</f>
        <v>0</v>
      </c>
      <c r="V454" s="1">
        <v>0</v>
      </c>
      <c r="W454" s="1">
        <f>IF(V454 + W453 &lt; 0, V454 + W453, 0)</f>
        <v>0</v>
      </c>
      <c r="X454" s="1">
        <v>0</v>
      </c>
      <c r="Y454" s="1">
        <f>IF(X454 + Y453 &lt; 0, X454 + Y453, 0)</f>
        <v>0</v>
      </c>
      <c r="Z454" s="1">
        <v>0</v>
      </c>
      <c r="AA454" s="1">
        <f>IF(Z454 + AA453 &lt; 0, Z454 + AA453, 0)</f>
        <v>0</v>
      </c>
      <c r="AB454" s="1">
        <v>0</v>
      </c>
      <c r="AC454" s="1">
        <f>IF(AB454 + AC453 &lt; 0, AB454 + AC453, 0)</f>
        <v>0</v>
      </c>
      <c r="AD454" s="1">
        <v>0</v>
      </c>
      <c r="AE454" s="1">
        <f>IF(AD454 + AE453 &lt; 0, AD454 + AE453, 0)</f>
        <v>0</v>
      </c>
      <c r="AF454" s="1">
        <v>0</v>
      </c>
      <c r="AG454" s="1">
        <f>IF(AF454 + AG453 &lt; 0, AF454 + AG453, 0)</f>
        <v>0</v>
      </c>
      <c r="AH454" s="1">
        <v>0</v>
      </c>
      <c r="AI454" s="1">
        <f>IF(AH454 + AI453 &lt; 0, AH454 + AI453, 0)</f>
        <v>0</v>
      </c>
      <c r="AJ454" s="1">
        <v>0</v>
      </c>
      <c r="AK454" s="1">
        <f>IF(AJ454 + AK453 &lt; 0, AJ454 + AK453, 0)</f>
        <v>0</v>
      </c>
    </row>
    <row r="455" spans="1:37" s="1" customFormat="1">
      <c r="A455" s="3">
        <v>45964</v>
      </c>
      <c r="B455" s="2" t="s">
        <v>22</v>
      </c>
      <c r="C455" s="2">
        <v>16</v>
      </c>
      <c r="D455" s="2">
        <v>16</v>
      </c>
      <c r="E455" s="2">
        <v>16</v>
      </c>
      <c r="F455" s="2">
        <v>2</v>
      </c>
      <c r="G455" s="2">
        <v>3</v>
      </c>
      <c r="H455" s="1">
        <v>0</v>
      </c>
      <c r="I455" s="1">
        <f>IF(H455 + I454 &lt; 0, H455 + I454, 0)</f>
        <v>0</v>
      </c>
      <c r="J455" s="1">
        <v>0</v>
      </c>
      <c r="K455" s="1">
        <f>IF(J455 + K454 &lt; 0, J455 + K454, 0)</f>
        <v>0</v>
      </c>
      <c r="L455" s="1">
        <v>0</v>
      </c>
      <c r="M455" s="1">
        <f>IF(L455 + M454 &lt; 0, L455 + M454, 0)</f>
        <v>0</v>
      </c>
      <c r="N455" s="1">
        <v>0</v>
      </c>
      <c r="O455" s="1">
        <f>IF(N455 + O454 &lt; 0, N455 + O454, 0)</f>
        <v>0</v>
      </c>
      <c r="P455" s="1">
        <v>0</v>
      </c>
      <c r="Q455" s="1">
        <f>IF(P455 + Q454 &lt; 0, P455 + Q454, 0)</f>
        <v>0</v>
      </c>
      <c r="R455" s="1">
        <v>0</v>
      </c>
      <c r="S455" s="1">
        <f>IF(R455 + S454 &lt; 0, R455 + S454, 0)</f>
        <v>0</v>
      </c>
      <c r="T455" s="1">
        <v>0</v>
      </c>
      <c r="U455" s="1">
        <f>IF(T455 + U454 &lt; 0, T455 + U454, 0)</f>
        <v>0</v>
      </c>
      <c r="V455" s="1">
        <v>0</v>
      </c>
      <c r="W455" s="1">
        <f>IF(V455 + W454 &lt; 0, V455 + W454, 0)</f>
        <v>0</v>
      </c>
      <c r="X455" s="1">
        <v>0</v>
      </c>
      <c r="Y455" s="1">
        <f>IF(X455 + Y454 &lt; 0, X455 + Y454, 0)</f>
        <v>0</v>
      </c>
      <c r="Z455" s="1">
        <v>0</v>
      </c>
      <c r="AA455" s="1">
        <f>IF(Z455 + AA454 &lt; 0, Z455 + AA454, 0)</f>
        <v>0</v>
      </c>
      <c r="AB455" s="1">
        <v>0</v>
      </c>
      <c r="AC455" s="1">
        <f>IF(AB455 + AC454 &lt; 0, AB455 + AC454, 0)</f>
        <v>0</v>
      </c>
      <c r="AD455" s="1">
        <v>0</v>
      </c>
      <c r="AE455" s="1">
        <f>IF(AD455 + AE454 &lt; 0, AD455 + AE454, 0)</f>
        <v>0</v>
      </c>
      <c r="AF455" s="1">
        <v>0</v>
      </c>
      <c r="AG455" s="1">
        <f>IF(AF455 + AG454 &lt; 0, AF455 + AG454, 0)</f>
        <v>0</v>
      </c>
      <c r="AH455" s="1">
        <v>0</v>
      </c>
      <c r="AI455" s="1">
        <f>IF(AH455 + AI454 &lt; 0, AH455 + AI454, 0)</f>
        <v>0</v>
      </c>
      <c r="AJ455" s="1">
        <v>0</v>
      </c>
      <c r="AK455" s="1">
        <f>IF(AJ455 + AK454 &lt; 0, AJ455 + AK454, 0)</f>
        <v>0</v>
      </c>
    </row>
    <row r="456" spans="1:37" s="1" customFormat="1">
      <c r="A456" s="3">
        <v>45965</v>
      </c>
      <c r="B456" s="2" t="s">
        <v>23</v>
      </c>
      <c r="C456" s="2">
        <v>15</v>
      </c>
      <c r="D456" s="2">
        <v>15</v>
      </c>
      <c r="E456" s="2">
        <v>15</v>
      </c>
      <c r="F456" s="2">
        <v>1</v>
      </c>
      <c r="G456" s="2">
        <v>2</v>
      </c>
      <c r="H456" s="1">
        <v>0</v>
      </c>
      <c r="I456" s="1">
        <f>IF(H456 + I455 &lt; 0, H456 + I455, 0)</f>
        <v>0</v>
      </c>
      <c r="J456" s="1">
        <v>0</v>
      </c>
      <c r="K456" s="1">
        <f>IF(J456 + K455 &lt; 0, J456 + K455, 0)</f>
        <v>0</v>
      </c>
      <c r="L456" s="1">
        <v>0</v>
      </c>
      <c r="M456" s="1">
        <f>IF(L456 + M455 &lt; 0, L456 + M455, 0)</f>
        <v>0</v>
      </c>
      <c r="N456" s="1">
        <v>0</v>
      </c>
      <c r="O456" s="1">
        <f>IF(N456 + O455 &lt; 0, N456 + O455, 0)</f>
        <v>0</v>
      </c>
      <c r="P456" s="1">
        <v>0</v>
      </c>
      <c r="Q456" s="1">
        <f>IF(P456 + Q455 &lt; 0, P456 + Q455, 0)</f>
        <v>0</v>
      </c>
      <c r="R456" s="1">
        <v>0</v>
      </c>
      <c r="S456" s="1">
        <f>IF(R456 + S455 &lt; 0, R456 + S455, 0)</f>
        <v>0</v>
      </c>
      <c r="T456" s="1">
        <v>0</v>
      </c>
      <c r="U456" s="1">
        <f>IF(T456 + U455 &lt; 0, T456 + U455, 0)</f>
        <v>0</v>
      </c>
      <c r="V456" s="1">
        <v>0</v>
      </c>
      <c r="W456" s="1">
        <f>IF(V456 + W455 &lt; 0, V456 + W455, 0)</f>
        <v>0</v>
      </c>
      <c r="X456" s="1">
        <v>0</v>
      </c>
      <c r="Y456" s="1">
        <f>IF(X456 + Y455 &lt; 0, X456 + Y455, 0)</f>
        <v>0</v>
      </c>
      <c r="Z456" s="1">
        <v>323123.0276191901</v>
      </c>
      <c r="AA456" s="1">
        <f>IF(Z456 + AA455 &lt; 0, Z456 + AA455, 0)</f>
        <v>0</v>
      </c>
      <c r="AB456" s="1">
        <v>341963.1793921668</v>
      </c>
      <c r="AC456" s="1">
        <f>IF(AB456 + AC455 &lt; 0, AB456 + AC455, 0)</f>
        <v>0</v>
      </c>
      <c r="AD456" s="1">
        <v>434856.9901965678</v>
      </c>
      <c r="AE456" s="1">
        <f>IF(AD456 + AE455 &lt; 0, AD456 + AE455, 0)</f>
        <v>0</v>
      </c>
      <c r="AF456" s="1">
        <v>0</v>
      </c>
      <c r="AG456" s="1">
        <f>IF(AF456 + AG455 &lt; 0, AF456 + AG455, 0)</f>
        <v>0</v>
      </c>
      <c r="AH456" s="1">
        <v>0</v>
      </c>
      <c r="AI456" s="1">
        <f>IF(AH456 + AI455 &lt; 0, AH456 + AI455, 0)</f>
        <v>0</v>
      </c>
      <c r="AJ456" s="1">
        <v>0</v>
      </c>
      <c r="AK456" s="1">
        <f>IF(AJ456 + AK455 &lt; 0, AJ456 + AK455, 0)</f>
        <v>0</v>
      </c>
    </row>
    <row r="457" spans="1:37" s="1" customFormat="1">
      <c r="A457" s="3">
        <v>45967</v>
      </c>
      <c r="B457" s="2" t="s">
        <v>25</v>
      </c>
      <c r="C457" s="2">
        <v>14</v>
      </c>
      <c r="D457" s="2">
        <v>14</v>
      </c>
      <c r="E457" s="2">
        <v>14</v>
      </c>
      <c r="F457" s="2">
        <v>4</v>
      </c>
      <c r="G457" s="2">
        <v>1</v>
      </c>
      <c r="H457" s="1">
        <v>0</v>
      </c>
      <c r="I457" s="1">
        <f>IF(H457 + I456 &lt; 0, H457 + I456, 0)</f>
        <v>0</v>
      </c>
      <c r="J457" s="1">
        <v>0</v>
      </c>
      <c r="K457" s="1">
        <f>IF(J457 + K456 &lt; 0, J457 + K456, 0)</f>
        <v>0</v>
      </c>
      <c r="L457" s="1">
        <v>0</v>
      </c>
      <c r="M457" s="1">
        <f>IF(L457 + M456 &lt; 0, L457 + M456, 0)</f>
        <v>0</v>
      </c>
      <c r="N457" s="1">
        <v>0</v>
      </c>
      <c r="O457" s="1">
        <f>IF(N457 + O456 &lt; 0, N457 + O456, 0)</f>
        <v>0</v>
      </c>
      <c r="P457" s="1">
        <v>0</v>
      </c>
      <c r="Q457" s="1">
        <f>IF(P457 + Q456 &lt; 0, P457 + Q456, 0)</f>
        <v>0</v>
      </c>
      <c r="R457" s="1">
        <v>0</v>
      </c>
      <c r="S457" s="1">
        <f>IF(R457 + S456 &lt; 0, R457 + S456, 0)</f>
        <v>0</v>
      </c>
      <c r="T457" s="1">
        <v>0</v>
      </c>
      <c r="U457" s="1">
        <f>IF(T457 + U456 &lt; 0, T457 + U456, 0)</f>
        <v>0</v>
      </c>
      <c r="V457" s="1">
        <v>0</v>
      </c>
      <c r="W457" s="1">
        <f>IF(V457 + W456 &lt; 0, V457 + W456, 0)</f>
        <v>0</v>
      </c>
      <c r="X457" s="1">
        <v>0</v>
      </c>
      <c r="Y457" s="1">
        <f>IF(X457 + Y456 &lt; 0, X457 + Y456, 0)</f>
        <v>0</v>
      </c>
      <c r="Z457" s="1">
        <v>0</v>
      </c>
      <c r="AA457" s="1">
        <f>IF(Z457 + AA456 &lt; 0, Z457 + AA456, 0)</f>
        <v>0</v>
      </c>
      <c r="AB457" s="1">
        <v>0</v>
      </c>
      <c r="AC457" s="1">
        <f>IF(AB457 + AC456 &lt; 0, AB457 + AC456, 0)</f>
        <v>0</v>
      </c>
      <c r="AD457" s="1">
        <v>0</v>
      </c>
      <c r="AE457" s="1">
        <f>IF(AD457 + AE456 &lt; 0, AD457 + AE456, 0)</f>
        <v>0</v>
      </c>
      <c r="AF457" s="1">
        <v>526848.6327515934</v>
      </c>
      <c r="AG457" s="1">
        <f>IF(AF457 + AG456 &lt; 0, AF457 + AG456, 0)</f>
        <v>0</v>
      </c>
      <c r="AH457" s="1">
        <v>526848.6327515934</v>
      </c>
      <c r="AI457" s="1">
        <f>IF(AH457 + AI456 &lt; 0, AH457 + AI456, 0)</f>
        <v>0</v>
      </c>
      <c r="AJ457" s="1">
        <v>499933.7381831951</v>
      </c>
      <c r="AK457" s="1">
        <f>IF(AJ457 + AK456 &lt; 0, AJ457 + AK456, 0)</f>
        <v>0</v>
      </c>
    </row>
    <row r="458" spans="1:37" s="1" customFormat="1">
      <c r="A458" s="3">
        <v>45968</v>
      </c>
      <c r="B458" s="2" t="s">
        <v>26</v>
      </c>
      <c r="C458" s="2">
        <v>13</v>
      </c>
      <c r="D458" s="2">
        <v>13</v>
      </c>
      <c r="E458" s="2">
        <v>13</v>
      </c>
      <c r="F458" s="2">
        <v>3</v>
      </c>
      <c r="G458" s="2">
        <v>5</v>
      </c>
      <c r="H458" s="1">
        <v>0</v>
      </c>
      <c r="I458" s="1">
        <f>IF(H458 + I457 &lt; 0, H458 + I457, 0)</f>
        <v>0</v>
      </c>
      <c r="J458" s="1">
        <v>0</v>
      </c>
      <c r="K458" s="1">
        <f>IF(J458 + K457 &lt; 0, J458 + K457, 0)</f>
        <v>0</v>
      </c>
      <c r="L458" s="1">
        <v>0</v>
      </c>
      <c r="M458" s="1">
        <f>IF(L458 + M457 &lt; 0, L458 + M457, 0)</f>
        <v>0</v>
      </c>
      <c r="N458" s="1">
        <v>0</v>
      </c>
      <c r="O458" s="1">
        <f>IF(N458 + O457 &lt; 0, N458 + O457, 0)</f>
        <v>0</v>
      </c>
      <c r="P458" s="1">
        <v>0</v>
      </c>
      <c r="Q458" s="1">
        <f>IF(P458 + Q457 &lt; 0, P458 + Q457, 0)</f>
        <v>0</v>
      </c>
      <c r="R458" s="1">
        <v>0</v>
      </c>
      <c r="S458" s="1">
        <f>IF(R458 + S457 &lt; 0, R458 + S457, 0)</f>
        <v>0</v>
      </c>
      <c r="T458" s="1">
        <v>0</v>
      </c>
      <c r="U458" s="1">
        <f>IF(T458 + U457 &lt; 0, T458 + U457, 0)</f>
        <v>0</v>
      </c>
      <c r="V458" s="1">
        <v>0</v>
      </c>
      <c r="W458" s="1">
        <f>IF(V458 + W457 &lt; 0, V458 + W457, 0)</f>
        <v>0</v>
      </c>
      <c r="X458" s="1">
        <v>0</v>
      </c>
      <c r="Y458" s="1">
        <f>IF(X458 + Y457 &lt; 0, X458 + Y457, 0)</f>
        <v>0</v>
      </c>
      <c r="Z458" s="1">
        <v>0</v>
      </c>
      <c r="AA458" s="1">
        <f>IF(Z458 + AA457 &lt; 0, Z458 + AA457, 0)</f>
        <v>0</v>
      </c>
      <c r="AB458" s="1">
        <v>0</v>
      </c>
      <c r="AC458" s="1">
        <f>IF(AB458 + AC457 &lt; 0, AB458 + AC457, 0)</f>
        <v>0</v>
      </c>
      <c r="AD458" s="1">
        <v>0</v>
      </c>
      <c r="AE458" s="1">
        <f>IF(AD458 + AE457 &lt; 0, AD458 + AE457, 0)</f>
        <v>0</v>
      </c>
      <c r="AF458" s="1">
        <v>0</v>
      </c>
      <c r="AG458" s="1">
        <f>IF(AF458 + AG457 &lt; 0, AF458 + AG457, 0)</f>
        <v>0</v>
      </c>
      <c r="AH458" s="1">
        <v>0</v>
      </c>
      <c r="AI458" s="1">
        <f>IF(AH458 + AI457 &lt; 0, AH458 + AI457, 0)</f>
        <v>0</v>
      </c>
      <c r="AJ458" s="1">
        <v>0</v>
      </c>
      <c r="AK458" s="1">
        <f>IF(AJ458 + AK457 &lt; 0, AJ458 + AK457, 0)</f>
        <v>0</v>
      </c>
    </row>
    <row r="459" spans="1:37" s="1" customFormat="1">
      <c r="A459" s="3">
        <v>45971</v>
      </c>
      <c r="B459" s="2" t="s">
        <v>22</v>
      </c>
      <c r="C459" s="2">
        <v>12</v>
      </c>
      <c r="D459" s="2">
        <v>12</v>
      </c>
      <c r="E459" s="2">
        <v>12</v>
      </c>
      <c r="F459" s="2">
        <v>2</v>
      </c>
      <c r="G459" s="2">
        <v>4</v>
      </c>
      <c r="H459" s="1">
        <v>0</v>
      </c>
      <c r="I459" s="1">
        <f>IF(H459 + I458 &lt; 0, H459 + I458, 0)</f>
        <v>0</v>
      </c>
      <c r="J459" s="1">
        <v>0</v>
      </c>
      <c r="K459" s="1">
        <f>IF(J459 + K458 &lt; 0, J459 + K458, 0)</f>
        <v>0</v>
      </c>
      <c r="L459" s="1">
        <v>0</v>
      </c>
      <c r="M459" s="1">
        <f>IF(L459 + M458 &lt; 0, L459 + M458, 0)</f>
        <v>0</v>
      </c>
      <c r="N459" s="1">
        <v>0</v>
      </c>
      <c r="O459" s="1">
        <f>IF(N459 + O458 &lt; 0, N459 + O458, 0)</f>
        <v>0</v>
      </c>
      <c r="P459" s="1">
        <v>0</v>
      </c>
      <c r="Q459" s="1">
        <f>IF(P459 + Q458 &lt; 0, P459 + Q458, 0)</f>
        <v>0</v>
      </c>
      <c r="R459" s="1">
        <v>0</v>
      </c>
      <c r="S459" s="1">
        <f>IF(R459 + S458 &lt; 0, R459 + S458, 0)</f>
        <v>0</v>
      </c>
      <c r="T459" s="1">
        <v>0</v>
      </c>
      <c r="U459" s="1">
        <f>IF(T459 + U458 &lt; 0, T459 + U458, 0)</f>
        <v>0</v>
      </c>
      <c r="V459" s="1">
        <v>0</v>
      </c>
      <c r="W459" s="1">
        <f>IF(V459 + W458 &lt; 0, V459 + W458, 0)</f>
        <v>0</v>
      </c>
      <c r="X459" s="1">
        <v>0</v>
      </c>
      <c r="Y459" s="1">
        <f>IF(X459 + Y458 &lt; 0, X459 + Y458, 0)</f>
        <v>0</v>
      </c>
      <c r="Z459" s="1">
        <v>0</v>
      </c>
      <c r="AA459" s="1">
        <f>IF(Z459 + AA458 &lt; 0, Z459 + AA458, 0)</f>
        <v>0</v>
      </c>
      <c r="AB459" s="1">
        <v>0</v>
      </c>
      <c r="AC459" s="1">
        <f>IF(AB459 + AC458 &lt; 0, AB459 + AC458, 0)</f>
        <v>0</v>
      </c>
      <c r="AD459" s="1">
        <v>0</v>
      </c>
      <c r="AE459" s="1">
        <f>IF(AD459 + AE458 &lt; 0, AD459 + AE458, 0)</f>
        <v>0</v>
      </c>
      <c r="AF459" s="1">
        <v>0</v>
      </c>
      <c r="AG459" s="1">
        <f>IF(AF459 + AG458 &lt; 0, AF459 + AG458, 0)</f>
        <v>0</v>
      </c>
      <c r="AH459" s="1">
        <v>0</v>
      </c>
      <c r="AI459" s="1">
        <f>IF(AH459 + AI458 &lt; 0, AH459 + AI458, 0)</f>
        <v>0</v>
      </c>
      <c r="AJ459" s="1">
        <v>0</v>
      </c>
      <c r="AK459" s="1">
        <f>IF(AJ459 + AK458 &lt; 0, AJ459 + AK458, 0)</f>
        <v>0</v>
      </c>
    </row>
    <row r="460" spans="1:37" s="1" customFormat="1">
      <c r="A460" s="3">
        <v>45972</v>
      </c>
      <c r="B460" s="2" t="s">
        <v>23</v>
      </c>
      <c r="C460" s="2">
        <v>11</v>
      </c>
      <c r="D460" s="2">
        <v>11</v>
      </c>
      <c r="E460" s="2">
        <v>11</v>
      </c>
      <c r="F460" s="2">
        <v>1</v>
      </c>
      <c r="G460" s="2">
        <v>3</v>
      </c>
      <c r="H460" s="1">
        <v>0</v>
      </c>
      <c r="I460" s="1">
        <f>IF(H460 + I459 &lt; 0, H460 + I459, 0)</f>
        <v>0</v>
      </c>
      <c r="J460" s="1">
        <v>0</v>
      </c>
      <c r="K460" s="1">
        <f>IF(J460 + K459 &lt; 0, J460 + K459, 0)</f>
        <v>0</v>
      </c>
      <c r="L460" s="1">
        <v>0</v>
      </c>
      <c r="M460" s="1">
        <f>IF(L460 + M459 &lt; 0, L460 + M459, 0)</f>
        <v>0</v>
      </c>
      <c r="N460" s="1">
        <v>0</v>
      </c>
      <c r="O460" s="1">
        <f>IF(N460 + O459 &lt; 0, N460 + O459, 0)</f>
        <v>0</v>
      </c>
      <c r="P460" s="1">
        <v>0</v>
      </c>
      <c r="Q460" s="1">
        <f>IF(P460 + Q459 &lt; 0, P460 + Q459, 0)</f>
        <v>0</v>
      </c>
      <c r="R460" s="1">
        <v>0</v>
      </c>
      <c r="S460" s="1">
        <f>IF(R460 + S459 &lt; 0, R460 + S459, 0)</f>
        <v>0</v>
      </c>
      <c r="T460" s="1">
        <v>0</v>
      </c>
      <c r="U460" s="1">
        <f>IF(T460 + U459 &lt; 0, T460 + U459, 0)</f>
        <v>0</v>
      </c>
      <c r="V460" s="1">
        <v>0</v>
      </c>
      <c r="W460" s="1">
        <f>IF(V460 + W459 &lt; 0, V460 + W459, 0)</f>
        <v>0</v>
      </c>
      <c r="X460" s="1">
        <v>0</v>
      </c>
      <c r="Y460" s="1">
        <f>IF(X460 + Y459 &lt; 0, X460 + Y459, 0)</f>
        <v>0</v>
      </c>
      <c r="Z460" s="1">
        <v>-496484.6592055114</v>
      </c>
      <c r="AA460" s="1">
        <f>IF(Z460 + AA459 &lt; 0, Z460 + AA459, 0)</f>
        <v>0</v>
      </c>
      <c r="AB460" s="1">
        <v>-496484.6592055114</v>
      </c>
      <c r="AC460" s="1">
        <f>IF(AB460 + AC459 &lt; 0, AB460 + AC459, 0)</f>
        <v>0</v>
      </c>
      <c r="AD460" s="1">
        <v>35060.47728716901</v>
      </c>
      <c r="AE460" s="1">
        <f>IF(AD460 + AE459 &lt; 0, AD460 + AE459, 0)</f>
        <v>0</v>
      </c>
      <c r="AF460" s="1">
        <v>0</v>
      </c>
      <c r="AG460" s="1">
        <f>IF(AF460 + AG459 &lt; 0, AF460 + AG459, 0)</f>
        <v>0</v>
      </c>
      <c r="AH460" s="1">
        <v>0</v>
      </c>
      <c r="AI460" s="1">
        <f>IF(AH460 + AI459 &lt; 0, AH460 + AI459, 0)</f>
        <v>0</v>
      </c>
      <c r="AJ460" s="1">
        <v>0</v>
      </c>
      <c r="AK460" s="1">
        <f>IF(AJ460 + AK459 &lt; 0, AJ460 + AK459, 0)</f>
        <v>0</v>
      </c>
    </row>
    <row r="461" spans="1:37" s="1" customFormat="1">
      <c r="A461" s="3">
        <v>45973</v>
      </c>
      <c r="B461" s="2" t="s">
        <v>24</v>
      </c>
      <c r="C461" s="2">
        <v>10</v>
      </c>
      <c r="D461" s="2">
        <v>10</v>
      </c>
      <c r="E461" s="2">
        <v>10</v>
      </c>
      <c r="F461" s="2">
        <v>5</v>
      </c>
      <c r="G461" s="2">
        <v>2</v>
      </c>
      <c r="H461" s="1">
        <v>0</v>
      </c>
      <c r="I461" s="1">
        <f>IF(H461 + I460 &lt; 0, H461 + I460, 0)</f>
        <v>0</v>
      </c>
      <c r="J461" s="1">
        <v>0</v>
      </c>
      <c r="K461" s="1">
        <f>IF(J461 + K460 &lt; 0, J461 + K460, 0)</f>
        <v>0</v>
      </c>
      <c r="L461" s="1">
        <v>0</v>
      </c>
      <c r="M461" s="1">
        <f>IF(L461 + M460 &lt; 0, L461 + M460, 0)</f>
        <v>0</v>
      </c>
      <c r="N461" s="1">
        <v>0</v>
      </c>
      <c r="O461" s="1">
        <f>IF(N461 + O460 &lt; 0, N461 + O460, 0)</f>
        <v>0</v>
      </c>
      <c r="P461" s="1">
        <v>0</v>
      </c>
      <c r="Q461" s="1">
        <f>IF(P461 + Q460 &lt; 0, P461 + Q460, 0)</f>
        <v>0</v>
      </c>
      <c r="R461" s="1">
        <v>0</v>
      </c>
      <c r="S461" s="1">
        <f>IF(R461 + S460 &lt; 0, R461 + S460, 0)</f>
        <v>0</v>
      </c>
      <c r="T461" s="1">
        <v>0</v>
      </c>
      <c r="U461" s="1">
        <f>IF(T461 + U460 &lt; 0, T461 + U460, 0)</f>
        <v>0</v>
      </c>
      <c r="V461" s="1">
        <v>0</v>
      </c>
      <c r="W461" s="1">
        <f>IF(V461 + W460 &lt; 0, V461 + W460, 0)</f>
        <v>0</v>
      </c>
      <c r="X461" s="1">
        <v>0</v>
      </c>
      <c r="Y461" s="1">
        <f>IF(X461 + Y460 &lt; 0, X461 + Y460, 0)</f>
        <v>0</v>
      </c>
      <c r="Z461" s="1">
        <v>0</v>
      </c>
      <c r="AA461" s="1">
        <f>IF(Z461 + AA460 &lt; 0, Z461 + AA460, 0)</f>
        <v>0</v>
      </c>
      <c r="AB461" s="1">
        <v>0</v>
      </c>
      <c r="AC461" s="1">
        <f>IF(AB461 + AC460 &lt; 0, AB461 + AC460, 0)</f>
        <v>0</v>
      </c>
      <c r="AD461" s="1">
        <v>0</v>
      </c>
      <c r="AE461" s="1">
        <f>IF(AD461 + AE460 &lt; 0, AD461 + AE460, 0)</f>
        <v>0</v>
      </c>
      <c r="AF461" s="1">
        <v>0</v>
      </c>
      <c r="AG461" s="1">
        <f>IF(AF461 + AG460 &lt; 0, AF461 + AG460, 0)</f>
        <v>0</v>
      </c>
      <c r="AH461" s="1">
        <v>0</v>
      </c>
      <c r="AI461" s="1">
        <f>IF(AH461 + AI460 &lt; 0, AH461 + AI460, 0)</f>
        <v>0</v>
      </c>
      <c r="AJ461" s="1">
        <v>0</v>
      </c>
      <c r="AK461" s="1">
        <f>IF(AJ461 + AK460 &lt; 0, AJ461 + AK460, 0)</f>
        <v>0</v>
      </c>
    </row>
    <row r="462" spans="1:37" s="1" customFormat="1">
      <c r="A462" s="3">
        <v>45974</v>
      </c>
      <c r="B462" s="2" t="s">
        <v>25</v>
      </c>
      <c r="C462" s="2">
        <v>9</v>
      </c>
      <c r="D462" s="2">
        <v>9</v>
      </c>
      <c r="E462" s="2">
        <v>9</v>
      </c>
      <c r="F462" s="2">
        <v>4</v>
      </c>
      <c r="G462" s="2">
        <v>1</v>
      </c>
      <c r="H462" s="1">
        <v>0</v>
      </c>
      <c r="I462" s="1">
        <f>IF(H462 + I461 &lt; 0, H462 + I461, 0)</f>
        <v>0</v>
      </c>
      <c r="J462" s="1">
        <v>0</v>
      </c>
      <c r="K462" s="1">
        <f>IF(J462 + K461 &lt; 0, J462 + K461, 0)</f>
        <v>0</v>
      </c>
      <c r="L462" s="1">
        <v>0</v>
      </c>
      <c r="M462" s="1">
        <f>IF(L462 + M461 &lt; 0, L462 + M461, 0)</f>
        <v>0</v>
      </c>
      <c r="N462" s="1">
        <v>0</v>
      </c>
      <c r="O462" s="1">
        <f>IF(N462 + O461 &lt; 0, N462 + O461, 0)</f>
        <v>0</v>
      </c>
      <c r="P462" s="1">
        <v>0</v>
      </c>
      <c r="Q462" s="1">
        <f>IF(P462 + Q461 &lt; 0, P462 + Q461, 0)</f>
        <v>0</v>
      </c>
      <c r="R462" s="1">
        <v>0</v>
      </c>
      <c r="S462" s="1">
        <f>IF(R462 + S461 &lt; 0, R462 + S461, 0)</f>
        <v>0</v>
      </c>
      <c r="T462" s="1">
        <v>0</v>
      </c>
      <c r="U462" s="1">
        <f>IF(T462 + U461 &lt; 0, T462 + U461, 0)</f>
        <v>0</v>
      </c>
      <c r="V462" s="1">
        <v>0</v>
      </c>
      <c r="W462" s="1">
        <f>IF(V462 + W461 &lt; 0, V462 + W461, 0)</f>
        <v>0</v>
      </c>
      <c r="X462" s="1">
        <v>0</v>
      </c>
      <c r="Y462" s="1">
        <f>IF(X462 + Y461 &lt; 0, X462 + Y461, 0)</f>
        <v>0</v>
      </c>
      <c r="Z462" s="1">
        <v>0</v>
      </c>
      <c r="AA462" s="1">
        <f>IF(Z462 + AA461 &lt; 0, Z462 + AA461, 0)</f>
        <v>0</v>
      </c>
      <c r="AB462" s="1">
        <v>0</v>
      </c>
      <c r="AC462" s="1">
        <f>IF(AB462 + AC461 &lt; 0, AB462 + AC461, 0)</f>
        <v>0</v>
      </c>
      <c r="AD462" s="1">
        <v>0</v>
      </c>
      <c r="AE462" s="1">
        <f>IF(AD462 + AE461 &lt; 0, AD462 + AE461, 0)</f>
        <v>0</v>
      </c>
      <c r="AF462" s="1">
        <v>-189667.6502855053</v>
      </c>
      <c r="AG462" s="1">
        <f>IF(AF462 + AG461 &lt; 0, AF462 + AG461, 0)</f>
        <v>0</v>
      </c>
      <c r="AH462" s="1">
        <v>-87423.96772489975</v>
      </c>
      <c r="AI462" s="1">
        <f>IF(AH462 + AI461 &lt; 0, AH462 + AI461, 0)</f>
        <v>0</v>
      </c>
      <c r="AJ462" s="1">
        <v>-207500.0207964832</v>
      </c>
      <c r="AK462" s="1">
        <f>IF(AJ462 + AK461 &lt; 0, AJ462 + AK461, 0)</f>
        <v>0</v>
      </c>
    </row>
    <row r="463" spans="1:37" s="1" customFormat="1">
      <c r="A463" s="3">
        <v>45975</v>
      </c>
      <c r="B463" s="2" t="s">
        <v>26</v>
      </c>
      <c r="C463" s="2">
        <v>8</v>
      </c>
      <c r="D463" s="2">
        <v>8</v>
      </c>
      <c r="E463" s="2">
        <v>8</v>
      </c>
      <c r="F463" s="2">
        <v>3</v>
      </c>
      <c r="G463" s="2">
        <v>5</v>
      </c>
      <c r="H463" s="1">
        <v>0</v>
      </c>
      <c r="I463" s="1">
        <f>IF(H463 + I462 &lt; 0, H463 + I462, 0)</f>
        <v>0</v>
      </c>
      <c r="J463" s="1">
        <v>0</v>
      </c>
      <c r="K463" s="1">
        <f>IF(J463 + K462 &lt; 0, J463 + K462, 0)</f>
        <v>0</v>
      </c>
      <c r="L463" s="1">
        <v>0</v>
      </c>
      <c r="M463" s="1">
        <f>IF(L463 + M462 &lt; 0, L463 + M462, 0)</f>
        <v>0</v>
      </c>
      <c r="N463" s="1">
        <v>0</v>
      </c>
      <c r="O463" s="1">
        <f>IF(N463 + O462 &lt; 0, N463 + O462, 0)</f>
        <v>0</v>
      </c>
      <c r="P463" s="1">
        <v>0</v>
      </c>
      <c r="Q463" s="1">
        <f>IF(P463 + Q462 &lt; 0, P463 + Q462, 0)</f>
        <v>0</v>
      </c>
      <c r="R463" s="1">
        <v>0</v>
      </c>
      <c r="S463" s="1">
        <f>IF(R463 + S462 &lt; 0, R463 + S462, 0)</f>
        <v>0</v>
      </c>
      <c r="T463" s="1">
        <v>0</v>
      </c>
      <c r="U463" s="1">
        <f>IF(T463 + U462 &lt; 0, T463 + U462, 0)</f>
        <v>0</v>
      </c>
      <c r="V463" s="1">
        <v>0</v>
      </c>
      <c r="W463" s="1">
        <f>IF(V463 + W462 &lt; 0, V463 + W462, 0)</f>
        <v>0</v>
      </c>
      <c r="X463" s="1">
        <v>0</v>
      </c>
      <c r="Y463" s="1">
        <f>IF(X463 + Y462 &lt; 0, X463 + Y462, 0)</f>
        <v>0</v>
      </c>
      <c r="Z463" s="1">
        <v>0</v>
      </c>
      <c r="AA463" s="1">
        <f>IF(Z463 + AA462 &lt; 0, Z463 + AA462, 0)</f>
        <v>0</v>
      </c>
      <c r="AB463" s="1">
        <v>0</v>
      </c>
      <c r="AC463" s="1">
        <f>IF(AB463 + AC462 &lt; 0, AB463 + AC462, 0)</f>
        <v>0</v>
      </c>
      <c r="AD463" s="1">
        <v>0</v>
      </c>
      <c r="AE463" s="1">
        <f>IF(AD463 + AE462 &lt; 0, AD463 + AE462, 0)</f>
        <v>0</v>
      </c>
      <c r="AF463" s="1">
        <v>0</v>
      </c>
      <c r="AG463" s="1">
        <f>IF(AF463 + AG462 &lt; 0, AF463 + AG462, 0)</f>
        <v>0</v>
      </c>
      <c r="AH463" s="1">
        <v>0</v>
      </c>
      <c r="AI463" s="1">
        <f>IF(AH463 + AI462 &lt; 0, AH463 + AI462, 0)</f>
        <v>0</v>
      </c>
      <c r="AJ463" s="1">
        <v>0</v>
      </c>
      <c r="AK463" s="1">
        <f>IF(AJ463 + AK462 &lt; 0, AJ463 + AK462, 0)</f>
        <v>0</v>
      </c>
    </row>
    <row r="464" spans="1:37" s="1" customFormat="1">
      <c r="A464" s="3">
        <v>45978</v>
      </c>
      <c r="B464" s="2" t="s">
        <v>22</v>
      </c>
      <c r="C464" s="2">
        <v>7</v>
      </c>
      <c r="D464" s="2">
        <v>7</v>
      </c>
      <c r="E464" s="2">
        <v>7</v>
      </c>
      <c r="F464" s="2">
        <v>2</v>
      </c>
      <c r="G464" s="2">
        <v>4</v>
      </c>
      <c r="H464" s="1">
        <v>0</v>
      </c>
      <c r="I464" s="1">
        <f>IF(H464 + I463 &lt; 0, H464 + I463, 0)</f>
        <v>0</v>
      </c>
      <c r="J464" s="1">
        <v>0</v>
      </c>
      <c r="K464" s="1">
        <f>IF(J464 + K463 &lt; 0, J464 + K463, 0)</f>
        <v>0</v>
      </c>
      <c r="L464" s="1">
        <v>0</v>
      </c>
      <c r="M464" s="1">
        <f>IF(L464 + M463 &lt; 0, L464 + M463, 0)</f>
        <v>0</v>
      </c>
      <c r="N464" s="1">
        <v>0</v>
      </c>
      <c r="O464" s="1">
        <f>IF(N464 + O463 &lt; 0, N464 + O463, 0)</f>
        <v>0</v>
      </c>
      <c r="P464" s="1">
        <v>0</v>
      </c>
      <c r="Q464" s="1">
        <f>IF(P464 + Q463 &lt; 0, P464 + Q463, 0)</f>
        <v>0</v>
      </c>
      <c r="R464" s="1">
        <v>0</v>
      </c>
      <c r="S464" s="1">
        <f>IF(R464 + S463 &lt; 0, R464 + S463, 0)</f>
        <v>0</v>
      </c>
      <c r="T464" s="1">
        <v>0</v>
      </c>
      <c r="U464" s="1">
        <f>IF(T464 + U463 &lt; 0, T464 + U463, 0)</f>
        <v>0</v>
      </c>
      <c r="V464" s="1">
        <v>0</v>
      </c>
      <c r="W464" s="1">
        <f>IF(V464 + W463 &lt; 0, V464 + W463, 0)</f>
        <v>0</v>
      </c>
      <c r="X464" s="1">
        <v>0</v>
      </c>
      <c r="Y464" s="1">
        <f>IF(X464 + Y463 &lt; 0, X464 + Y463, 0)</f>
        <v>0</v>
      </c>
      <c r="Z464" s="1">
        <v>0</v>
      </c>
      <c r="AA464" s="1">
        <f>IF(Z464 + AA463 &lt; 0, Z464 + AA463, 0)</f>
        <v>0</v>
      </c>
      <c r="AB464" s="1">
        <v>0</v>
      </c>
      <c r="AC464" s="1">
        <f>IF(AB464 + AC463 &lt; 0, AB464 + AC463, 0)</f>
        <v>0</v>
      </c>
      <c r="AD464" s="1">
        <v>0</v>
      </c>
      <c r="AE464" s="1">
        <f>IF(AD464 + AE463 &lt; 0, AD464 + AE463, 0)</f>
        <v>0</v>
      </c>
      <c r="AF464" s="1">
        <v>0</v>
      </c>
      <c r="AG464" s="1">
        <f>IF(AF464 + AG463 &lt; 0, AF464 + AG463, 0)</f>
        <v>0</v>
      </c>
      <c r="AH464" s="1">
        <v>0</v>
      </c>
      <c r="AI464" s="1">
        <f>IF(AH464 + AI463 &lt; 0, AH464 + AI463, 0)</f>
        <v>0</v>
      </c>
      <c r="AJ464" s="1">
        <v>0</v>
      </c>
      <c r="AK464" s="1">
        <f>IF(AJ464 + AK463 &lt; 0, AJ464 + AK463, 0)</f>
        <v>0</v>
      </c>
    </row>
    <row r="465" spans="1:37" s="1" customFormat="1">
      <c r="A465" s="3">
        <v>45979</v>
      </c>
      <c r="B465" s="2" t="s">
        <v>23</v>
      </c>
      <c r="C465" s="2">
        <v>6</v>
      </c>
      <c r="D465" s="2">
        <v>6</v>
      </c>
      <c r="E465" s="2">
        <v>6</v>
      </c>
      <c r="F465" s="2">
        <v>1</v>
      </c>
      <c r="G465" s="2">
        <v>3</v>
      </c>
      <c r="H465" s="1">
        <v>0</v>
      </c>
      <c r="I465" s="1">
        <f>IF(H465 + I464 &lt; 0, H465 + I464, 0)</f>
        <v>0</v>
      </c>
      <c r="J465" s="1">
        <v>0</v>
      </c>
      <c r="K465" s="1">
        <f>IF(J465 + K464 &lt; 0, J465 + K464, 0)</f>
        <v>0</v>
      </c>
      <c r="L465" s="1">
        <v>0</v>
      </c>
      <c r="M465" s="1">
        <f>IF(L465 + M464 &lt; 0, L465 + M464, 0)</f>
        <v>0</v>
      </c>
      <c r="N465" s="1">
        <v>0</v>
      </c>
      <c r="O465" s="1">
        <f>IF(N465 + O464 &lt; 0, N465 + O464, 0)</f>
        <v>0</v>
      </c>
      <c r="P465" s="1">
        <v>0</v>
      </c>
      <c r="Q465" s="1">
        <f>IF(P465 + Q464 &lt; 0, P465 + Q464, 0)</f>
        <v>0</v>
      </c>
      <c r="R465" s="1">
        <v>0</v>
      </c>
      <c r="S465" s="1">
        <f>IF(R465 + S464 &lt; 0, R465 + S464, 0)</f>
        <v>0</v>
      </c>
      <c r="T465" s="1">
        <v>0</v>
      </c>
      <c r="U465" s="1">
        <f>IF(T465 + U464 &lt; 0, T465 + U464, 0)</f>
        <v>0</v>
      </c>
      <c r="V465" s="1">
        <v>0</v>
      </c>
      <c r="W465" s="1">
        <f>IF(V465 + W464 &lt; 0, V465 + W464, 0)</f>
        <v>0</v>
      </c>
      <c r="X465" s="1">
        <v>0</v>
      </c>
      <c r="Y465" s="1">
        <f>IF(X465 + Y464 &lt; 0, X465 + Y464, 0)</f>
        <v>0</v>
      </c>
      <c r="Z465" s="1">
        <v>727383.8523185365</v>
      </c>
      <c r="AA465" s="1">
        <f>IF(Z465 + AA464 &lt; 0, Z465 + AA464, 0)</f>
        <v>0</v>
      </c>
      <c r="AB465" s="1">
        <v>794915.4057212349</v>
      </c>
      <c r="AC465" s="1">
        <f>IF(AB465 + AC464 &lt; 0, AB465 + AC464, 0)</f>
        <v>0</v>
      </c>
      <c r="AD465" s="1">
        <v>266815.8831106015</v>
      </c>
      <c r="AE465" s="1">
        <f>IF(AD465 + AE464 &lt; 0, AD465 + AE464, 0)</f>
        <v>0</v>
      </c>
      <c r="AF465" s="1">
        <v>0</v>
      </c>
      <c r="AG465" s="1">
        <f>IF(AF465 + AG464 &lt; 0, AF465 + AG464, 0)</f>
        <v>0</v>
      </c>
      <c r="AH465" s="1">
        <v>0</v>
      </c>
      <c r="AI465" s="1">
        <f>IF(AH465 + AI464 &lt; 0, AH465 + AI464, 0)</f>
        <v>0</v>
      </c>
      <c r="AJ465" s="1">
        <v>0</v>
      </c>
      <c r="AK465" s="1">
        <f>IF(AJ465 + AK464 &lt; 0, AJ465 + AK464, 0)</f>
        <v>0</v>
      </c>
    </row>
    <row r="466" spans="1:37" s="1" customFormat="1">
      <c r="A466" s="3">
        <v>45980</v>
      </c>
      <c r="B466" s="2" t="s">
        <v>24</v>
      </c>
      <c r="C466" s="2">
        <v>5</v>
      </c>
      <c r="D466" s="2">
        <v>5</v>
      </c>
      <c r="E466" s="2">
        <v>5</v>
      </c>
      <c r="F466" s="2">
        <v>5</v>
      </c>
      <c r="G466" s="2">
        <v>2</v>
      </c>
      <c r="H466" s="1">
        <v>0</v>
      </c>
      <c r="I466" s="1">
        <f>IF(H466 + I465 &lt; 0, H466 + I465, 0)</f>
        <v>0</v>
      </c>
      <c r="J466" s="1">
        <v>0</v>
      </c>
      <c r="K466" s="1">
        <f>IF(J466 + K465 &lt; 0, J466 + K465, 0)</f>
        <v>0</v>
      </c>
      <c r="L466" s="1">
        <v>0</v>
      </c>
      <c r="M466" s="1">
        <f>IF(L466 + M465 &lt; 0, L466 + M465, 0)</f>
        <v>0</v>
      </c>
      <c r="N466" s="1">
        <v>0</v>
      </c>
      <c r="O466" s="1">
        <f>IF(N466 + O465 &lt; 0, N466 + O465, 0)</f>
        <v>0</v>
      </c>
      <c r="P466" s="1">
        <v>0</v>
      </c>
      <c r="Q466" s="1">
        <f>IF(P466 + Q465 &lt; 0, P466 + Q465, 0)</f>
        <v>0</v>
      </c>
      <c r="R466" s="1">
        <v>0</v>
      </c>
      <c r="S466" s="1">
        <f>IF(R466 + S465 &lt; 0, R466 + S465, 0)</f>
        <v>0</v>
      </c>
      <c r="T466" s="1">
        <v>0</v>
      </c>
      <c r="U466" s="1">
        <f>IF(T466 + U465 &lt; 0, T466 + U465, 0)</f>
        <v>0</v>
      </c>
      <c r="V466" s="1">
        <v>0</v>
      </c>
      <c r="W466" s="1">
        <f>IF(V466 + W465 &lt; 0, V466 + W465, 0)</f>
        <v>0</v>
      </c>
      <c r="X466" s="1">
        <v>0</v>
      </c>
      <c r="Y466" s="1">
        <f>IF(X466 + Y465 &lt; 0, X466 + Y465, 0)</f>
        <v>0</v>
      </c>
      <c r="Z466" s="1">
        <v>0</v>
      </c>
      <c r="AA466" s="1">
        <f>IF(Z466 + AA465 &lt; 0, Z466 + AA465, 0)</f>
        <v>0</v>
      </c>
      <c r="AB466" s="1">
        <v>0</v>
      </c>
      <c r="AC466" s="1">
        <f>IF(AB466 + AC465 &lt; 0, AB466 + AC465, 0)</f>
        <v>0</v>
      </c>
      <c r="AD466" s="1">
        <v>0</v>
      </c>
      <c r="AE466" s="1">
        <f>IF(AD466 + AE465 &lt; 0, AD466 + AE465, 0)</f>
        <v>0</v>
      </c>
      <c r="AF466" s="1">
        <v>0</v>
      </c>
      <c r="AG466" s="1">
        <f>IF(AF466 + AG465 &lt; 0, AF466 + AG465, 0)</f>
        <v>0</v>
      </c>
      <c r="AH466" s="1">
        <v>0</v>
      </c>
      <c r="AI466" s="1">
        <f>IF(AH466 + AI465 &lt; 0, AH466 + AI465, 0)</f>
        <v>0</v>
      </c>
      <c r="AJ466" s="1">
        <v>0</v>
      </c>
      <c r="AK466" s="1">
        <f>IF(AJ466 + AK465 &lt; 0, AJ466 + AK465, 0)</f>
        <v>0</v>
      </c>
    </row>
    <row r="467" spans="1:37" s="1" customFormat="1">
      <c r="A467" s="3">
        <v>45981</v>
      </c>
      <c r="B467" s="2" t="s">
        <v>25</v>
      </c>
      <c r="C467" s="2">
        <v>4</v>
      </c>
      <c r="D467" s="2">
        <v>4</v>
      </c>
      <c r="E467" s="2">
        <v>4</v>
      </c>
      <c r="F467" s="2">
        <v>4</v>
      </c>
      <c r="G467" s="2">
        <v>1</v>
      </c>
      <c r="H467" s="1">
        <v>0</v>
      </c>
      <c r="I467" s="1">
        <f>IF(H467 + I466 &lt; 0, H467 + I466, 0)</f>
        <v>0</v>
      </c>
      <c r="J467" s="1">
        <v>0</v>
      </c>
      <c r="K467" s="1">
        <f>IF(J467 + K466 &lt; 0, J467 + K466, 0)</f>
        <v>0</v>
      </c>
      <c r="L467" s="1">
        <v>0</v>
      </c>
      <c r="M467" s="1">
        <f>IF(L467 + M466 &lt; 0, L467 + M466, 0)</f>
        <v>0</v>
      </c>
      <c r="N467" s="1">
        <v>0</v>
      </c>
      <c r="O467" s="1">
        <f>IF(N467 + O466 &lt; 0, N467 + O466, 0)</f>
        <v>0</v>
      </c>
      <c r="P467" s="1">
        <v>0</v>
      </c>
      <c r="Q467" s="1">
        <f>IF(P467 + Q466 &lt; 0, P467 + Q466, 0)</f>
        <v>0</v>
      </c>
      <c r="R467" s="1">
        <v>0</v>
      </c>
      <c r="S467" s="1">
        <f>IF(R467 + S466 &lt; 0, R467 + S466, 0)</f>
        <v>0</v>
      </c>
      <c r="T467" s="1">
        <v>0</v>
      </c>
      <c r="U467" s="1">
        <f>IF(T467 + U466 &lt; 0, T467 + U466, 0)</f>
        <v>0</v>
      </c>
      <c r="V467" s="1">
        <v>0</v>
      </c>
      <c r="W467" s="1">
        <f>IF(V467 + W466 &lt; 0, V467 + W466, 0)</f>
        <v>0</v>
      </c>
      <c r="X467" s="1">
        <v>0</v>
      </c>
      <c r="Y467" s="1">
        <f>IF(X467 + Y466 &lt; 0, X467 + Y466, 0)</f>
        <v>0</v>
      </c>
      <c r="Z467" s="1">
        <v>0</v>
      </c>
      <c r="AA467" s="1">
        <f>IF(Z467 + AA466 &lt; 0, Z467 + AA466, 0)</f>
        <v>0</v>
      </c>
      <c r="AB467" s="1">
        <v>0</v>
      </c>
      <c r="AC467" s="1">
        <f>IF(AB467 + AC466 &lt; 0, AB467 + AC466, 0)</f>
        <v>0</v>
      </c>
      <c r="AD467" s="1">
        <v>0</v>
      </c>
      <c r="AE467" s="1">
        <f>IF(AD467 + AE466 &lt; 0, AD467 + AE466, 0)</f>
        <v>0</v>
      </c>
      <c r="AF467" s="1">
        <v>423195.344041836</v>
      </c>
      <c r="AG467" s="1">
        <f>IF(AF467 + AG466 &lt; 0, AF467 + AG466, 0)</f>
        <v>0</v>
      </c>
      <c r="AH467" s="1">
        <v>293666.8116683937</v>
      </c>
      <c r="AI467" s="1">
        <f>IF(AH467 + AI466 &lt; 0, AH467 + AI466, 0)</f>
        <v>0</v>
      </c>
      <c r="AJ467" s="1">
        <v>83308.74600755898</v>
      </c>
      <c r="AK467" s="1">
        <f>IF(AJ467 + AK466 &lt; 0, AJ467 + AK466, 0)</f>
        <v>0</v>
      </c>
    </row>
    <row r="468" spans="1:37" s="1" customFormat="1">
      <c r="A468" s="3">
        <v>45982</v>
      </c>
      <c r="B468" s="2" t="s">
        <v>26</v>
      </c>
      <c r="C468" s="2">
        <v>3</v>
      </c>
      <c r="D468" s="2">
        <v>3</v>
      </c>
      <c r="E468" s="2">
        <v>3</v>
      </c>
      <c r="F468" s="2">
        <v>3</v>
      </c>
      <c r="G468" s="2">
        <v>5</v>
      </c>
      <c r="H468" s="1">
        <v>0</v>
      </c>
      <c r="I468" s="1">
        <f>IF(H468 + I467 &lt; 0, H468 + I467, 0)</f>
        <v>0</v>
      </c>
      <c r="J468" s="1">
        <v>0</v>
      </c>
      <c r="K468" s="1">
        <f>IF(J468 + K467 &lt; 0, J468 + K467, 0)</f>
        <v>0</v>
      </c>
      <c r="L468" s="1">
        <v>0</v>
      </c>
      <c r="M468" s="1">
        <f>IF(L468 + M467 &lt; 0, L468 + M467, 0)</f>
        <v>0</v>
      </c>
      <c r="N468" s="1">
        <v>0</v>
      </c>
      <c r="O468" s="1">
        <f>IF(N468 + O467 &lt; 0, N468 + O467, 0)</f>
        <v>0</v>
      </c>
      <c r="P468" s="1">
        <v>0</v>
      </c>
      <c r="Q468" s="1">
        <f>IF(P468 + Q467 &lt; 0, P468 + Q467, 0)</f>
        <v>0</v>
      </c>
      <c r="R468" s="1">
        <v>0</v>
      </c>
      <c r="S468" s="1">
        <f>IF(R468 + S467 &lt; 0, R468 + S467, 0)</f>
        <v>0</v>
      </c>
      <c r="T468" s="1">
        <v>0</v>
      </c>
      <c r="U468" s="1">
        <f>IF(T468 + U467 &lt; 0, T468 + U467, 0)</f>
        <v>0</v>
      </c>
      <c r="V468" s="1">
        <v>0</v>
      </c>
      <c r="W468" s="1">
        <f>IF(V468 + W467 &lt; 0, V468 + W467, 0)</f>
        <v>0</v>
      </c>
      <c r="X468" s="1">
        <v>0</v>
      </c>
      <c r="Y468" s="1">
        <f>IF(X468 + Y467 &lt; 0, X468 + Y467, 0)</f>
        <v>0</v>
      </c>
      <c r="Z468" s="1">
        <v>0</v>
      </c>
      <c r="AA468" s="1">
        <f>IF(Z468 + AA467 &lt; 0, Z468 + AA467, 0)</f>
        <v>0</v>
      </c>
      <c r="AB468" s="1">
        <v>0</v>
      </c>
      <c r="AC468" s="1">
        <f>IF(AB468 + AC467 &lt; 0, AB468 + AC467, 0)</f>
        <v>0</v>
      </c>
      <c r="AD468" s="1">
        <v>0</v>
      </c>
      <c r="AE468" s="1">
        <f>IF(AD468 + AE467 &lt; 0, AD468 + AE467, 0)</f>
        <v>0</v>
      </c>
      <c r="AF468" s="1">
        <v>0</v>
      </c>
      <c r="AG468" s="1">
        <f>IF(AF468 + AG467 &lt; 0, AF468 + AG467, 0)</f>
        <v>0</v>
      </c>
      <c r="AH468" s="1">
        <v>0</v>
      </c>
      <c r="AI468" s="1">
        <f>IF(AH468 + AI467 &lt; 0, AH468 + AI467, 0)</f>
        <v>0</v>
      </c>
      <c r="AJ468" s="1">
        <v>0</v>
      </c>
      <c r="AK468" s="1">
        <f>IF(AJ468 + AK467 &lt; 0, AJ468 + AK467, 0)</f>
        <v>0</v>
      </c>
    </row>
    <row r="469" spans="1:37" s="1" customFormat="1">
      <c r="A469" s="3">
        <v>45985</v>
      </c>
      <c r="B469" s="2" t="s">
        <v>22</v>
      </c>
      <c r="C469" s="2">
        <v>2</v>
      </c>
      <c r="D469" s="2">
        <v>2</v>
      </c>
      <c r="E469" s="2">
        <v>2</v>
      </c>
      <c r="F469" s="2">
        <v>2</v>
      </c>
      <c r="G469" s="2">
        <v>4</v>
      </c>
      <c r="H469" s="1">
        <v>0</v>
      </c>
      <c r="I469" s="1">
        <f>IF(H469 + I468 &lt; 0, H469 + I468, 0)</f>
        <v>0</v>
      </c>
      <c r="J469" s="1">
        <v>0</v>
      </c>
      <c r="K469" s="1">
        <f>IF(J469 + K468 &lt; 0, J469 + K468, 0)</f>
        <v>0</v>
      </c>
      <c r="L469" s="1">
        <v>0</v>
      </c>
      <c r="M469" s="1">
        <f>IF(L469 + M468 &lt; 0, L469 + M468, 0)</f>
        <v>0</v>
      </c>
      <c r="N469" s="1">
        <v>0</v>
      </c>
      <c r="O469" s="1">
        <f>IF(N469 + O468 &lt; 0, N469 + O468, 0)</f>
        <v>0</v>
      </c>
      <c r="P469" s="1">
        <v>0</v>
      </c>
      <c r="Q469" s="1">
        <f>IF(P469 + Q468 &lt; 0, P469 + Q468, 0)</f>
        <v>0</v>
      </c>
      <c r="R469" s="1">
        <v>0</v>
      </c>
      <c r="S469" s="1">
        <f>IF(R469 + S468 &lt; 0, R469 + S468, 0)</f>
        <v>0</v>
      </c>
      <c r="T469" s="1">
        <v>0</v>
      </c>
      <c r="U469" s="1">
        <f>IF(T469 + U468 &lt; 0, T469 + U468, 0)</f>
        <v>0</v>
      </c>
      <c r="V469" s="1">
        <v>0</v>
      </c>
      <c r="W469" s="1">
        <f>IF(V469 + W468 &lt; 0, V469 + W468, 0)</f>
        <v>0</v>
      </c>
      <c r="X469" s="1">
        <v>0</v>
      </c>
      <c r="Y469" s="1">
        <f>IF(X469 + Y468 &lt; 0, X469 + Y468, 0)</f>
        <v>0</v>
      </c>
      <c r="Z469" s="1">
        <v>0</v>
      </c>
      <c r="AA469" s="1">
        <f>IF(Z469 + AA468 &lt; 0, Z469 + AA468, 0)</f>
        <v>0</v>
      </c>
      <c r="AB469" s="1">
        <v>0</v>
      </c>
      <c r="AC469" s="1">
        <f>IF(AB469 + AC468 &lt; 0, AB469 + AC468, 0)</f>
        <v>0</v>
      </c>
      <c r="AD469" s="1">
        <v>0</v>
      </c>
      <c r="AE469" s="1">
        <f>IF(AD469 + AE468 &lt; 0, AD469 + AE468, 0)</f>
        <v>0</v>
      </c>
      <c r="AF469" s="1">
        <v>0</v>
      </c>
      <c r="AG469" s="1">
        <f>IF(AF469 + AG468 &lt; 0, AF469 + AG468, 0)</f>
        <v>0</v>
      </c>
      <c r="AH469" s="1">
        <v>0</v>
      </c>
      <c r="AI469" s="1">
        <f>IF(AH469 + AI468 &lt; 0, AH469 + AI468, 0)</f>
        <v>0</v>
      </c>
      <c r="AJ469" s="1">
        <v>0</v>
      </c>
      <c r="AK469" s="1">
        <f>IF(AJ469 + AK468 &lt; 0, AJ469 + AK468, 0)</f>
        <v>0</v>
      </c>
    </row>
    <row r="470" spans="1:37" s="1" customFormat="1">
      <c r="A470" s="3">
        <v>45986</v>
      </c>
      <c r="B470" s="2" t="s">
        <v>23</v>
      </c>
      <c r="C470" s="2">
        <v>1</v>
      </c>
      <c r="D470" s="2">
        <v>1</v>
      </c>
      <c r="E470" s="2">
        <v>1</v>
      </c>
      <c r="F470" s="2">
        <v>1</v>
      </c>
      <c r="G470" s="2">
        <v>3</v>
      </c>
      <c r="H470" s="1">
        <v>0</v>
      </c>
      <c r="I470" s="1">
        <f>IF(H470 + I469 &lt; 0, H470 + I469, 0)</f>
        <v>0</v>
      </c>
      <c r="J470" s="1">
        <v>0</v>
      </c>
      <c r="K470" s="1">
        <f>IF(J470 + K469 &lt; 0, J470 + K469, 0)</f>
        <v>0</v>
      </c>
      <c r="L470" s="1">
        <v>0</v>
      </c>
      <c r="M470" s="1">
        <f>IF(L470 + M469 &lt; 0, L470 + M469, 0)</f>
        <v>0</v>
      </c>
      <c r="N470" s="1">
        <v>0</v>
      </c>
      <c r="O470" s="1">
        <f>IF(N470 + O469 &lt; 0, N470 + O469, 0)</f>
        <v>0</v>
      </c>
      <c r="P470" s="1">
        <v>0</v>
      </c>
      <c r="Q470" s="1">
        <f>IF(P470 + Q469 &lt; 0, P470 + Q469, 0)</f>
        <v>0</v>
      </c>
      <c r="R470" s="1">
        <v>0</v>
      </c>
      <c r="S470" s="1">
        <f>IF(R470 + S469 &lt; 0, R470 + S469, 0)</f>
        <v>0</v>
      </c>
      <c r="T470" s="1">
        <v>0</v>
      </c>
      <c r="U470" s="1">
        <f>IF(T470 + U469 &lt; 0, T470 + U469, 0)</f>
        <v>0</v>
      </c>
      <c r="V470" s="1">
        <v>0</v>
      </c>
      <c r="W470" s="1">
        <f>IF(V470 + W469 &lt; 0, V470 + W469, 0)</f>
        <v>0</v>
      </c>
      <c r="X470" s="1">
        <v>0</v>
      </c>
      <c r="Y470" s="1">
        <f>IF(X470 + Y469 &lt; 0, X470 + Y469, 0)</f>
        <v>0</v>
      </c>
      <c r="Z470" s="1">
        <v>369516.1046217526</v>
      </c>
      <c r="AA470" s="1">
        <f>IF(Z470 + AA469 &lt; 0, Z470 + AA469, 0)</f>
        <v>0</v>
      </c>
      <c r="AB470" s="1">
        <v>397321.4286508929</v>
      </c>
      <c r="AC470" s="1">
        <f>IF(AB470 + AC469 &lt; 0, AB470 + AC469, 0)</f>
        <v>0</v>
      </c>
      <c r="AD470" s="1">
        <v>390668.7210783818</v>
      </c>
      <c r="AE470" s="1">
        <f>IF(AD470 + AE469 &lt; 0, AD470 + AE469, 0)</f>
        <v>0</v>
      </c>
      <c r="AF470" s="1">
        <v>0</v>
      </c>
      <c r="AG470" s="1">
        <f>IF(AF470 + AG469 &lt; 0, AF470 + AG469, 0)</f>
        <v>0</v>
      </c>
      <c r="AH470" s="1">
        <v>0</v>
      </c>
      <c r="AI470" s="1">
        <f>IF(AH470 + AI469 &lt; 0, AH470 + AI469, 0)</f>
        <v>0</v>
      </c>
      <c r="AJ470" s="1">
        <v>0</v>
      </c>
      <c r="AK470" s="1">
        <f>IF(AJ470 + AK469 &lt; 0, AJ470 + AK469, 0)</f>
        <v>0</v>
      </c>
    </row>
    <row r="471" spans="1:37" s="1" customFormat="1">
      <c r="A471" s="3">
        <v>45987</v>
      </c>
      <c r="B471" s="2" t="s">
        <v>24</v>
      </c>
      <c r="C471" s="2">
        <v>24</v>
      </c>
      <c r="D471" s="2">
        <v>24</v>
      </c>
      <c r="E471" s="2">
        <v>24</v>
      </c>
      <c r="F471" s="2">
        <v>5</v>
      </c>
      <c r="G471" s="2">
        <v>2</v>
      </c>
      <c r="H471" s="1">
        <v>0</v>
      </c>
      <c r="I471" s="1">
        <f>IF(H471 + I470 &lt; 0, H471 + I470, 0)</f>
        <v>0</v>
      </c>
      <c r="J471" s="1">
        <v>0</v>
      </c>
      <c r="K471" s="1">
        <f>IF(J471 + K470 &lt; 0, J471 + K470, 0)</f>
        <v>0</v>
      </c>
      <c r="L471" s="1">
        <v>0</v>
      </c>
      <c r="M471" s="1">
        <f>IF(L471 + M470 &lt; 0, L471 + M470, 0)</f>
        <v>0</v>
      </c>
      <c r="N471" s="1">
        <v>0</v>
      </c>
      <c r="O471" s="1">
        <f>IF(N471 + O470 &lt; 0, N471 + O470, 0)</f>
        <v>0</v>
      </c>
      <c r="P471" s="1">
        <v>0</v>
      </c>
      <c r="Q471" s="1">
        <f>IF(P471 + Q470 &lt; 0, P471 + Q470, 0)</f>
        <v>0</v>
      </c>
      <c r="R471" s="1">
        <v>0</v>
      </c>
      <c r="S471" s="1">
        <f>IF(R471 + S470 &lt; 0, R471 + S470, 0)</f>
        <v>0</v>
      </c>
      <c r="T471" s="1">
        <v>0</v>
      </c>
      <c r="U471" s="1">
        <f>IF(T471 + U470 &lt; 0, T471 + U470, 0)</f>
        <v>0</v>
      </c>
      <c r="V471" s="1">
        <v>0</v>
      </c>
      <c r="W471" s="1">
        <f>IF(V471 + W470 &lt; 0, V471 + W470, 0)</f>
        <v>0</v>
      </c>
      <c r="X471" s="1">
        <v>0</v>
      </c>
      <c r="Y471" s="1">
        <f>IF(X471 + Y470 &lt; 0, X471 + Y470, 0)</f>
        <v>0</v>
      </c>
      <c r="Z471" s="1">
        <v>0</v>
      </c>
      <c r="AA471" s="1">
        <f>IF(Z471 + AA470 &lt; 0, Z471 + AA470, 0)</f>
        <v>0</v>
      </c>
      <c r="AB471" s="1">
        <v>0</v>
      </c>
      <c r="AC471" s="1">
        <f>IF(AB471 + AC470 &lt; 0, AB471 + AC470, 0)</f>
        <v>0</v>
      </c>
      <c r="AD471" s="1">
        <v>0</v>
      </c>
      <c r="AE471" s="1">
        <f>IF(AD471 + AE470 &lt; 0, AD471 + AE470, 0)</f>
        <v>0</v>
      </c>
      <c r="AF471" s="1">
        <v>0</v>
      </c>
      <c r="AG471" s="1">
        <f>IF(AF471 + AG470 &lt; 0, AF471 + AG470, 0)</f>
        <v>0</v>
      </c>
      <c r="AH471" s="1">
        <v>0</v>
      </c>
      <c r="AI471" s="1">
        <f>IF(AH471 + AI470 &lt; 0, AH471 + AI470, 0)</f>
        <v>0</v>
      </c>
      <c r="AJ471" s="1">
        <v>0</v>
      </c>
      <c r="AK471" s="1">
        <f>IF(AJ471 + AK470 &lt; 0, AJ471 + AK470, 0)</f>
        <v>0</v>
      </c>
    </row>
    <row r="472" spans="1:37" s="1" customFormat="1">
      <c r="A472" s="3">
        <v>45988</v>
      </c>
      <c r="B472" s="2" t="s">
        <v>25</v>
      </c>
      <c r="C472" s="2">
        <v>23</v>
      </c>
      <c r="D472" s="2">
        <v>23</v>
      </c>
      <c r="E472" s="2">
        <v>23</v>
      </c>
      <c r="F472" s="2">
        <v>4</v>
      </c>
      <c r="G472" s="2">
        <v>1</v>
      </c>
      <c r="H472" s="1">
        <v>0</v>
      </c>
      <c r="I472" s="1">
        <f>IF(H472 + I471 &lt; 0, H472 + I471, 0)</f>
        <v>0</v>
      </c>
      <c r="J472" s="1">
        <v>0</v>
      </c>
      <c r="K472" s="1">
        <f>IF(J472 + K471 &lt; 0, J472 + K471, 0)</f>
        <v>0</v>
      </c>
      <c r="L472" s="1">
        <v>0</v>
      </c>
      <c r="M472" s="1">
        <f>IF(L472 + M471 &lt; 0, L472 + M471, 0)</f>
        <v>0</v>
      </c>
      <c r="N472" s="1">
        <v>0</v>
      </c>
      <c r="O472" s="1">
        <f>IF(N472 + O471 &lt; 0, N472 + O471, 0)</f>
        <v>0</v>
      </c>
      <c r="P472" s="1">
        <v>0</v>
      </c>
      <c r="Q472" s="1">
        <f>IF(P472 + Q471 &lt; 0, P472 + Q471, 0)</f>
        <v>0</v>
      </c>
      <c r="R472" s="1">
        <v>0</v>
      </c>
      <c r="S472" s="1">
        <f>IF(R472 + S471 &lt; 0, R472 + S471, 0)</f>
        <v>0</v>
      </c>
      <c r="T472" s="1">
        <v>0</v>
      </c>
      <c r="U472" s="1">
        <f>IF(T472 + U471 &lt; 0, T472 + U471, 0)</f>
        <v>0</v>
      </c>
      <c r="V472" s="1">
        <v>0</v>
      </c>
      <c r="W472" s="1">
        <f>IF(V472 + W471 &lt; 0, V472 + W471, 0)</f>
        <v>0</v>
      </c>
      <c r="X472" s="1">
        <v>0</v>
      </c>
      <c r="Y472" s="1">
        <f>IF(X472 + Y471 &lt; 0, X472 + Y471, 0)</f>
        <v>0</v>
      </c>
      <c r="Z472" s="1">
        <v>0</v>
      </c>
      <c r="AA472" s="1">
        <f>IF(Z472 + AA471 &lt; 0, Z472 + AA471, 0)</f>
        <v>0</v>
      </c>
      <c r="AB472" s="1">
        <v>0</v>
      </c>
      <c r="AC472" s="1">
        <f>IF(AB472 + AC471 &lt; 0, AB472 + AC471, 0)</f>
        <v>0</v>
      </c>
      <c r="AD472" s="1">
        <v>0</v>
      </c>
      <c r="AE472" s="1">
        <f>IF(AD472 + AE471 &lt; 0, AD472 + AE471, 0)</f>
        <v>0</v>
      </c>
      <c r="AF472" s="1">
        <v>12796.43586184727</v>
      </c>
      <c r="AG472" s="1">
        <f>IF(AF472 + AG471 &lt; 0, AF472 + AG471, 0)</f>
        <v>0</v>
      </c>
      <c r="AH472" s="1">
        <v>-373703.3090268922</v>
      </c>
      <c r="AI472" s="1">
        <f>IF(AH472 + AI471 &lt; 0, AH472 + AI471, 0)</f>
        <v>0</v>
      </c>
      <c r="AJ472" s="1">
        <v>-29809.08863207688</v>
      </c>
      <c r="AK472" s="1">
        <f>IF(AJ472 + AK471 &lt; 0, AJ472 + AK471, 0)</f>
        <v>0</v>
      </c>
    </row>
    <row r="473" spans="1:37" s="1" customFormat="1">
      <c r="A473" s="3">
        <v>45989</v>
      </c>
      <c r="B473" s="2" t="s">
        <v>26</v>
      </c>
      <c r="C473" s="2">
        <v>22</v>
      </c>
      <c r="D473" s="2">
        <v>22</v>
      </c>
      <c r="E473" s="2">
        <v>22</v>
      </c>
      <c r="F473" s="2">
        <v>3</v>
      </c>
      <c r="G473" s="2">
        <v>5</v>
      </c>
      <c r="H473" s="1">
        <v>0</v>
      </c>
      <c r="I473" s="1">
        <f>IF(H473 + I472 &lt; 0, H473 + I472, 0)</f>
        <v>0</v>
      </c>
      <c r="J473" s="1">
        <v>0</v>
      </c>
      <c r="K473" s="1">
        <f>IF(J473 + K472 &lt; 0, J473 + K472, 0)</f>
        <v>0</v>
      </c>
      <c r="L473" s="1">
        <v>0</v>
      </c>
      <c r="M473" s="1">
        <f>IF(L473 + M472 &lt; 0, L473 + M472, 0)</f>
        <v>0</v>
      </c>
      <c r="N473" s="1">
        <v>0</v>
      </c>
      <c r="O473" s="1">
        <f>IF(N473 + O472 &lt; 0, N473 + O472, 0)</f>
        <v>0</v>
      </c>
      <c r="P473" s="1">
        <v>0</v>
      </c>
      <c r="Q473" s="1">
        <f>IF(P473 + Q472 &lt; 0, P473 + Q472, 0)</f>
        <v>0</v>
      </c>
      <c r="R473" s="1">
        <v>0</v>
      </c>
      <c r="S473" s="1">
        <f>IF(R473 + S472 &lt; 0, R473 + S472, 0)</f>
        <v>0</v>
      </c>
      <c r="T473" s="1">
        <v>0</v>
      </c>
      <c r="U473" s="1">
        <f>IF(T473 + U472 &lt; 0, T473 + U472, 0)</f>
        <v>0</v>
      </c>
      <c r="V473" s="1">
        <v>0</v>
      </c>
      <c r="W473" s="1">
        <f>IF(V473 + W472 &lt; 0, V473 + W472, 0)</f>
        <v>0</v>
      </c>
      <c r="X473" s="1">
        <v>0</v>
      </c>
      <c r="Y473" s="1">
        <f>IF(X473 + Y472 &lt; 0, X473 + Y472, 0)</f>
        <v>0</v>
      </c>
      <c r="Z473" s="1">
        <v>0</v>
      </c>
      <c r="AA473" s="1">
        <f>IF(Z473 + AA472 &lt; 0, Z473 + AA472, 0)</f>
        <v>0</v>
      </c>
      <c r="AB473" s="1">
        <v>0</v>
      </c>
      <c r="AC473" s="1">
        <f>IF(AB473 + AC472 &lt; 0, AB473 + AC472, 0)</f>
        <v>0</v>
      </c>
      <c r="AD473" s="1">
        <v>0</v>
      </c>
      <c r="AE473" s="1">
        <f>IF(AD473 + AE472 &lt; 0, AD473 + AE472, 0)</f>
        <v>0</v>
      </c>
      <c r="AF473" s="1">
        <v>0</v>
      </c>
      <c r="AG473" s="1">
        <f>IF(AF473 + AG472 &lt; 0, AF473 + AG472, 0)</f>
        <v>0</v>
      </c>
      <c r="AH473" s="1">
        <v>0</v>
      </c>
      <c r="AI473" s="1">
        <f>IF(AH473 + AI472 &lt; 0, AH473 + AI472, 0)</f>
        <v>0</v>
      </c>
      <c r="AJ473" s="1">
        <v>0</v>
      </c>
      <c r="AK473" s="1">
        <f>IF(AJ473 + AK472 &lt; 0, AJ473 + AK472, 0)</f>
        <v>0</v>
      </c>
    </row>
    <row r="474" spans="1:37" s="1" customFormat="1">
      <c r="A474" s="3">
        <v>45992</v>
      </c>
      <c r="B474" s="2" t="s">
        <v>22</v>
      </c>
      <c r="C474" s="2">
        <v>21</v>
      </c>
      <c r="D474" s="2">
        <v>21</v>
      </c>
      <c r="E474" s="2">
        <v>21</v>
      </c>
      <c r="F474" s="2">
        <v>2</v>
      </c>
      <c r="G474" s="2">
        <v>4</v>
      </c>
      <c r="H474" s="1">
        <v>0</v>
      </c>
      <c r="I474" s="1">
        <f>IF(H474 + I473 &lt; 0, H474 + I473, 0)</f>
        <v>0</v>
      </c>
      <c r="J474" s="1">
        <v>0</v>
      </c>
      <c r="K474" s="1">
        <f>IF(J474 + K473 &lt; 0, J474 + K473, 0)</f>
        <v>0</v>
      </c>
      <c r="L474" s="1">
        <v>0</v>
      </c>
      <c r="M474" s="1">
        <f>IF(L474 + M473 &lt; 0, L474 + M473, 0)</f>
        <v>0</v>
      </c>
      <c r="N474" s="1">
        <v>0</v>
      </c>
      <c r="O474" s="1">
        <f>IF(N474 + O473 &lt; 0, N474 + O473, 0)</f>
        <v>0</v>
      </c>
      <c r="P474" s="1">
        <v>0</v>
      </c>
      <c r="Q474" s="1">
        <f>IF(P474 + Q473 &lt; 0, P474 + Q473, 0)</f>
        <v>0</v>
      </c>
      <c r="R474" s="1">
        <v>0</v>
      </c>
      <c r="S474" s="1">
        <f>IF(R474 + S473 &lt; 0, R474 + S473, 0)</f>
        <v>0</v>
      </c>
      <c r="T474" s="1">
        <v>0</v>
      </c>
      <c r="U474" s="1">
        <f>IF(T474 + U473 &lt; 0, T474 + U473, 0)</f>
        <v>0</v>
      </c>
      <c r="V474" s="1">
        <v>0</v>
      </c>
      <c r="W474" s="1">
        <f>IF(V474 + W473 &lt; 0, V474 + W473, 0)</f>
        <v>0</v>
      </c>
      <c r="X474" s="1">
        <v>0</v>
      </c>
      <c r="Y474" s="1">
        <f>IF(X474 + Y473 &lt; 0, X474 + Y473, 0)</f>
        <v>0</v>
      </c>
      <c r="Z474" s="1">
        <v>0</v>
      </c>
      <c r="AA474" s="1">
        <f>IF(Z474 + AA473 &lt; 0, Z474 + AA473, 0)</f>
        <v>0</v>
      </c>
      <c r="AB474" s="1">
        <v>0</v>
      </c>
      <c r="AC474" s="1">
        <f>IF(AB474 + AC473 &lt; 0, AB474 + AC473, 0)</f>
        <v>0</v>
      </c>
      <c r="AD474" s="1">
        <v>0</v>
      </c>
      <c r="AE474" s="1">
        <f>IF(AD474 + AE473 &lt; 0, AD474 + AE473, 0)</f>
        <v>0</v>
      </c>
      <c r="AF474" s="1">
        <v>0</v>
      </c>
      <c r="AG474" s="1">
        <f>IF(AF474 + AG473 &lt; 0, AF474 + AG473, 0)</f>
        <v>0</v>
      </c>
      <c r="AH474" s="1">
        <v>0</v>
      </c>
      <c r="AI474" s="1">
        <f>IF(AH474 + AI473 &lt; 0, AH474 + AI473, 0)</f>
        <v>0</v>
      </c>
      <c r="AJ474" s="1">
        <v>0</v>
      </c>
      <c r="AK474" s="1">
        <f>IF(AJ474 + AK473 &lt; 0, AJ474 + AK473, 0)</f>
        <v>0</v>
      </c>
    </row>
    <row r="475" spans="1:37" s="1" customFormat="1">
      <c r="A475" s="3">
        <v>45993</v>
      </c>
      <c r="B475" s="2" t="s">
        <v>23</v>
      </c>
      <c r="C475" s="2">
        <v>20</v>
      </c>
      <c r="D475" s="2">
        <v>20</v>
      </c>
      <c r="E475" s="2">
        <v>20</v>
      </c>
      <c r="F475" s="2">
        <v>1</v>
      </c>
      <c r="G475" s="2">
        <v>3</v>
      </c>
      <c r="H475" s="1">
        <v>0</v>
      </c>
      <c r="I475" s="1">
        <f>IF(H475 + I474 &lt; 0, H475 + I474, 0)</f>
        <v>0</v>
      </c>
      <c r="J475" s="1">
        <v>0</v>
      </c>
      <c r="K475" s="1">
        <f>IF(J475 + K474 &lt; 0, J475 + K474, 0)</f>
        <v>0</v>
      </c>
      <c r="L475" s="1">
        <v>0</v>
      </c>
      <c r="M475" s="1">
        <f>IF(L475 + M474 &lt; 0, L475 + M474, 0)</f>
        <v>0</v>
      </c>
      <c r="N475" s="1">
        <v>0</v>
      </c>
      <c r="O475" s="1">
        <f>IF(N475 + O474 &lt; 0, N475 + O474, 0)</f>
        <v>0</v>
      </c>
      <c r="P475" s="1">
        <v>0</v>
      </c>
      <c r="Q475" s="1">
        <f>IF(P475 + Q474 &lt; 0, P475 + Q474, 0)</f>
        <v>0</v>
      </c>
      <c r="R475" s="1">
        <v>0</v>
      </c>
      <c r="S475" s="1">
        <f>IF(R475 + S474 &lt; 0, R475 + S474, 0)</f>
        <v>0</v>
      </c>
      <c r="T475" s="1">
        <v>0</v>
      </c>
      <c r="U475" s="1">
        <f>IF(T475 + U474 &lt; 0, T475 + U474, 0)</f>
        <v>0</v>
      </c>
      <c r="V475" s="1">
        <v>0</v>
      </c>
      <c r="W475" s="1">
        <f>IF(V475 + W474 &lt; 0, V475 + W474, 0)</f>
        <v>0</v>
      </c>
      <c r="X475" s="1">
        <v>0</v>
      </c>
      <c r="Y475" s="1">
        <f>IF(X475 + Y474 &lt; 0, X475 + Y474, 0)</f>
        <v>0</v>
      </c>
      <c r="Z475" s="1">
        <v>447418.5012003293</v>
      </c>
      <c r="AA475" s="1">
        <f>IF(Z475 + AA474 &lt; 0, Z475 + AA474, 0)</f>
        <v>0</v>
      </c>
      <c r="AB475" s="1">
        <v>335404.6787676948</v>
      </c>
      <c r="AC475" s="1">
        <f>IF(AB475 + AC474 &lt; 0, AB475 + AC474, 0)</f>
        <v>0</v>
      </c>
      <c r="AD475" s="1">
        <v>205394.7368831842</v>
      </c>
      <c r="AE475" s="1">
        <f>IF(AD475 + AE474 &lt; 0, AD475 + AE474, 0)</f>
        <v>0</v>
      </c>
      <c r="AF475" s="1">
        <v>0</v>
      </c>
      <c r="AG475" s="1">
        <f>IF(AF475 + AG474 &lt; 0, AF475 + AG474, 0)</f>
        <v>0</v>
      </c>
      <c r="AH475" s="1">
        <v>0</v>
      </c>
      <c r="AI475" s="1">
        <f>IF(AH475 + AI474 &lt; 0, AH475 + AI474, 0)</f>
        <v>0</v>
      </c>
      <c r="AJ475" s="1">
        <v>0</v>
      </c>
      <c r="AK475" s="1">
        <f>IF(AJ475 + AK474 &lt; 0, AJ475 + AK474, 0)</f>
        <v>0</v>
      </c>
    </row>
    <row r="476" spans="1:37" s="1" customFormat="1">
      <c r="A476" s="3">
        <v>45994</v>
      </c>
      <c r="B476" s="2" t="s">
        <v>24</v>
      </c>
      <c r="C476" s="2">
        <v>19</v>
      </c>
      <c r="D476" s="2">
        <v>19</v>
      </c>
      <c r="E476" s="2">
        <v>19</v>
      </c>
      <c r="F476" s="2">
        <v>5</v>
      </c>
      <c r="G476" s="2">
        <v>2</v>
      </c>
      <c r="H476" s="1">
        <v>0</v>
      </c>
      <c r="I476" s="1">
        <f>IF(H476 + I475 &lt; 0, H476 + I475, 0)</f>
        <v>0</v>
      </c>
      <c r="J476" s="1">
        <v>0</v>
      </c>
      <c r="K476" s="1">
        <f>IF(J476 + K475 &lt; 0, J476 + K475, 0)</f>
        <v>0</v>
      </c>
      <c r="L476" s="1">
        <v>0</v>
      </c>
      <c r="M476" s="1">
        <f>IF(L476 + M475 &lt; 0, L476 + M475, 0)</f>
        <v>0</v>
      </c>
      <c r="N476" s="1">
        <v>0</v>
      </c>
      <c r="O476" s="1">
        <f>IF(N476 + O475 &lt; 0, N476 + O475, 0)</f>
        <v>0</v>
      </c>
      <c r="P476" s="1">
        <v>0</v>
      </c>
      <c r="Q476" s="1">
        <f>IF(P476 + Q475 &lt; 0, P476 + Q475, 0)</f>
        <v>0</v>
      </c>
      <c r="R476" s="1">
        <v>0</v>
      </c>
      <c r="S476" s="1">
        <f>IF(R476 + S475 &lt; 0, R476 + S475, 0)</f>
        <v>0</v>
      </c>
      <c r="T476" s="1">
        <v>0</v>
      </c>
      <c r="U476" s="1">
        <f>IF(T476 + U475 &lt; 0, T476 + U475, 0)</f>
        <v>0</v>
      </c>
      <c r="V476" s="1">
        <v>0</v>
      </c>
      <c r="W476" s="1">
        <f>IF(V476 + W475 &lt; 0, V476 + W475, 0)</f>
        <v>0</v>
      </c>
      <c r="X476" s="1">
        <v>0</v>
      </c>
      <c r="Y476" s="1">
        <f>IF(X476 + Y475 &lt; 0, X476 + Y475, 0)</f>
        <v>0</v>
      </c>
      <c r="Z476" s="1">
        <v>0</v>
      </c>
      <c r="AA476" s="1">
        <f>IF(Z476 + AA475 &lt; 0, Z476 + AA475, 0)</f>
        <v>0</v>
      </c>
      <c r="AB476" s="1">
        <v>0</v>
      </c>
      <c r="AC476" s="1">
        <f>IF(AB476 + AC475 &lt; 0, AB476 + AC475, 0)</f>
        <v>0</v>
      </c>
      <c r="AD476" s="1">
        <v>0</v>
      </c>
      <c r="AE476" s="1">
        <f>IF(AD476 + AE475 &lt; 0, AD476 + AE475, 0)</f>
        <v>0</v>
      </c>
      <c r="AF476" s="1">
        <v>0</v>
      </c>
      <c r="AG476" s="1">
        <f>IF(AF476 + AG475 &lt; 0, AF476 + AG475, 0)</f>
        <v>0</v>
      </c>
      <c r="AH476" s="1">
        <v>0</v>
      </c>
      <c r="AI476" s="1">
        <f>IF(AH476 + AI475 &lt; 0, AH476 + AI475, 0)</f>
        <v>0</v>
      </c>
      <c r="AJ476" s="1">
        <v>0</v>
      </c>
      <c r="AK476" s="1">
        <f>IF(AJ476 + AK475 &lt; 0, AJ476 + AK475, 0)</f>
        <v>0</v>
      </c>
    </row>
    <row r="477" spans="1:37" s="1" customFormat="1">
      <c r="A477" s="3">
        <v>45995</v>
      </c>
      <c r="B477" s="2" t="s">
        <v>25</v>
      </c>
      <c r="C477" s="2">
        <v>18</v>
      </c>
      <c r="D477" s="2">
        <v>18</v>
      </c>
      <c r="E477" s="2">
        <v>18</v>
      </c>
      <c r="F477" s="2">
        <v>4</v>
      </c>
      <c r="G477" s="2">
        <v>1</v>
      </c>
      <c r="H477" s="1">
        <v>0</v>
      </c>
      <c r="I477" s="1">
        <f>IF(H477 + I476 &lt; 0, H477 + I476, 0)</f>
        <v>0</v>
      </c>
      <c r="J477" s="1">
        <v>0</v>
      </c>
      <c r="K477" s="1">
        <f>IF(J477 + K476 &lt; 0, J477 + K476, 0)</f>
        <v>0</v>
      </c>
      <c r="L477" s="1">
        <v>0</v>
      </c>
      <c r="M477" s="1">
        <f>IF(L477 + M476 &lt; 0, L477 + M476, 0)</f>
        <v>0</v>
      </c>
      <c r="N477" s="1">
        <v>0</v>
      </c>
      <c r="O477" s="1">
        <f>IF(N477 + O476 &lt; 0, N477 + O476, 0)</f>
        <v>0</v>
      </c>
      <c r="P477" s="1">
        <v>0</v>
      </c>
      <c r="Q477" s="1">
        <f>IF(P477 + Q476 &lt; 0, P477 + Q476, 0)</f>
        <v>0</v>
      </c>
      <c r="R477" s="1">
        <v>0</v>
      </c>
      <c r="S477" s="1">
        <f>IF(R477 + S476 &lt; 0, R477 + S476, 0)</f>
        <v>0</v>
      </c>
      <c r="T477" s="1">
        <v>0</v>
      </c>
      <c r="U477" s="1">
        <f>IF(T477 + U476 &lt; 0, T477 + U476, 0)</f>
        <v>0</v>
      </c>
      <c r="V477" s="1">
        <v>0</v>
      </c>
      <c r="W477" s="1">
        <f>IF(V477 + W476 &lt; 0, V477 + W476, 0)</f>
        <v>0</v>
      </c>
      <c r="X477" s="1">
        <v>0</v>
      </c>
      <c r="Y477" s="1">
        <f>IF(X477 + Y476 &lt; 0, X477 + Y476, 0)</f>
        <v>0</v>
      </c>
      <c r="Z477" s="1">
        <v>0</v>
      </c>
      <c r="AA477" s="1">
        <f>IF(Z477 + AA476 &lt; 0, Z477 + AA476, 0)</f>
        <v>0</v>
      </c>
      <c r="AB477" s="1">
        <v>0</v>
      </c>
      <c r="AC477" s="1">
        <f>IF(AB477 + AC476 &lt; 0, AB477 + AC476, 0)</f>
        <v>0</v>
      </c>
      <c r="AD477" s="1">
        <v>0</v>
      </c>
      <c r="AE477" s="1">
        <f>IF(AD477 + AE476 &lt; 0, AD477 + AE476, 0)</f>
        <v>0</v>
      </c>
      <c r="AF477" s="1">
        <v>278471.6931730988</v>
      </c>
      <c r="AG477" s="1">
        <f>IF(AF477 + AG476 &lt; 0, AF477 + AG476, 0)</f>
        <v>0</v>
      </c>
      <c r="AH477" s="1">
        <v>272498.5928404065</v>
      </c>
      <c r="AI477" s="1">
        <f>IF(AH477 + AI476 &lt; 0, AH477 + AI476, 0)</f>
        <v>0</v>
      </c>
      <c r="AJ477" s="1">
        <v>118116.8609708018</v>
      </c>
      <c r="AK477" s="1">
        <f>IF(AJ477 + AK476 &lt; 0, AJ477 + AK476, 0)</f>
        <v>0</v>
      </c>
    </row>
    <row r="478" spans="1:37" s="1" customFormat="1">
      <c r="A478" s="3">
        <v>45996</v>
      </c>
      <c r="B478" s="2" t="s">
        <v>26</v>
      </c>
      <c r="C478" s="2">
        <v>17</v>
      </c>
      <c r="D478" s="2">
        <v>17</v>
      </c>
      <c r="E478" s="2">
        <v>17</v>
      </c>
      <c r="F478" s="2">
        <v>3</v>
      </c>
      <c r="G478" s="2">
        <v>5</v>
      </c>
      <c r="H478" s="1">
        <v>0</v>
      </c>
      <c r="I478" s="1">
        <f>IF(H478 + I477 &lt; 0, H478 + I477, 0)</f>
        <v>0</v>
      </c>
      <c r="J478" s="1">
        <v>0</v>
      </c>
      <c r="K478" s="1">
        <f>IF(J478 + K477 &lt; 0, J478 + K477, 0)</f>
        <v>0</v>
      </c>
      <c r="L478" s="1">
        <v>0</v>
      </c>
      <c r="M478" s="1">
        <f>IF(L478 + M477 &lt; 0, L478 + M477, 0)</f>
        <v>0</v>
      </c>
      <c r="N478" s="1">
        <v>0</v>
      </c>
      <c r="O478" s="1">
        <f>IF(N478 + O477 &lt; 0, N478 + O477, 0)</f>
        <v>0</v>
      </c>
      <c r="P478" s="1">
        <v>0</v>
      </c>
      <c r="Q478" s="1">
        <f>IF(P478 + Q477 &lt; 0, P478 + Q477, 0)</f>
        <v>0</v>
      </c>
      <c r="R478" s="1">
        <v>0</v>
      </c>
      <c r="S478" s="1">
        <f>IF(R478 + S477 &lt; 0, R478 + S477, 0)</f>
        <v>0</v>
      </c>
      <c r="T478" s="1">
        <v>0</v>
      </c>
      <c r="U478" s="1">
        <f>IF(T478 + U477 &lt; 0, T478 + U477, 0)</f>
        <v>0</v>
      </c>
      <c r="V478" s="1">
        <v>0</v>
      </c>
      <c r="W478" s="1">
        <f>IF(V478 + W477 &lt; 0, V478 + W477, 0)</f>
        <v>0</v>
      </c>
      <c r="X478" s="1">
        <v>0</v>
      </c>
      <c r="Y478" s="1">
        <f>IF(X478 + Y477 &lt; 0, X478 + Y477, 0)</f>
        <v>0</v>
      </c>
      <c r="Z478" s="1">
        <v>0</v>
      </c>
      <c r="AA478" s="1">
        <f>IF(Z478 + AA477 &lt; 0, Z478 + AA477, 0)</f>
        <v>0</v>
      </c>
      <c r="AB478" s="1">
        <v>0</v>
      </c>
      <c r="AC478" s="1">
        <f>IF(AB478 + AC477 &lt; 0, AB478 + AC477, 0)</f>
        <v>0</v>
      </c>
      <c r="AD478" s="1">
        <v>0</v>
      </c>
      <c r="AE478" s="1">
        <f>IF(AD478 + AE477 &lt; 0, AD478 + AE477, 0)</f>
        <v>0</v>
      </c>
      <c r="AF478" s="1">
        <v>0</v>
      </c>
      <c r="AG478" s="1">
        <f>IF(AF478 + AG477 &lt; 0, AF478 + AG477, 0)</f>
        <v>0</v>
      </c>
      <c r="AH478" s="1">
        <v>0</v>
      </c>
      <c r="AI478" s="1">
        <f>IF(AH478 + AI477 &lt; 0, AH478 + AI477, 0)</f>
        <v>0</v>
      </c>
      <c r="AJ478" s="1">
        <v>0</v>
      </c>
      <c r="AK478" s="1">
        <f>IF(AJ478 + AK477 &lt; 0, AJ478 + AK477, 0)</f>
        <v>0</v>
      </c>
    </row>
    <row r="479" spans="1:37" s="1" customFormat="1">
      <c r="A479" s="3">
        <v>45999</v>
      </c>
      <c r="B479" s="2" t="s">
        <v>22</v>
      </c>
      <c r="C479" s="2">
        <v>16</v>
      </c>
      <c r="D479" s="2">
        <v>16</v>
      </c>
      <c r="E479" s="2">
        <v>16</v>
      </c>
      <c r="F479" s="2">
        <v>2</v>
      </c>
      <c r="G479" s="2">
        <v>4</v>
      </c>
      <c r="H479" s="1">
        <v>0</v>
      </c>
      <c r="I479" s="1">
        <f>IF(H479 + I478 &lt; 0, H479 + I478, 0)</f>
        <v>0</v>
      </c>
      <c r="J479" s="1">
        <v>0</v>
      </c>
      <c r="K479" s="1">
        <f>IF(J479 + K478 &lt; 0, J479 + K478, 0)</f>
        <v>0</v>
      </c>
      <c r="L479" s="1">
        <v>0</v>
      </c>
      <c r="M479" s="1">
        <f>IF(L479 + M478 &lt; 0, L479 + M478, 0)</f>
        <v>0</v>
      </c>
      <c r="N479" s="1">
        <v>0</v>
      </c>
      <c r="O479" s="1">
        <f>IF(N479 + O478 &lt; 0, N479 + O478, 0)</f>
        <v>0</v>
      </c>
      <c r="P479" s="1">
        <v>0</v>
      </c>
      <c r="Q479" s="1">
        <f>IF(P479 + Q478 &lt; 0, P479 + Q478, 0)</f>
        <v>0</v>
      </c>
      <c r="R479" s="1">
        <v>0</v>
      </c>
      <c r="S479" s="1">
        <f>IF(R479 + S478 &lt; 0, R479 + S478, 0)</f>
        <v>0</v>
      </c>
      <c r="T479" s="1">
        <v>0</v>
      </c>
      <c r="U479" s="1">
        <f>IF(T479 + U478 &lt; 0, T479 + U478, 0)</f>
        <v>0</v>
      </c>
      <c r="V479" s="1">
        <v>0</v>
      </c>
      <c r="W479" s="1">
        <f>IF(V479 + W478 &lt; 0, V479 + W478, 0)</f>
        <v>0</v>
      </c>
      <c r="X479" s="1">
        <v>0</v>
      </c>
      <c r="Y479" s="1">
        <f>IF(X479 + Y478 &lt; 0, X479 + Y478, 0)</f>
        <v>0</v>
      </c>
      <c r="Z479" s="1">
        <v>0</v>
      </c>
      <c r="AA479" s="1">
        <f>IF(Z479 + AA478 &lt; 0, Z479 + AA478, 0)</f>
        <v>0</v>
      </c>
      <c r="AB479" s="1">
        <v>0</v>
      </c>
      <c r="AC479" s="1">
        <f>IF(AB479 + AC478 &lt; 0, AB479 + AC478, 0)</f>
        <v>0</v>
      </c>
      <c r="AD479" s="1">
        <v>0</v>
      </c>
      <c r="AE479" s="1">
        <f>IF(AD479 + AE478 &lt; 0, AD479 + AE478, 0)</f>
        <v>0</v>
      </c>
      <c r="AF479" s="1">
        <v>0</v>
      </c>
      <c r="AG479" s="1">
        <f>IF(AF479 + AG478 &lt; 0, AF479 + AG478, 0)</f>
        <v>0</v>
      </c>
      <c r="AH479" s="1">
        <v>0</v>
      </c>
      <c r="AI479" s="1">
        <f>IF(AH479 + AI478 &lt; 0, AH479 + AI478, 0)</f>
        <v>0</v>
      </c>
      <c r="AJ479" s="1">
        <v>0</v>
      </c>
      <c r="AK479" s="1">
        <f>IF(AJ479 + AK478 &lt; 0, AJ479 + AK478, 0)</f>
        <v>0</v>
      </c>
    </row>
    <row r="480" spans="1:37" s="1" customFormat="1">
      <c r="A480" s="3">
        <v>46000</v>
      </c>
      <c r="B480" s="2" t="s">
        <v>23</v>
      </c>
      <c r="C480" s="2">
        <v>15</v>
      </c>
      <c r="D480" s="2">
        <v>15</v>
      </c>
      <c r="E480" s="2">
        <v>15</v>
      </c>
      <c r="F480" s="2">
        <v>1</v>
      </c>
      <c r="G480" s="2">
        <v>3</v>
      </c>
      <c r="H480" s="1">
        <v>0</v>
      </c>
      <c r="I480" s="1">
        <f>IF(H480 + I479 &lt; 0, H480 + I479, 0)</f>
        <v>0</v>
      </c>
      <c r="J480" s="1">
        <v>0</v>
      </c>
      <c r="K480" s="1">
        <f>IF(J480 + K479 &lt; 0, J480 + K479, 0)</f>
        <v>0</v>
      </c>
      <c r="L480" s="1">
        <v>0</v>
      </c>
      <c r="M480" s="1">
        <f>IF(L480 + M479 &lt; 0, L480 + M479, 0)</f>
        <v>0</v>
      </c>
      <c r="N480" s="1">
        <v>0</v>
      </c>
      <c r="O480" s="1">
        <f>IF(N480 + O479 &lt; 0, N480 + O479, 0)</f>
        <v>0</v>
      </c>
      <c r="P480" s="1">
        <v>0</v>
      </c>
      <c r="Q480" s="1">
        <f>IF(P480 + Q479 &lt; 0, P480 + Q479, 0)</f>
        <v>0</v>
      </c>
      <c r="R480" s="1">
        <v>0</v>
      </c>
      <c r="S480" s="1">
        <f>IF(R480 + S479 &lt; 0, R480 + S479, 0)</f>
        <v>0</v>
      </c>
      <c r="T480" s="1">
        <v>0</v>
      </c>
      <c r="U480" s="1">
        <f>IF(T480 + U479 &lt; 0, T480 + U479, 0)</f>
        <v>0</v>
      </c>
      <c r="V480" s="1">
        <v>0</v>
      </c>
      <c r="W480" s="1">
        <f>IF(V480 + W479 &lt; 0, V480 + W479, 0)</f>
        <v>0</v>
      </c>
      <c r="X480" s="1">
        <v>0</v>
      </c>
      <c r="Y480" s="1">
        <f>IF(X480 + Y479 &lt; 0, X480 + Y479, 0)</f>
        <v>0</v>
      </c>
      <c r="Z480" s="1">
        <v>-366710.0245837965</v>
      </c>
      <c r="AA480" s="1">
        <f>IF(Z480 + AA479 &lt; 0, Z480 + AA479, 0)</f>
        <v>0</v>
      </c>
      <c r="AB480" s="1">
        <v>-257419.6354598301</v>
      </c>
      <c r="AC480" s="1">
        <f>IF(AB480 + AC479 &lt; 0, AB480 + AC479, 0)</f>
        <v>0</v>
      </c>
      <c r="AD480" s="1">
        <v>-536865.0552545943</v>
      </c>
      <c r="AE480" s="1">
        <f>IF(AD480 + AE479 &lt; 0, AD480 + AE479, 0)</f>
        <v>0</v>
      </c>
      <c r="AF480" s="1">
        <v>0</v>
      </c>
      <c r="AG480" s="1">
        <f>IF(AF480 + AG479 &lt; 0, AF480 + AG479, 0)</f>
        <v>0</v>
      </c>
      <c r="AH480" s="1">
        <v>0</v>
      </c>
      <c r="AI480" s="1">
        <f>IF(AH480 + AI479 &lt; 0, AH480 + AI479, 0)</f>
        <v>0</v>
      </c>
      <c r="AJ480" s="1">
        <v>0</v>
      </c>
      <c r="AK480" s="1">
        <f>IF(AJ480 + AK479 &lt; 0, AJ480 + AK479, 0)</f>
        <v>0</v>
      </c>
    </row>
    <row r="481" spans="1:37" s="1" customFormat="1">
      <c r="A481" s="3">
        <v>46001</v>
      </c>
      <c r="B481" s="2" t="s">
        <v>24</v>
      </c>
      <c r="C481" s="2">
        <v>14</v>
      </c>
      <c r="D481" s="2">
        <v>14</v>
      </c>
      <c r="E481" s="2">
        <v>14</v>
      </c>
      <c r="F481" s="2">
        <v>5</v>
      </c>
      <c r="G481" s="2">
        <v>2</v>
      </c>
      <c r="H481" s="1">
        <v>0</v>
      </c>
      <c r="I481" s="1">
        <f>IF(H481 + I480 &lt; 0, H481 + I480, 0)</f>
        <v>0</v>
      </c>
      <c r="J481" s="1">
        <v>0</v>
      </c>
      <c r="K481" s="1">
        <f>IF(J481 + K480 &lt; 0, J481 + K480, 0)</f>
        <v>0</v>
      </c>
      <c r="L481" s="1">
        <v>0</v>
      </c>
      <c r="M481" s="1">
        <f>IF(L481 + M480 &lt; 0, L481 + M480, 0)</f>
        <v>0</v>
      </c>
      <c r="N481" s="1">
        <v>0</v>
      </c>
      <c r="O481" s="1">
        <f>IF(N481 + O480 &lt; 0, N481 + O480, 0)</f>
        <v>0</v>
      </c>
      <c r="P481" s="1">
        <v>0</v>
      </c>
      <c r="Q481" s="1">
        <f>IF(P481 + Q480 &lt; 0, P481 + Q480, 0)</f>
        <v>0</v>
      </c>
      <c r="R481" s="1">
        <v>0</v>
      </c>
      <c r="S481" s="1">
        <f>IF(R481 + S480 &lt; 0, R481 + S480, 0)</f>
        <v>0</v>
      </c>
      <c r="T481" s="1">
        <v>0</v>
      </c>
      <c r="U481" s="1">
        <f>IF(T481 + U480 &lt; 0, T481 + U480, 0)</f>
        <v>0</v>
      </c>
      <c r="V481" s="1">
        <v>0</v>
      </c>
      <c r="W481" s="1">
        <f>IF(V481 + W480 &lt; 0, V481 + W480, 0)</f>
        <v>0</v>
      </c>
      <c r="X481" s="1">
        <v>0</v>
      </c>
      <c r="Y481" s="1">
        <f>IF(X481 + Y480 &lt; 0, X481 + Y480, 0)</f>
        <v>0</v>
      </c>
      <c r="Z481" s="1">
        <v>0</v>
      </c>
      <c r="AA481" s="1">
        <f>IF(Z481 + AA480 &lt; 0, Z481 + AA480, 0)</f>
        <v>0</v>
      </c>
      <c r="AB481" s="1">
        <v>0</v>
      </c>
      <c r="AC481" s="1">
        <f>IF(AB481 + AC480 &lt; 0, AB481 + AC480, 0)</f>
        <v>0</v>
      </c>
      <c r="AD481" s="1">
        <v>0</v>
      </c>
      <c r="AE481" s="1">
        <f>IF(AD481 + AE480 &lt; 0, AD481 + AE480, 0)</f>
        <v>0</v>
      </c>
      <c r="AF481" s="1">
        <v>0</v>
      </c>
      <c r="AG481" s="1">
        <f>IF(AF481 + AG480 &lt; 0, AF481 + AG480, 0)</f>
        <v>0</v>
      </c>
      <c r="AH481" s="1">
        <v>0</v>
      </c>
      <c r="AI481" s="1">
        <f>IF(AH481 + AI480 &lt; 0, AH481 + AI480, 0)</f>
        <v>0</v>
      </c>
      <c r="AJ481" s="1">
        <v>0</v>
      </c>
      <c r="AK481" s="1">
        <f>IF(AJ481 + AK480 &lt; 0, AJ481 + AK480, 0)</f>
        <v>0</v>
      </c>
    </row>
    <row r="482" spans="1:37" s="1" customFormat="1">
      <c r="A482" s="3">
        <v>46002</v>
      </c>
      <c r="B482" s="2" t="s">
        <v>25</v>
      </c>
      <c r="C482" s="2">
        <v>13</v>
      </c>
      <c r="D482" s="2">
        <v>13</v>
      </c>
      <c r="E482" s="2">
        <v>13</v>
      </c>
      <c r="F482" s="2">
        <v>4</v>
      </c>
      <c r="G482" s="2">
        <v>1</v>
      </c>
      <c r="H482" s="1">
        <v>0</v>
      </c>
      <c r="I482" s="1">
        <f>IF(H482 + I481 &lt; 0, H482 + I481, 0)</f>
        <v>0</v>
      </c>
      <c r="J482" s="1">
        <v>0</v>
      </c>
      <c r="K482" s="1">
        <f>IF(J482 + K481 &lt; 0, J482 + K481, 0)</f>
        <v>0</v>
      </c>
      <c r="L482" s="1">
        <v>0</v>
      </c>
      <c r="M482" s="1">
        <f>IF(L482 + M481 &lt; 0, L482 + M481, 0)</f>
        <v>0</v>
      </c>
      <c r="N482" s="1">
        <v>0</v>
      </c>
      <c r="O482" s="1">
        <f>IF(N482 + O481 &lt; 0, N482 + O481, 0)</f>
        <v>0</v>
      </c>
      <c r="P482" s="1">
        <v>0</v>
      </c>
      <c r="Q482" s="1">
        <f>IF(P482 + Q481 &lt; 0, P482 + Q481, 0)</f>
        <v>0</v>
      </c>
      <c r="R482" s="1">
        <v>0</v>
      </c>
      <c r="S482" s="1">
        <f>IF(R482 + S481 &lt; 0, R482 + S481, 0)</f>
        <v>0</v>
      </c>
      <c r="T482" s="1">
        <v>0</v>
      </c>
      <c r="U482" s="1">
        <f>IF(T482 + U481 &lt; 0, T482 + U481, 0)</f>
        <v>0</v>
      </c>
      <c r="V482" s="1">
        <v>0</v>
      </c>
      <c r="W482" s="1">
        <f>IF(V482 + W481 &lt; 0, V482 + W481, 0)</f>
        <v>0</v>
      </c>
      <c r="X482" s="1">
        <v>0</v>
      </c>
      <c r="Y482" s="1">
        <f>IF(X482 + Y481 &lt; 0, X482 + Y481, 0)</f>
        <v>0</v>
      </c>
      <c r="Z482" s="1">
        <v>0</v>
      </c>
      <c r="AA482" s="1">
        <f>IF(Z482 + AA481 &lt; 0, Z482 + AA481, 0)</f>
        <v>0</v>
      </c>
      <c r="AB482" s="1">
        <v>0</v>
      </c>
      <c r="AC482" s="1">
        <f>IF(AB482 + AC481 &lt; 0, AB482 + AC481, 0)</f>
        <v>0</v>
      </c>
      <c r="AD482" s="1">
        <v>0</v>
      </c>
      <c r="AE482" s="1">
        <f>IF(AD482 + AE481 &lt; 0, AD482 + AE481, 0)</f>
        <v>0</v>
      </c>
      <c r="AF482" s="1">
        <v>-298895.4317195406</v>
      </c>
      <c r="AG482" s="1">
        <f>IF(AF482 + AG481 &lt; 0, AF482 + AG481, 0)</f>
        <v>0</v>
      </c>
      <c r="AH482" s="1">
        <v>-65002.73087936113</v>
      </c>
      <c r="AI482" s="1">
        <f>IF(AH482 + AI481 &lt; 0, AH482 + AI481, 0)</f>
        <v>0</v>
      </c>
      <c r="AJ482" s="1">
        <v>116391.0661428389</v>
      </c>
      <c r="AK482" s="1">
        <f>IF(AJ482 + AK481 &lt; 0, AJ482 + AK481, 0)</f>
        <v>0</v>
      </c>
    </row>
    <row r="483" spans="1:37" s="1" customFormat="1">
      <c r="A483" s="3">
        <v>46003</v>
      </c>
      <c r="B483" s="2" t="s">
        <v>26</v>
      </c>
      <c r="C483" s="2">
        <v>12</v>
      </c>
      <c r="D483" s="2">
        <v>12</v>
      </c>
      <c r="E483" s="2">
        <v>12</v>
      </c>
      <c r="F483" s="2">
        <v>3</v>
      </c>
      <c r="G483" s="2">
        <v>5</v>
      </c>
      <c r="H483" s="1">
        <v>0</v>
      </c>
      <c r="I483" s="1">
        <f>IF(H483 + I482 &lt; 0, H483 + I482, 0)</f>
        <v>0</v>
      </c>
      <c r="J483" s="1">
        <v>0</v>
      </c>
      <c r="K483" s="1">
        <f>IF(J483 + K482 &lt; 0, J483 + K482, 0)</f>
        <v>0</v>
      </c>
      <c r="L483" s="1">
        <v>0</v>
      </c>
      <c r="M483" s="1">
        <f>IF(L483 + M482 &lt; 0, L483 + M482, 0)</f>
        <v>0</v>
      </c>
      <c r="N483" s="1">
        <v>0</v>
      </c>
      <c r="O483" s="1">
        <f>IF(N483 + O482 &lt; 0, N483 + O482, 0)</f>
        <v>0</v>
      </c>
      <c r="P483" s="1">
        <v>0</v>
      </c>
      <c r="Q483" s="1">
        <f>IF(P483 + Q482 &lt; 0, P483 + Q482, 0)</f>
        <v>0</v>
      </c>
      <c r="R483" s="1">
        <v>0</v>
      </c>
      <c r="S483" s="1">
        <f>IF(R483 + S482 &lt; 0, R483 + S482, 0)</f>
        <v>0</v>
      </c>
      <c r="T483" s="1">
        <v>0</v>
      </c>
      <c r="U483" s="1">
        <f>IF(T483 + U482 &lt; 0, T483 + U482, 0)</f>
        <v>0</v>
      </c>
      <c r="V483" s="1">
        <v>0</v>
      </c>
      <c r="W483" s="1">
        <f>IF(V483 + W482 &lt; 0, V483 + W482, 0)</f>
        <v>0</v>
      </c>
      <c r="X483" s="1">
        <v>0</v>
      </c>
      <c r="Y483" s="1">
        <f>IF(X483 + Y482 &lt; 0, X483 + Y482, 0)</f>
        <v>0</v>
      </c>
      <c r="Z483" s="1">
        <v>0</v>
      </c>
      <c r="AA483" s="1">
        <f>IF(Z483 + AA482 &lt; 0, Z483 + AA482, 0)</f>
        <v>0</v>
      </c>
      <c r="AB483" s="1">
        <v>0</v>
      </c>
      <c r="AC483" s="1">
        <f>IF(AB483 + AC482 &lt; 0, AB483 + AC482, 0)</f>
        <v>0</v>
      </c>
      <c r="AD483" s="1">
        <v>0</v>
      </c>
      <c r="AE483" s="1">
        <f>IF(AD483 + AE482 &lt; 0, AD483 + AE482, 0)</f>
        <v>0</v>
      </c>
      <c r="AF483" s="1">
        <v>0</v>
      </c>
      <c r="AG483" s="1">
        <f>IF(AF483 + AG482 &lt; 0, AF483 + AG482, 0)</f>
        <v>0</v>
      </c>
      <c r="AH483" s="1">
        <v>0</v>
      </c>
      <c r="AI483" s="1">
        <f>IF(AH483 + AI482 &lt; 0, AH483 + AI482, 0)</f>
        <v>0</v>
      </c>
      <c r="AJ483" s="1">
        <v>0</v>
      </c>
      <c r="AK483" s="1">
        <f>IF(AJ483 + AK482 &lt; 0, AJ483 + AK482, 0)</f>
        <v>0</v>
      </c>
    </row>
    <row r="484" spans="1:37" s="1" customFormat="1">
      <c r="A484" s="3">
        <v>46006</v>
      </c>
      <c r="B484" s="2" t="s">
        <v>22</v>
      </c>
      <c r="C484" s="2">
        <v>11</v>
      </c>
      <c r="D484" s="2">
        <v>11</v>
      </c>
      <c r="E484" s="2">
        <v>11</v>
      </c>
      <c r="F484" s="2">
        <v>2</v>
      </c>
      <c r="G484" s="2">
        <v>4</v>
      </c>
      <c r="H484" s="1">
        <v>0</v>
      </c>
      <c r="I484" s="1">
        <f>IF(H484 + I483 &lt; 0, H484 + I483, 0)</f>
        <v>0</v>
      </c>
      <c r="J484" s="1">
        <v>0</v>
      </c>
      <c r="K484" s="1">
        <f>IF(J484 + K483 &lt; 0, J484 + K483, 0)</f>
        <v>0</v>
      </c>
      <c r="L484" s="1">
        <v>0</v>
      </c>
      <c r="M484" s="1">
        <f>IF(L484 + M483 &lt; 0, L484 + M483, 0)</f>
        <v>0</v>
      </c>
      <c r="N484" s="1">
        <v>0</v>
      </c>
      <c r="O484" s="1">
        <f>IF(N484 + O483 &lt; 0, N484 + O483, 0)</f>
        <v>0</v>
      </c>
      <c r="P484" s="1">
        <v>0</v>
      </c>
      <c r="Q484" s="1">
        <f>IF(P484 + Q483 &lt; 0, P484 + Q483, 0)</f>
        <v>0</v>
      </c>
      <c r="R484" s="1">
        <v>0</v>
      </c>
      <c r="S484" s="1">
        <f>IF(R484 + S483 &lt; 0, R484 + S483, 0)</f>
        <v>0</v>
      </c>
      <c r="T484" s="1">
        <v>0</v>
      </c>
      <c r="U484" s="1">
        <f>IF(T484 + U483 &lt; 0, T484 + U483, 0)</f>
        <v>0</v>
      </c>
      <c r="V484" s="1">
        <v>0</v>
      </c>
      <c r="W484" s="1">
        <f>IF(V484 + W483 &lt; 0, V484 + W483, 0)</f>
        <v>0</v>
      </c>
      <c r="X484" s="1">
        <v>0</v>
      </c>
      <c r="Y484" s="1">
        <f>IF(X484 + Y483 &lt; 0, X484 + Y483, 0)</f>
        <v>0</v>
      </c>
      <c r="Z484" s="1">
        <v>0</v>
      </c>
      <c r="AA484" s="1">
        <f>IF(Z484 + AA483 &lt; 0, Z484 + AA483, 0)</f>
        <v>0</v>
      </c>
      <c r="AB484" s="1">
        <v>0</v>
      </c>
      <c r="AC484" s="1">
        <f>IF(AB484 + AC483 &lt; 0, AB484 + AC483, 0)</f>
        <v>0</v>
      </c>
      <c r="AD484" s="1">
        <v>0</v>
      </c>
      <c r="AE484" s="1">
        <f>IF(AD484 + AE483 &lt; 0, AD484 + AE483, 0)</f>
        <v>0</v>
      </c>
      <c r="AF484" s="1">
        <v>0</v>
      </c>
      <c r="AG484" s="1">
        <f>IF(AF484 + AG483 &lt; 0, AF484 + AG483, 0)</f>
        <v>0</v>
      </c>
      <c r="AH484" s="1">
        <v>0</v>
      </c>
      <c r="AI484" s="1">
        <f>IF(AH484 + AI483 &lt; 0, AH484 + AI483, 0)</f>
        <v>0</v>
      </c>
      <c r="AJ484" s="1">
        <v>0</v>
      </c>
      <c r="AK484" s="1">
        <f>IF(AJ484 + AK483 &lt; 0, AJ484 + AK483, 0)</f>
        <v>0</v>
      </c>
    </row>
    <row r="485" spans="1:37" s="1" customFormat="1">
      <c r="A485" s="3">
        <v>46007</v>
      </c>
      <c r="B485" s="2" t="s">
        <v>23</v>
      </c>
      <c r="C485" s="2">
        <v>10</v>
      </c>
      <c r="D485" s="2">
        <v>10</v>
      </c>
      <c r="E485" s="2">
        <v>10</v>
      </c>
      <c r="F485" s="2">
        <v>1</v>
      </c>
      <c r="G485" s="2">
        <v>3</v>
      </c>
      <c r="H485" s="1">
        <v>0</v>
      </c>
      <c r="I485" s="1">
        <f>IF(H485 + I484 &lt; 0, H485 + I484, 0)</f>
        <v>0</v>
      </c>
      <c r="J485" s="1">
        <v>0</v>
      </c>
      <c r="K485" s="1">
        <f>IF(J485 + K484 &lt; 0, J485 + K484, 0)</f>
        <v>0</v>
      </c>
      <c r="L485" s="1">
        <v>0</v>
      </c>
      <c r="M485" s="1">
        <f>IF(L485 + M484 &lt; 0, L485 + M484, 0)</f>
        <v>0</v>
      </c>
      <c r="N485" s="1">
        <v>0</v>
      </c>
      <c r="O485" s="1">
        <f>IF(N485 + O484 &lt; 0, N485 + O484, 0)</f>
        <v>0</v>
      </c>
      <c r="P485" s="1">
        <v>0</v>
      </c>
      <c r="Q485" s="1">
        <f>IF(P485 + Q484 &lt; 0, P485 + Q484, 0)</f>
        <v>0</v>
      </c>
      <c r="R485" s="1">
        <v>0</v>
      </c>
      <c r="S485" s="1">
        <f>IF(R485 + S484 &lt; 0, R485 + S484, 0)</f>
        <v>0</v>
      </c>
      <c r="T485" s="1">
        <v>0</v>
      </c>
      <c r="U485" s="1">
        <f>IF(T485 + U484 &lt; 0, T485 + U484, 0)</f>
        <v>0</v>
      </c>
      <c r="V485" s="1">
        <v>0</v>
      </c>
      <c r="W485" s="1">
        <f>IF(V485 + W484 &lt; 0, V485 + W484, 0)</f>
        <v>0</v>
      </c>
      <c r="X485" s="1">
        <v>0</v>
      </c>
      <c r="Y485" s="1">
        <f>IF(X485 + Y484 &lt; 0, X485 + Y484, 0)</f>
        <v>0</v>
      </c>
      <c r="Z485" s="1">
        <v>301717.1988797692</v>
      </c>
      <c r="AA485" s="1">
        <f>IF(Z485 + AA484 &lt; 0, Z485 + AA484, 0)</f>
        <v>0</v>
      </c>
      <c r="AB485" s="1">
        <v>251000.6254410694</v>
      </c>
      <c r="AC485" s="1">
        <f>IF(AB485 + AC484 &lt; 0, AB485 + AC484, 0)</f>
        <v>0</v>
      </c>
      <c r="AD485" s="1">
        <v>-87989.57004739784</v>
      </c>
      <c r="AE485" s="1">
        <f>IF(AD485 + AE484 &lt; 0, AD485 + AE484, 0)</f>
        <v>0</v>
      </c>
      <c r="AF485" s="1">
        <v>0</v>
      </c>
      <c r="AG485" s="1">
        <f>IF(AF485 + AG484 &lt; 0, AF485 + AG484, 0)</f>
        <v>0</v>
      </c>
      <c r="AH485" s="1">
        <v>0</v>
      </c>
      <c r="AI485" s="1">
        <f>IF(AH485 + AI484 &lt; 0, AH485 + AI484, 0)</f>
        <v>0</v>
      </c>
      <c r="AJ485" s="1">
        <v>0</v>
      </c>
      <c r="AK485" s="1">
        <f>IF(AJ485 + AK484 &lt; 0, AJ485 + AK484, 0)</f>
        <v>0</v>
      </c>
    </row>
    <row r="486" spans="1:37" s="1" customFormat="1">
      <c r="A486" s="3">
        <v>46008</v>
      </c>
      <c r="B486" s="2" t="s">
        <v>24</v>
      </c>
      <c r="C486" s="2">
        <v>9</v>
      </c>
      <c r="D486" s="2">
        <v>9</v>
      </c>
      <c r="E486" s="2">
        <v>9</v>
      </c>
      <c r="F486" s="2">
        <v>5</v>
      </c>
      <c r="G486" s="2">
        <v>2</v>
      </c>
      <c r="H486" s="1">
        <v>0</v>
      </c>
      <c r="I486" s="1">
        <f>IF(H486 + I485 &lt; 0, H486 + I485, 0)</f>
        <v>0</v>
      </c>
      <c r="J486" s="1">
        <v>0</v>
      </c>
      <c r="K486" s="1">
        <f>IF(J486 + K485 &lt; 0, J486 + K485, 0)</f>
        <v>0</v>
      </c>
      <c r="L486" s="1">
        <v>0</v>
      </c>
      <c r="M486" s="1">
        <f>IF(L486 + M485 &lt; 0, L486 + M485, 0)</f>
        <v>0</v>
      </c>
      <c r="N486" s="1">
        <v>0</v>
      </c>
      <c r="O486" s="1">
        <f>IF(N486 + O485 &lt; 0, N486 + O485, 0)</f>
        <v>0</v>
      </c>
      <c r="P486" s="1">
        <v>0</v>
      </c>
      <c r="Q486" s="1">
        <f>IF(P486 + Q485 &lt; 0, P486 + Q485, 0)</f>
        <v>0</v>
      </c>
      <c r="R486" s="1">
        <v>0</v>
      </c>
      <c r="S486" s="1">
        <f>IF(R486 + S485 &lt; 0, R486 + S485, 0)</f>
        <v>0</v>
      </c>
      <c r="T486" s="1">
        <v>0</v>
      </c>
      <c r="U486" s="1">
        <f>IF(T486 + U485 &lt; 0, T486 + U485, 0)</f>
        <v>0</v>
      </c>
      <c r="V486" s="1">
        <v>0</v>
      </c>
      <c r="W486" s="1">
        <f>IF(V486 + W485 &lt; 0, V486 + W485, 0)</f>
        <v>0</v>
      </c>
      <c r="X486" s="1">
        <v>0</v>
      </c>
      <c r="Y486" s="1">
        <f>IF(X486 + Y485 &lt; 0, X486 + Y485, 0)</f>
        <v>0</v>
      </c>
      <c r="Z486" s="1">
        <v>0</v>
      </c>
      <c r="AA486" s="1">
        <f>IF(Z486 + AA485 &lt; 0, Z486 + AA485, 0)</f>
        <v>0</v>
      </c>
      <c r="AB486" s="1">
        <v>0</v>
      </c>
      <c r="AC486" s="1">
        <f>IF(AB486 + AC485 &lt; 0, AB486 + AC485, 0)</f>
        <v>0</v>
      </c>
      <c r="AD486" s="1">
        <v>0</v>
      </c>
      <c r="AE486" s="1">
        <f>IF(AD486 + AE485 &lt; 0, AD486 + AE485, 0)</f>
        <v>0</v>
      </c>
      <c r="AF486" s="1">
        <v>0</v>
      </c>
      <c r="AG486" s="1">
        <f>IF(AF486 + AG485 &lt; 0, AF486 + AG485, 0)</f>
        <v>0</v>
      </c>
      <c r="AH486" s="1">
        <v>0</v>
      </c>
      <c r="AI486" s="1">
        <f>IF(AH486 + AI485 &lt; 0, AH486 + AI485, 0)</f>
        <v>0</v>
      </c>
      <c r="AJ486" s="1">
        <v>0</v>
      </c>
      <c r="AK486" s="1">
        <f>IF(AJ486 + AK485 &lt; 0, AJ486 + AK485, 0)</f>
        <v>0</v>
      </c>
    </row>
    <row r="487" spans="1:37" s="1" customFormat="1">
      <c r="A487" s="3">
        <v>46009</v>
      </c>
      <c r="B487" s="2" t="s">
        <v>25</v>
      </c>
      <c r="C487" s="2">
        <v>8</v>
      </c>
      <c r="D487" s="2">
        <v>8</v>
      </c>
      <c r="E487" s="2">
        <v>8</v>
      </c>
      <c r="F487" s="2">
        <v>4</v>
      </c>
      <c r="G487" s="2">
        <v>1</v>
      </c>
      <c r="H487" s="1">
        <v>0</v>
      </c>
      <c r="I487" s="1">
        <f>IF(H487 + I486 &lt; 0, H487 + I486, 0)</f>
        <v>0</v>
      </c>
      <c r="J487" s="1">
        <v>0</v>
      </c>
      <c r="K487" s="1">
        <f>IF(J487 + K486 &lt; 0, J487 + K486, 0)</f>
        <v>0</v>
      </c>
      <c r="L487" s="1">
        <v>0</v>
      </c>
      <c r="M487" s="1">
        <f>IF(L487 + M486 &lt; 0, L487 + M486, 0)</f>
        <v>0</v>
      </c>
      <c r="N487" s="1">
        <v>0</v>
      </c>
      <c r="O487" s="1">
        <f>IF(N487 + O486 &lt; 0, N487 + O486, 0)</f>
        <v>0</v>
      </c>
      <c r="P487" s="1">
        <v>0</v>
      </c>
      <c r="Q487" s="1">
        <f>IF(P487 + Q486 &lt; 0, P487 + Q486, 0)</f>
        <v>0</v>
      </c>
      <c r="R487" s="1">
        <v>0</v>
      </c>
      <c r="S487" s="1">
        <f>IF(R487 + S486 &lt; 0, R487 + S486, 0)</f>
        <v>0</v>
      </c>
      <c r="T487" s="1">
        <v>0</v>
      </c>
      <c r="U487" s="1">
        <f>IF(T487 + U486 &lt; 0, T487 + U486, 0)</f>
        <v>0</v>
      </c>
      <c r="V487" s="1">
        <v>0</v>
      </c>
      <c r="W487" s="1">
        <f>IF(V487 + W486 &lt; 0, V487 + W486, 0)</f>
        <v>0</v>
      </c>
      <c r="X487" s="1">
        <v>0</v>
      </c>
      <c r="Y487" s="1">
        <f>IF(X487 + Y486 &lt; 0, X487 + Y486, 0)</f>
        <v>0</v>
      </c>
      <c r="Z487" s="1">
        <v>0</v>
      </c>
      <c r="AA487" s="1">
        <f>IF(Z487 + AA486 &lt; 0, Z487 + AA486, 0)</f>
        <v>0</v>
      </c>
      <c r="AB487" s="1">
        <v>0</v>
      </c>
      <c r="AC487" s="1">
        <f>IF(AB487 + AC486 &lt; 0, AB487 + AC486, 0)</f>
        <v>0</v>
      </c>
      <c r="AD487" s="1">
        <v>0</v>
      </c>
      <c r="AE487" s="1">
        <f>IF(AD487 + AE486 &lt; 0, AD487 + AE486, 0)</f>
        <v>0</v>
      </c>
      <c r="AF487" s="1">
        <v>148577.9155747573</v>
      </c>
      <c r="AG487" s="1">
        <f>IF(AF487 + AG486 &lt; 0, AF487 + AG486, 0)</f>
        <v>0</v>
      </c>
      <c r="AH487" s="1">
        <v>206322.8203006469</v>
      </c>
      <c r="AI487" s="1">
        <f>IF(AH487 + AI486 &lt; 0, AH487 + AI486, 0)</f>
        <v>0</v>
      </c>
      <c r="AJ487" s="1">
        <v>117982.5207277842</v>
      </c>
      <c r="AK487" s="1">
        <f>IF(AJ487 + AK486 &lt; 0, AJ487 + AK486, 0)</f>
        <v>0</v>
      </c>
    </row>
    <row r="488" spans="1:37" s="1" customFormat="1">
      <c r="A488" s="3">
        <v>46010</v>
      </c>
      <c r="B488" s="2" t="s">
        <v>26</v>
      </c>
      <c r="C488" s="2">
        <v>7</v>
      </c>
      <c r="D488" s="2">
        <v>7</v>
      </c>
      <c r="E488" s="2">
        <v>7</v>
      </c>
      <c r="F488" s="2">
        <v>3</v>
      </c>
      <c r="G488" s="2">
        <v>4</v>
      </c>
      <c r="H488" s="1">
        <v>0</v>
      </c>
      <c r="I488" s="1">
        <f>IF(H488 + I487 &lt; 0, H488 + I487, 0)</f>
        <v>0</v>
      </c>
      <c r="J488" s="1">
        <v>0</v>
      </c>
      <c r="K488" s="1">
        <f>IF(J488 + K487 &lt; 0, J488 + K487, 0)</f>
        <v>0</v>
      </c>
      <c r="L488" s="1">
        <v>0</v>
      </c>
      <c r="M488" s="1">
        <f>IF(L488 + M487 &lt; 0, L488 + M487, 0)</f>
        <v>0</v>
      </c>
      <c r="N488" s="1">
        <v>0</v>
      </c>
      <c r="O488" s="1">
        <f>IF(N488 + O487 &lt; 0, N488 + O487, 0)</f>
        <v>0</v>
      </c>
      <c r="P488" s="1">
        <v>0</v>
      </c>
      <c r="Q488" s="1">
        <f>IF(P488 + Q487 &lt; 0, P488 + Q487, 0)</f>
        <v>0</v>
      </c>
      <c r="R488" s="1">
        <v>0</v>
      </c>
      <c r="S488" s="1">
        <f>IF(R488 + S487 &lt; 0, R488 + S487, 0)</f>
        <v>0</v>
      </c>
      <c r="T488" s="1">
        <v>0</v>
      </c>
      <c r="U488" s="1">
        <f>IF(T488 + U487 &lt; 0, T488 + U487, 0)</f>
        <v>0</v>
      </c>
      <c r="V488" s="1">
        <v>0</v>
      </c>
      <c r="W488" s="1">
        <f>IF(V488 + W487 &lt; 0, V488 + W487, 0)</f>
        <v>0</v>
      </c>
      <c r="X488" s="1">
        <v>0</v>
      </c>
      <c r="Y488" s="1">
        <f>IF(X488 + Y487 &lt; 0, X488 + Y487, 0)</f>
        <v>0</v>
      </c>
      <c r="Z488" s="1">
        <v>0</v>
      </c>
      <c r="AA488" s="1">
        <f>IF(Z488 + AA487 &lt; 0, Z488 + AA487, 0)</f>
        <v>0</v>
      </c>
      <c r="AB488" s="1">
        <v>0</v>
      </c>
      <c r="AC488" s="1">
        <f>IF(AB488 + AC487 &lt; 0, AB488 + AC487, 0)</f>
        <v>0</v>
      </c>
      <c r="AD488" s="1">
        <v>0</v>
      </c>
      <c r="AE488" s="1">
        <f>IF(AD488 + AE487 &lt; 0, AD488 + AE487, 0)</f>
        <v>0</v>
      </c>
      <c r="AF488" s="1">
        <v>0</v>
      </c>
      <c r="AG488" s="1">
        <f>IF(AF488 + AG487 &lt; 0, AF488 + AG487, 0)</f>
        <v>0</v>
      </c>
      <c r="AH488" s="1">
        <v>0</v>
      </c>
      <c r="AI488" s="1">
        <f>IF(AH488 + AI487 &lt; 0, AH488 + AI487, 0)</f>
        <v>0</v>
      </c>
      <c r="AJ488" s="1">
        <v>0</v>
      </c>
      <c r="AK488" s="1">
        <f>IF(AJ488 + AK487 &lt; 0, AJ488 + AK487, 0)</f>
        <v>0</v>
      </c>
    </row>
    <row r="489" spans="1:37" s="1" customFormat="1">
      <c r="A489" s="3">
        <v>46013</v>
      </c>
      <c r="B489" s="2" t="s">
        <v>22</v>
      </c>
      <c r="C489" s="2">
        <v>6</v>
      </c>
      <c r="D489" s="2">
        <v>6</v>
      </c>
      <c r="E489" s="2">
        <v>6</v>
      </c>
      <c r="F489" s="2">
        <v>2</v>
      </c>
      <c r="G489" s="2">
        <v>3</v>
      </c>
      <c r="H489" s="1">
        <v>0</v>
      </c>
      <c r="I489" s="1">
        <f>IF(H489 + I488 &lt; 0, H489 + I488, 0)</f>
        <v>0</v>
      </c>
      <c r="J489" s="1">
        <v>0</v>
      </c>
      <c r="K489" s="1">
        <f>IF(J489 + K488 &lt; 0, J489 + K488, 0)</f>
        <v>0</v>
      </c>
      <c r="L489" s="1">
        <v>0</v>
      </c>
      <c r="M489" s="1">
        <f>IF(L489 + M488 &lt; 0, L489 + M488, 0)</f>
        <v>0</v>
      </c>
      <c r="N489" s="1">
        <v>0</v>
      </c>
      <c r="O489" s="1">
        <f>IF(N489 + O488 &lt; 0, N489 + O488, 0)</f>
        <v>0</v>
      </c>
      <c r="P489" s="1">
        <v>0</v>
      </c>
      <c r="Q489" s="1">
        <f>IF(P489 + Q488 &lt; 0, P489 + Q488, 0)</f>
        <v>0</v>
      </c>
      <c r="R489" s="1">
        <v>0</v>
      </c>
      <c r="S489" s="1">
        <f>IF(R489 + S488 &lt; 0, R489 + S488, 0)</f>
        <v>0</v>
      </c>
      <c r="T489" s="1">
        <v>0</v>
      </c>
      <c r="U489" s="1">
        <f>IF(T489 + U488 &lt; 0, T489 + U488, 0)</f>
        <v>0</v>
      </c>
      <c r="V489" s="1">
        <v>0</v>
      </c>
      <c r="W489" s="1">
        <f>IF(V489 + W488 &lt; 0, V489 + W488, 0)</f>
        <v>0</v>
      </c>
      <c r="X489" s="1">
        <v>0</v>
      </c>
      <c r="Y489" s="1">
        <f>IF(X489 + Y488 &lt; 0, X489 + Y488, 0)</f>
        <v>0</v>
      </c>
      <c r="Z489" s="1">
        <v>0</v>
      </c>
      <c r="AA489" s="1">
        <f>IF(Z489 + AA488 &lt; 0, Z489 + AA488, 0)</f>
        <v>0</v>
      </c>
      <c r="AB489" s="1">
        <v>0</v>
      </c>
      <c r="AC489" s="1">
        <f>IF(AB489 + AC488 &lt; 0, AB489 + AC488, 0)</f>
        <v>0</v>
      </c>
      <c r="AD489" s="1">
        <v>0</v>
      </c>
      <c r="AE489" s="1">
        <f>IF(AD489 + AE488 &lt; 0, AD489 + AE488, 0)</f>
        <v>0</v>
      </c>
      <c r="AF489" s="1">
        <v>0</v>
      </c>
      <c r="AG489" s="1">
        <f>IF(AF489 + AG488 &lt; 0, AF489 + AG488, 0)</f>
        <v>0</v>
      </c>
      <c r="AH489" s="1">
        <v>0</v>
      </c>
      <c r="AI489" s="1">
        <f>IF(AH489 + AI488 &lt; 0, AH489 + AI488, 0)</f>
        <v>0</v>
      </c>
      <c r="AJ489" s="1">
        <v>0</v>
      </c>
      <c r="AK489" s="1">
        <f>IF(AJ489 + AK488 &lt; 0, AJ489 + AK488, 0)</f>
        <v>0</v>
      </c>
    </row>
    <row r="490" spans="1:37" s="1" customFormat="1">
      <c r="A490" s="3">
        <v>46014</v>
      </c>
      <c r="B490" s="2" t="s">
        <v>23</v>
      </c>
      <c r="C490" s="2">
        <v>5</v>
      </c>
      <c r="D490" s="2">
        <v>5</v>
      </c>
      <c r="E490" s="2">
        <v>5</v>
      </c>
      <c r="F490" s="2">
        <v>1</v>
      </c>
      <c r="G490" s="2">
        <v>2</v>
      </c>
      <c r="H490" s="1">
        <v>0</v>
      </c>
      <c r="I490" s="1">
        <f>IF(H490 + I489 &lt; 0, H490 + I489, 0)</f>
        <v>0</v>
      </c>
      <c r="J490" s="1">
        <v>0</v>
      </c>
      <c r="K490" s="1">
        <f>IF(J490 + K489 &lt; 0, J490 + K489, 0)</f>
        <v>0</v>
      </c>
      <c r="L490" s="1">
        <v>0</v>
      </c>
      <c r="M490" s="1">
        <f>IF(L490 + M489 &lt; 0, L490 + M489, 0)</f>
        <v>0</v>
      </c>
      <c r="N490" s="1">
        <v>0</v>
      </c>
      <c r="O490" s="1">
        <f>IF(N490 + O489 &lt; 0, N490 + O489, 0)</f>
        <v>0</v>
      </c>
      <c r="P490" s="1">
        <v>0</v>
      </c>
      <c r="Q490" s="1">
        <f>IF(P490 + Q489 &lt; 0, P490 + Q489, 0)</f>
        <v>0</v>
      </c>
      <c r="R490" s="1">
        <v>0</v>
      </c>
      <c r="S490" s="1">
        <f>IF(R490 + S489 &lt; 0, R490 + S489, 0)</f>
        <v>0</v>
      </c>
      <c r="T490" s="1">
        <v>0</v>
      </c>
      <c r="U490" s="1">
        <f>IF(T490 + U489 &lt; 0, T490 + U489, 0)</f>
        <v>0</v>
      </c>
      <c r="V490" s="1">
        <v>0</v>
      </c>
      <c r="W490" s="1">
        <f>IF(V490 + W489 &lt; 0, V490 + W489, 0)</f>
        <v>0</v>
      </c>
      <c r="X490" s="1">
        <v>0</v>
      </c>
      <c r="Y490" s="1">
        <f>IF(X490 + Y489 &lt; 0, X490 + Y489, 0)</f>
        <v>0</v>
      </c>
      <c r="Z490" s="1">
        <v>68676.55989087377</v>
      </c>
      <c r="AA490" s="1">
        <f>IF(Z490 + AA489 &lt; 0, Z490 + AA489, 0)</f>
        <v>0</v>
      </c>
      <c r="AB490" s="1">
        <v>-35466.98873495169</v>
      </c>
      <c r="AC490" s="1">
        <f>IF(AB490 + AC489 &lt; 0, AB490 + AC489, 0)</f>
        <v>0</v>
      </c>
      <c r="AD490" s="1">
        <v>134674.1911883281</v>
      </c>
      <c r="AE490" s="1">
        <f>IF(AD490 + AE489 &lt; 0, AD490 + AE489, 0)</f>
        <v>0</v>
      </c>
      <c r="AF490" s="1">
        <v>0</v>
      </c>
      <c r="AG490" s="1">
        <f>IF(AF490 + AG489 &lt; 0, AF490 + AG489, 0)</f>
        <v>0</v>
      </c>
      <c r="AH490" s="1">
        <v>0</v>
      </c>
      <c r="AI490" s="1">
        <f>IF(AH490 + AI489 &lt; 0, AH490 + AI489, 0)</f>
        <v>0</v>
      </c>
      <c r="AJ490" s="1">
        <v>0</v>
      </c>
      <c r="AK490" s="1">
        <f>IF(AJ490 + AK489 &lt; 0, AJ490 + AK489, 0)</f>
        <v>0</v>
      </c>
    </row>
    <row r="491" spans="1:37" s="1" customFormat="1">
      <c r="A491" s="3">
        <v>46015</v>
      </c>
      <c r="B491" s="2" t="s">
        <v>24</v>
      </c>
      <c r="C491" s="2">
        <v>4</v>
      </c>
      <c r="D491" s="2">
        <v>4</v>
      </c>
      <c r="E491" s="2">
        <v>4</v>
      </c>
      <c r="F491" s="2">
        <v>4</v>
      </c>
      <c r="G491" s="2">
        <v>1</v>
      </c>
      <c r="H491" s="1">
        <v>0</v>
      </c>
      <c r="I491" s="1">
        <f>IF(H491 + I490 &lt; 0, H491 + I490, 0)</f>
        <v>0</v>
      </c>
      <c r="J491" s="1">
        <v>0</v>
      </c>
      <c r="K491" s="1">
        <f>IF(J491 + K490 &lt; 0, J491 + K490, 0)</f>
        <v>0</v>
      </c>
      <c r="L491" s="1">
        <v>0</v>
      </c>
      <c r="M491" s="1">
        <f>IF(L491 + M490 &lt; 0, L491 + M490, 0)</f>
        <v>0</v>
      </c>
      <c r="N491" s="1">
        <v>0</v>
      </c>
      <c r="O491" s="1">
        <f>IF(N491 + O490 &lt; 0, N491 + O490, 0)</f>
        <v>0</v>
      </c>
      <c r="P491" s="1">
        <v>0</v>
      </c>
      <c r="Q491" s="1">
        <f>IF(P491 + Q490 &lt; 0, P491 + Q490, 0)</f>
        <v>0</v>
      </c>
      <c r="R491" s="1">
        <v>0</v>
      </c>
      <c r="S491" s="1">
        <f>IF(R491 + S490 &lt; 0, R491 + S490, 0)</f>
        <v>0</v>
      </c>
      <c r="T491" s="1">
        <v>0</v>
      </c>
      <c r="U491" s="1">
        <f>IF(T491 + U490 &lt; 0, T491 + U490, 0)</f>
        <v>0</v>
      </c>
      <c r="V491" s="1">
        <v>0</v>
      </c>
      <c r="W491" s="1">
        <f>IF(V491 + W490 &lt; 0, V491 + W490, 0)</f>
        <v>0</v>
      </c>
      <c r="X491" s="1">
        <v>0</v>
      </c>
      <c r="Y491" s="1">
        <f>IF(X491 + Y490 &lt; 0, X491 + Y490, 0)</f>
        <v>0</v>
      </c>
      <c r="Z491" s="1">
        <v>0</v>
      </c>
      <c r="AA491" s="1">
        <f>IF(Z491 + AA490 &lt; 0, Z491 + AA490, 0)</f>
        <v>0</v>
      </c>
      <c r="AB491" s="1">
        <v>0</v>
      </c>
      <c r="AC491" s="1">
        <f>IF(AB491 + AC490 &lt; 0, AB491 + AC490, 0)</f>
        <v>0</v>
      </c>
      <c r="AD491" s="1">
        <v>0</v>
      </c>
      <c r="AE491" s="1">
        <f>IF(AD491 + AE490 &lt; 0, AD491 + AE490, 0)</f>
        <v>0</v>
      </c>
      <c r="AF491" s="1">
        <v>411540.9593549679</v>
      </c>
      <c r="AG491" s="1">
        <f>IF(AF491 + AG490 &lt; 0, AF491 + AG490, 0)</f>
        <v>0</v>
      </c>
      <c r="AH491" s="1">
        <v>411540.9593549679</v>
      </c>
      <c r="AI491" s="1">
        <f>IF(AH491 + AI490 &lt; 0, AH491 + AI490, 0)</f>
        <v>0</v>
      </c>
      <c r="AJ491" s="1">
        <v>460436.271569191</v>
      </c>
      <c r="AK491" s="1">
        <f>IF(AJ491 + AK490 &lt; 0, AJ491 + AK490, 0)</f>
        <v>0</v>
      </c>
    </row>
    <row r="492" spans="1:37" s="1" customFormat="1">
      <c r="A492" s="3">
        <v>46017</v>
      </c>
      <c r="B492" s="2" t="s">
        <v>26</v>
      </c>
      <c r="C492" s="2">
        <v>3</v>
      </c>
      <c r="D492" s="2">
        <v>3</v>
      </c>
      <c r="E492" s="2">
        <v>3</v>
      </c>
      <c r="F492" s="2">
        <v>3</v>
      </c>
      <c r="G492" s="2">
        <v>5</v>
      </c>
      <c r="H492" s="1">
        <v>0</v>
      </c>
      <c r="I492" s="1">
        <f>IF(H492 + I491 &lt; 0, H492 + I491, 0)</f>
        <v>0</v>
      </c>
      <c r="J492" s="1">
        <v>0</v>
      </c>
      <c r="K492" s="1">
        <f>IF(J492 + K491 &lt; 0, J492 + K491, 0)</f>
        <v>0</v>
      </c>
      <c r="L492" s="1">
        <v>0</v>
      </c>
      <c r="M492" s="1">
        <f>IF(L492 + M491 &lt; 0, L492 + M491, 0)</f>
        <v>0</v>
      </c>
      <c r="N492" s="1">
        <v>0</v>
      </c>
      <c r="O492" s="1">
        <f>IF(N492 + O491 &lt; 0, N492 + O491, 0)</f>
        <v>0</v>
      </c>
      <c r="P492" s="1">
        <v>0</v>
      </c>
      <c r="Q492" s="1">
        <f>IF(P492 + Q491 &lt; 0, P492 + Q491, 0)</f>
        <v>0</v>
      </c>
      <c r="R492" s="1">
        <v>0</v>
      </c>
      <c r="S492" s="1">
        <f>IF(R492 + S491 &lt; 0, R492 + S491, 0)</f>
        <v>0</v>
      </c>
      <c r="T492" s="1">
        <v>0</v>
      </c>
      <c r="U492" s="1">
        <f>IF(T492 + U491 &lt; 0, T492 + U491, 0)</f>
        <v>0</v>
      </c>
      <c r="V492" s="1">
        <v>0</v>
      </c>
      <c r="W492" s="1">
        <f>IF(V492 + W491 &lt; 0, V492 + W491, 0)</f>
        <v>0</v>
      </c>
      <c r="X492" s="1">
        <v>0</v>
      </c>
      <c r="Y492" s="1">
        <f>IF(X492 + Y491 &lt; 0, X492 + Y491, 0)</f>
        <v>0</v>
      </c>
      <c r="Z492" s="1">
        <v>0</v>
      </c>
      <c r="AA492" s="1">
        <f>IF(Z492 + AA491 &lt; 0, Z492 + AA491, 0)</f>
        <v>0</v>
      </c>
      <c r="AB492" s="1">
        <v>0</v>
      </c>
      <c r="AC492" s="1">
        <f>IF(AB492 + AC491 &lt; 0, AB492 + AC491, 0)</f>
        <v>0</v>
      </c>
      <c r="AD492" s="1">
        <v>0</v>
      </c>
      <c r="AE492" s="1">
        <f>IF(AD492 + AE491 &lt; 0, AD492 + AE491, 0)</f>
        <v>0</v>
      </c>
      <c r="AF492" s="1">
        <v>0</v>
      </c>
      <c r="AG492" s="1">
        <f>IF(AF492 + AG491 &lt; 0, AF492 + AG491, 0)</f>
        <v>0</v>
      </c>
      <c r="AH492" s="1">
        <v>0</v>
      </c>
      <c r="AI492" s="1">
        <f>IF(AH492 + AI491 &lt; 0, AH492 + AI491, 0)</f>
        <v>0</v>
      </c>
      <c r="AJ492" s="1">
        <v>0</v>
      </c>
      <c r="AK492" s="1">
        <f>IF(AJ492 + AK491 &lt; 0, AJ492 + AK491, 0)</f>
        <v>0</v>
      </c>
    </row>
    <row r="493" spans="1:37" s="1" customFormat="1">
      <c r="A493" s="3">
        <v>46020</v>
      </c>
      <c r="B493" s="2" t="s">
        <v>22</v>
      </c>
      <c r="C493" s="2">
        <v>2</v>
      </c>
      <c r="D493" s="2">
        <v>2</v>
      </c>
      <c r="E493" s="2">
        <v>2</v>
      </c>
      <c r="F493" s="2">
        <v>2</v>
      </c>
      <c r="G493" s="2">
        <v>4</v>
      </c>
      <c r="H493" s="1">
        <v>0</v>
      </c>
      <c r="I493" s="1">
        <f>IF(H493 + I492 &lt; 0, H493 + I492, 0)</f>
        <v>0</v>
      </c>
      <c r="J493" s="1">
        <v>0</v>
      </c>
      <c r="K493" s="1">
        <f>IF(J493 + K492 &lt; 0, J493 + K492, 0)</f>
        <v>0</v>
      </c>
      <c r="L493" s="1">
        <v>0</v>
      </c>
      <c r="M493" s="1">
        <f>IF(L493 + M492 &lt; 0, L493 + M492, 0)</f>
        <v>0</v>
      </c>
      <c r="N493" s="1">
        <v>0</v>
      </c>
      <c r="O493" s="1">
        <f>IF(N493 + O492 &lt; 0, N493 + O492, 0)</f>
        <v>0</v>
      </c>
      <c r="P493" s="1">
        <v>0</v>
      </c>
      <c r="Q493" s="1">
        <f>IF(P493 + Q492 &lt; 0, P493 + Q492, 0)</f>
        <v>0</v>
      </c>
      <c r="R493" s="1">
        <v>0</v>
      </c>
      <c r="S493" s="1">
        <f>IF(R493 + S492 &lt; 0, R493 + S492, 0)</f>
        <v>0</v>
      </c>
      <c r="T493" s="1">
        <v>0</v>
      </c>
      <c r="U493" s="1">
        <f>IF(T493 + U492 &lt; 0, T493 + U492, 0)</f>
        <v>0</v>
      </c>
      <c r="V493" s="1">
        <v>0</v>
      </c>
      <c r="W493" s="1">
        <f>IF(V493 + W492 &lt; 0, V493 + W492, 0)</f>
        <v>0</v>
      </c>
      <c r="X493" s="1">
        <v>0</v>
      </c>
      <c r="Y493" s="1">
        <f>IF(X493 + Y492 &lt; 0, X493 + Y492, 0)</f>
        <v>0</v>
      </c>
      <c r="Z493" s="1">
        <v>0</v>
      </c>
      <c r="AA493" s="1">
        <f>IF(Z493 + AA492 &lt; 0, Z493 + AA492, 0)</f>
        <v>0</v>
      </c>
      <c r="AB493" s="1">
        <v>0</v>
      </c>
      <c r="AC493" s="1">
        <f>IF(AB493 + AC492 &lt; 0, AB493 + AC492, 0)</f>
        <v>0</v>
      </c>
      <c r="AD493" s="1">
        <v>0</v>
      </c>
      <c r="AE493" s="1">
        <f>IF(AD493 + AE492 &lt; 0, AD493 + AE492, 0)</f>
        <v>0</v>
      </c>
      <c r="AF493" s="1">
        <v>0</v>
      </c>
      <c r="AG493" s="1">
        <f>IF(AF493 + AG492 &lt; 0, AF493 + AG492, 0)</f>
        <v>0</v>
      </c>
      <c r="AH493" s="1">
        <v>0</v>
      </c>
      <c r="AI493" s="1">
        <f>IF(AH493 + AI492 &lt; 0, AH493 + AI492, 0)</f>
        <v>0</v>
      </c>
      <c r="AJ493" s="1">
        <v>0</v>
      </c>
      <c r="AK493" s="1">
        <f>IF(AJ493 + AK492 &lt; 0, AJ493 + AK492, 0)</f>
        <v>0</v>
      </c>
    </row>
    <row r="494" spans="1:37" s="1" customFormat="1">
      <c r="A494" s="3">
        <v>46021</v>
      </c>
      <c r="B494" s="2" t="s">
        <v>23</v>
      </c>
      <c r="C494" s="2">
        <v>1</v>
      </c>
      <c r="D494" s="2">
        <v>1</v>
      </c>
      <c r="E494" s="2">
        <v>1</v>
      </c>
      <c r="F494" s="2">
        <v>1</v>
      </c>
      <c r="G494" s="2">
        <v>3</v>
      </c>
      <c r="H494" s="1">
        <v>0</v>
      </c>
      <c r="I494" s="1">
        <f>IF(H494 + I493 &lt; 0, H494 + I493, 0)</f>
        <v>0</v>
      </c>
      <c r="J494" s="1">
        <v>0</v>
      </c>
      <c r="K494" s="1">
        <f>IF(J494 + K493 &lt; 0, J494 + K493, 0)</f>
        <v>0</v>
      </c>
      <c r="L494" s="1">
        <v>0</v>
      </c>
      <c r="M494" s="1">
        <f>IF(L494 + M493 &lt; 0, L494 + M493, 0)</f>
        <v>0</v>
      </c>
      <c r="N494" s="1">
        <v>0</v>
      </c>
      <c r="O494" s="1">
        <f>IF(N494 + O493 &lt; 0, N494 + O493, 0)</f>
        <v>0</v>
      </c>
      <c r="P494" s="1">
        <v>0</v>
      </c>
      <c r="Q494" s="1">
        <f>IF(P494 + Q493 &lt; 0, P494 + Q493, 0)</f>
        <v>0</v>
      </c>
      <c r="R494" s="1">
        <v>0</v>
      </c>
      <c r="S494" s="1">
        <f>IF(R494 + S493 &lt; 0, R494 + S493, 0)</f>
        <v>0</v>
      </c>
      <c r="T494" s="1">
        <v>0</v>
      </c>
      <c r="U494" s="1">
        <f>IF(T494 + U493 &lt; 0, T494 + U493, 0)</f>
        <v>0</v>
      </c>
      <c r="V494" s="1">
        <v>0</v>
      </c>
      <c r="W494" s="1">
        <f>IF(V494 + W493 &lt; 0, V494 + W493, 0)</f>
        <v>0</v>
      </c>
      <c r="X494" s="1">
        <v>0</v>
      </c>
      <c r="Y494" s="1">
        <f>IF(X494 + Y493 &lt; 0, X494 + Y493, 0)</f>
        <v>0</v>
      </c>
      <c r="Z494" s="1">
        <v>-233910.5415987132</v>
      </c>
      <c r="AA494" s="1">
        <f>IF(Z494 + AA493 &lt; 0, Z494 + AA493, 0)</f>
        <v>0</v>
      </c>
      <c r="AB494" s="1">
        <v>-233910.5415987132</v>
      </c>
      <c r="AC494" s="1">
        <f>IF(AB494 + AC493 &lt; 0, AB494 + AC493, 0)</f>
        <v>0</v>
      </c>
      <c r="AD494" s="1">
        <v>-166578.1084286397</v>
      </c>
      <c r="AE494" s="1">
        <f>IF(AD494 + AE493 &lt; 0, AD494 + AE493, 0)</f>
        <v>0</v>
      </c>
      <c r="AF494" s="1">
        <v>0</v>
      </c>
      <c r="AG494" s="1">
        <f>IF(AF494 + AG493 &lt; 0, AF494 + AG493, 0)</f>
        <v>0</v>
      </c>
      <c r="AH494" s="1">
        <v>0</v>
      </c>
      <c r="AI494" s="1">
        <f>IF(AH494 + AI493 &lt; 0, AH494 + AI493, 0)</f>
        <v>0</v>
      </c>
      <c r="AJ494" s="1">
        <v>0</v>
      </c>
      <c r="AK494" s="1">
        <f>IF(AJ494 + AK493 &lt; 0, AJ494 + AK493, 0)</f>
        <v>0</v>
      </c>
    </row>
    <row r="495" spans="1:37" s="1" customFormat="1">
      <c r="A495" s="3">
        <v>46022</v>
      </c>
      <c r="B495" s="2" t="s">
        <v>24</v>
      </c>
      <c r="C495" s="2">
        <v>18</v>
      </c>
      <c r="D495" s="2">
        <v>18</v>
      </c>
      <c r="E495" s="2">
        <v>18</v>
      </c>
      <c r="F495" s="2">
        <v>5</v>
      </c>
      <c r="G495" s="2">
        <v>2</v>
      </c>
      <c r="H495" s="1">
        <v>0</v>
      </c>
      <c r="I495" s="1">
        <f>IF(H495 + I494 &lt; 0, H495 + I494, 0)</f>
        <v>0</v>
      </c>
      <c r="J495" s="1">
        <v>0</v>
      </c>
      <c r="K495" s="1">
        <f>IF(J495 + K494 &lt; 0, J495 + K494, 0)</f>
        <v>0</v>
      </c>
      <c r="L495" s="1">
        <v>0</v>
      </c>
      <c r="M495" s="1">
        <f>IF(L495 + M494 &lt; 0, L495 + M494, 0)</f>
        <v>0</v>
      </c>
      <c r="N495" s="1">
        <v>0</v>
      </c>
      <c r="O495" s="1">
        <f>IF(N495 + O494 &lt; 0, N495 + O494, 0)</f>
        <v>0</v>
      </c>
      <c r="P495" s="1">
        <v>0</v>
      </c>
      <c r="Q495" s="1">
        <f>IF(P495 + Q494 &lt; 0, P495 + Q494, 0)</f>
        <v>0</v>
      </c>
      <c r="R495" s="1">
        <v>0</v>
      </c>
      <c r="S495" s="1">
        <f>IF(R495 + S494 &lt; 0, R495 + S494, 0)</f>
        <v>0</v>
      </c>
      <c r="T495" s="1">
        <v>0</v>
      </c>
      <c r="U495" s="1">
        <f>IF(T495 + U494 &lt; 0, T495 + U494, 0)</f>
        <v>0</v>
      </c>
      <c r="V495" s="1">
        <v>0</v>
      </c>
      <c r="W495" s="1">
        <f>IF(V495 + W494 &lt; 0, V495 + W494, 0)</f>
        <v>0</v>
      </c>
      <c r="X495" s="1">
        <v>0</v>
      </c>
      <c r="Y495" s="1">
        <f>IF(X495 + Y494 &lt; 0, X495 + Y494, 0)</f>
        <v>0</v>
      </c>
      <c r="Z495" s="1">
        <v>0</v>
      </c>
      <c r="AA495" s="1">
        <f>IF(Z495 + AA494 &lt; 0, Z495 + AA494, 0)</f>
        <v>0</v>
      </c>
      <c r="AB495" s="1">
        <v>0</v>
      </c>
      <c r="AC495" s="1">
        <f>IF(AB495 + AC494 &lt; 0, AB495 + AC494, 0)</f>
        <v>0</v>
      </c>
      <c r="AD495" s="1">
        <v>0</v>
      </c>
      <c r="AE495" s="1">
        <f>IF(AD495 + AE494 &lt; 0, AD495 + AE494, 0)</f>
        <v>0</v>
      </c>
      <c r="AF495" s="1">
        <v>0</v>
      </c>
      <c r="AG495" s="1">
        <f>IF(AF495 + AG494 &lt; 0, AF495 + AG494, 0)</f>
        <v>0</v>
      </c>
      <c r="AH495" s="1">
        <v>0</v>
      </c>
      <c r="AI495" s="1">
        <f>IF(AH495 + AI494 &lt; 0, AH495 + AI494, 0)</f>
        <v>0</v>
      </c>
      <c r="AJ495" s="1">
        <v>0</v>
      </c>
      <c r="AK495" s="1">
        <f>IF(AJ495 + AK494 &lt; 0, AJ495 + AK494, 0)</f>
        <v>0</v>
      </c>
    </row>
    <row r="496" spans="1:37" s="1" customFormat="1">
      <c r="A496" s="3">
        <v>46023</v>
      </c>
      <c r="B496" s="2" t="s">
        <v>25</v>
      </c>
      <c r="C496" s="2">
        <v>17</v>
      </c>
      <c r="D496" s="2">
        <v>17</v>
      </c>
      <c r="E496" s="2">
        <v>17</v>
      </c>
      <c r="F496" s="2">
        <v>4</v>
      </c>
      <c r="G496" s="2">
        <v>1</v>
      </c>
      <c r="H496" s="1">
        <v>0</v>
      </c>
      <c r="I496" s="1">
        <f>IF(H496 + I495 &lt; 0, H496 + I495, 0)</f>
        <v>0</v>
      </c>
      <c r="J496" s="1">
        <v>0</v>
      </c>
      <c r="K496" s="1">
        <f>IF(J496 + K495 &lt; 0, J496 + K495, 0)</f>
        <v>0</v>
      </c>
      <c r="L496" s="1">
        <v>0</v>
      </c>
      <c r="M496" s="1">
        <f>IF(L496 + M495 &lt; 0, L496 + M495, 0)</f>
        <v>0</v>
      </c>
      <c r="N496" s="1">
        <v>0</v>
      </c>
      <c r="O496" s="1">
        <f>IF(N496 + O495 &lt; 0, N496 + O495, 0)</f>
        <v>0</v>
      </c>
      <c r="P496" s="1">
        <v>0</v>
      </c>
      <c r="Q496" s="1">
        <f>IF(P496 + Q495 &lt; 0, P496 + Q495, 0)</f>
        <v>0</v>
      </c>
      <c r="R496" s="1">
        <v>0</v>
      </c>
      <c r="S496" s="1">
        <f>IF(R496 + S495 &lt; 0, R496 + S495, 0)</f>
        <v>0</v>
      </c>
      <c r="T496" s="1">
        <v>0</v>
      </c>
      <c r="U496" s="1">
        <f>IF(T496 + U495 &lt; 0, T496 + U495, 0)</f>
        <v>0</v>
      </c>
      <c r="V496" s="1">
        <v>0</v>
      </c>
      <c r="W496" s="1">
        <f>IF(V496 + W495 &lt; 0, V496 + W495, 0)</f>
        <v>0</v>
      </c>
      <c r="X496" s="1">
        <v>0</v>
      </c>
      <c r="Y496" s="1">
        <f>IF(X496 + Y495 &lt; 0, X496 + Y495, 0)</f>
        <v>0</v>
      </c>
      <c r="Z496" s="1">
        <v>0</v>
      </c>
      <c r="AA496" s="1">
        <f>IF(Z496 + AA495 &lt; 0, Z496 + AA495, 0)</f>
        <v>0</v>
      </c>
      <c r="AB496" s="1">
        <v>0</v>
      </c>
      <c r="AC496" s="1">
        <f>IF(AB496 + AC495 &lt; 0, AB496 + AC495, 0)</f>
        <v>0</v>
      </c>
      <c r="AD496" s="1">
        <v>0</v>
      </c>
      <c r="AE496" s="1">
        <f>IF(AD496 + AE495 &lt; 0, AD496 + AE495, 0)</f>
        <v>0</v>
      </c>
      <c r="AF496" s="1">
        <v>45102.04691884074</v>
      </c>
      <c r="AG496" s="1">
        <f>IF(AF496 + AG495 &lt; 0, AF496 + AG495, 0)</f>
        <v>0</v>
      </c>
      <c r="AH496" s="1">
        <v>257538.0574516936</v>
      </c>
      <c r="AI496" s="1">
        <f>IF(AH496 + AI495 &lt; 0, AH496 + AI495, 0)</f>
        <v>0</v>
      </c>
      <c r="AJ496" s="1">
        <v>42715.84457964636</v>
      </c>
      <c r="AK496" s="1">
        <f>IF(AJ496 + AK495 &lt; 0, AJ496 + AK495, 0)</f>
        <v>0</v>
      </c>
    </row>
    <row r="497" spans="1:37" s="1" customFormat="1">
      <c r="A497" s="3">
        <v>46024</v>
      </c>
      <c r="B497" s="2" t="s">
        <v>26</v>
      </c>
      <c r="C497" s="2">
        <v>16</v>
      </c>
      <c r="D497" s="2">
        <v>16</v>
      </c>
      <c r="E497" s="2">
        <v>16</v>
      </c>
      <c r="F497" s="2">
        <v>3</v>
      </c>
      <c r="G497" s="2">
        <v>5</v>
      </c>
      <c r="H497" s="1">
        <v>0</v>
      </c>
      <c r="I497" s="1">
        <f>IF(H497 + I496 &lt; 0, H497 + I496, 0)</f>
        <v>0</v>
      </c>
      <c r="J497" s="1">
        <v>0</v>
      </c>
      <c r="K497" s="1">
        <f>IF(J497 + K496 &lt; 0, J497 + K496, 0)</f>
        <v>0</v>
      </c>
      <c r="L497" s="1">
        <v>0</v>
      </c>
      <c r="M497" s="1">
        <f>IF(L497 + M496 &lt; 0, L497 + M496, 0)</f>
        <v>0</v>
      </c>
      <c r="N497" s="1">
        <v>0</v>
      </c>
      <c r="O497" s="1">
        <f>IF(N497 + O496 &lt; 0, N497 + O496, 0)</f>
        <v>0</v>
      </c>
      <c r="P497" s="1">
        <v>0</v>
      </c>
      <c r="Q497" s="1">
        <f>IF(P497 + Q496 &lt; 0, P497 + Q496, 0)</f>
        <v>0</v>
      </c>
      <c r="R497" s="1">
        <v>0</v>
      </c>
      <c r="S497" s="1">
        <f>IF(R497 + S496 &lt; 0, R497 + S496, 0)</f>
        <v>0</v>
      </c>
      <c r="T497" s="1">
        <v>0</v>
      </c>
      <c r="U497" s="1">
        <f>IF(T497 + U496 &lt; 0, T497 + U496, 0)</f>
        <v>0</v>
      </c>
      <c r="V497" s="1">
        <v>0</v>
      </c>
      <c r="W497" s="1">
        <f>IF(V497 + W496 &lt; 0, V497 + W496, 0)</f>
        <v>0</v>
      </c>
      <c r="X497" s="1">
        <v>0</v>
      </c>
      <c r="Y497" s="1">
        <f>IF(X497 + Y496 &lt; 0, X497 + Y496, 0)</f>
        <v>0</v>
      </c>
      <c r="Z497" s="1">
        <v>0</v>
      </c>
      <c r="AA497" s="1">
        <f>IF(Z497 + AA496 &lt; 0, Z497 + AA496, 0)</f>
        <v>0</v>
      </c>
      <c r="AB497" s="1">
        <v>0</v>
      </c>
      <c r="AC497" s="1">
        <f>IF(AB497 + AC496 &lt; 0, AB497 + AC496, 0)</f>
        <v>0</v>
      </c>
      <c r="AD497" s="1">
        <v>0</v>
      </c>
      <c r="AE497" s="1">
        <f>IF(AD497 + AE496 &lt; 0, AD497 + AE496, 0)</f>
        <v>0</v>
      </c>
      <c r="AF497" s="1">
        <v>0</v>
      </c>
      <c r="AG497" s="1">
        <f>IF(AF497 + AG496 &lt; 0, AF497 + AG496, 0)</f>
        <v>0</v>
      </c>
      <c r="AH497" s="1">
        <v>0</v>
      </c>
      <c r="AI497" s="1">
        <f>IF(AH497 + AI496 &lt; 0, AH497 + AI496, 0)</f>
        <v>0</v>
      </c>
      <c r="AJ497" s="1">
        <v>0</v>
      </c>
      <c r="AK497" s="1">
        <f>IF(AJ497 + AK496 &lt; 0, AJ497 + AK496, 0)</f>
        <v>0</v>
      </c>
    </row>
    <row r="498" spans="1:37" s="1" customFormat="1">
      <c r="A498" s="3">
        <v>46027</v>
      </c>
      <c r="B498" s="2" t="s">
        <v>22</v>
      </c>
      <c r="C498" s="2">
        <v>15</v>
      </c>
      <c r="D498" s="2">
        <v>15</v>
      </c>
      <c r="E498" s="2">
        <v>15</v>
      </c>
      <c r="F498" s="2">
        <v>2</v>
      </c>
      <c r="G498" s="2">
        <v>4</v>
      </c>
      <c r="H498" s="1">
        <v>0</v>
      </c>
      <c r="I498" s="1">
        <f>IF(H498 + I497 &lt; 0, H498 + I497, 0)</f>
        <v>0</v>
      </c>
      <c r="J498" s="1">
        <v>0</v>
      </c>
      <c r="K498" s="1">
        <f>IF(J498 + K497 &lt; 0, J498 + K497, 0)</f>
        <v>0</v>
      </c>
      <c r="L498" s="1">
        <v>0</v>
      </c>
      <c r="M498" s="1">
        <f>IF(L498 + M497 &lt; 0, L498 + M497, 0)</f>
        <v>0</v>
      </c>
      <c r="N498" s="1">
        <v>0</v>
      </c>
      <c r="O498" s="1">
        <f>IF(N498 + O497 &lt; 0, N498 + O497, 0)</f>
        <v>0</v>
      </c>
      <c r="P498" s="1">
        <v>0</v>
      </c>
      <c r="Q498" s="1">
        <f>IF(P498 + Q497 &lt; 0, P498 + Q497, 0)</f>
        <v>0</v>
      </c>
      <c r="R498" s="1">
        <v>0</v>
      </c>
      <c r="S498" s="1">
        <f>IF(R498 + S497 &lt; 0, R498 + S497, 0)</f>
        <v>0</v>
      </c>
      <c r="T498" s="1">
        <v>0</v>
      </c>
      <c r="U498" s="1">
        <f>IF(T498 + U497 &lt; 0, T498 + U497, 0)</f>
        <v>0</v>
      </c>
      <c r="V498" s="1">
        <v>0</v>
      </c>
      <c r="W498" s="1">
        <f>IF(V498 + W497 &lt; 0, V498 + W497, 0)</f>
        <v>0</v>
      </c>
      <c r="X498" s="1">
        <v>0</v>
      </c>
      <c r="Y498" s="1">
        <f>IF(X498 + Y497 &lt; 0, X498 + Y497, 0)</f>
        <v>0</v>
      </c>
      <c r="Z498" s="1">
        <v>0</v>
      </c>
      <c r="AA498" s="1">
        <f>IF(Z498 + AA497 &lt; 0, Z498 + AA497, 0)</f>
        <v>0</v>
      </c>
      <c r="AB498" s="1">
        <v>0</v>
      </c>
      <c r="AC498" s="1">
        <f>IF(AB498 + AC497 &lt; 0, AB498 + AC497, 0)</f>
        <v>0</v>
      </c>
      <c r="AD498" s="1">
        <v>0</v>
      </c>
      <c r="AE498" s="1">
        <f>IF(AD498 + AE497 &lt; 0, AD498 + AE497, 0)</f>
        <v>0</v>
      </c>
      <c r="AF498" s="1">
        <v>0</v>
      </c>
      <c r="AG498" s="1">
        <f>IF(AF498 + AG497 &lt; 0, AF498 + AG497, 0)</f>
        <v>0</v>
      </c>
      <c r="AH498" s="1">
        <v>0</v>
      </c>
      <c r="AI498" s="1">
        <f>IF(AH498 + AI497 &lt; 0, AH498 + AI497, 0)</f>
        <v>0</v>
      </c>
      <c r="AJ498" s="1">
        <v>0</v>
      </c>
      <c r="AK498" s="1">
        <f>IF(AJ498 + AK497 &lt; 0, AJ498 + AK497, 0)</f>
        <v>0</v>
      </c>
    </row>
    <row r="499" spans="1:37" s="1" customFormat="1">
      <c r="A499" s="3">
        <v>46028</v>
      </c>
      <c r="B499" s="2" t="s">
        <v>23</v>
      </c>
      <c r="C499" s="2">
        <v>14</v>
      </c>
      <c r="D499" s="2">
        <v>14</v>
      </c>
      <c r="E499" s="2">
        <v>14</v>
      </c>
      <c r="F499" s="2">
        <v>1</v>
      </c>
      <c r="G499" s="2">
        <v>3</v>
      </c>
      <c r="H499" s="1">
        <v>0</v>
      </c>
      <c r="I499" s="1">
        <f>IF(H499 + I498 &lt; 0, H499 + I498, 0)</f>
        <v>0</v>
      </c>
      <c r="J499" s="1">
        <v>0</v>
      </c>
      <c r="K499" s="1">
        <f>IF(J499 + K498 &lt; 0, J499 + K498, 0)</f>
        <v>0</v>
      </c>
      <c r="L499" s="1">
        <v>0</v>
      </c>
      <c r="M499" s="1">
        <f>IF(L499 + M498 &lt; 0, L499 + M498, 0)</f>
        <v>0</v>
      </c>
      <c r="N499" s="1">
        <v>0</v>
      </c>
      <c r="O499" s="1">
        <f>IF(N499 + O498 &lt; 0, N499 + O498, 0)</f>
        <v>0</v>
      </c>
      <c r="P499" s="1">
        <v>0</v>
      </c>
      <c r="Q499" s="1">
        <f>IF(P499 + Q498 &lt; 0, P499 + Q498, 0)</f>
        <v>0</v>
      </c>
      <c r="R499" s="1">
        <v>0</v>
      </c>
      <c r="S499" s="1">
        <f>IF(R499 + S498 &lt; 0, R499 + S498, 0)</f>
        <v>0</v>
      </c>
      <c r="T499" s="1">
        <v>0</v>
      </c>
      <c r="U499" s="1">
        <f>IF(T499 + U498 &lt; 0, T499 + U498, 0)</f>
        <v>0</v>
      </c>
      <c r="V499" s="1">
        <v>0</v>
      </c>
      <c r="W499" s="1">
        <f>IF(V499 + W498 &lt; 0, V499 + W498, 0)</f>
        <v>0</v>
      </c>
      <c r="X499" s="1">
        <v>0</v>
      </c>
      <c r="Y499" s="1">
        <f>IF(X499 + Y498 &lt; 0, X499 + Y498, 0)</f>
        <v>0</v>
      </c>
      <c r="Z499" s="1">
        <v>240344.7726787532</v>
      </c>
      <c r="AA499" s="1">
        <f>IF(Z499 + AA498 &lt; 0, Z499 + AA498, 0)</f>
        <v>0</v>
      </c>
      <c r="AB499" s="1">
        <v>177079.4873501477</v>
      </c>
      <c r="AC499" s="1">
        <f>IF(AB499 + AC498 &lt; 0, AB499 + AC498, 0)</f>
        <v>0</v>
      </c>
      <c r="AD499" s="1">
        <v>321691.3059425501</v>
      </c>
      <c r="AE499" s="1">
        <f>IF(AD499 + AE498 &lt; 0, AD499 + AE498, 0)</f>
        <v>0</v>
      </c>
      <c r="AF499" s="1">
        <v>0</v>
      </c>
      <c r="AG499" s="1">
        <f>IF(AF499 + AG498 &lt; 0, AF499 + AG498, 0)</f>
        <v>0</v>
      </c>
      <c r="AH499" s="1">
        <v>0</v>
      </c>
      <c r="AI499" s="1">
        <f>IF(AH499 + AI498 &lt; 0, AH499 + AI498, 0)</f>
        <v>0</v>
      </c>
      <c r="AJ499" s="1">
        <v>0</v>
      </c>
      <c r="AK499" s="1">
        <f>IF(AJ499 + AK498 &lt; 0, AJ499 + AK498, 0)</f>
        <v>0</v>
      </c>
    </row>
    <row r="500" spans="1:37" s="1" customFormat="1">
      <c r="A500" s="3">
        <v>46029</v>
      </c>
      <c r="B500" s="2" t="s">
        <v>24</v>
      </c>
      <c r="C500" s="2">
        <v>13</v>
      </c>
      <c r="D500" s="2">
        <v>13</v>
      </c>
      <c r="E500" s="2">
        <v>13</v>
      </c>
      <c r="F500" s="2">
        <v>5</v>
      </c>
      <c r="G500" s="2">
        <v>2</v>
      </c>
      <c r="H500" s="1">
        <v>0</v>
      </c>
      <c r="I500" s="1">
        <f>IF(H500 + I499 &lt; 0, H500 + I499, 0)</f>
        <v>0</v>
      </c>
      <c r="J500" s="1">
        <v>0</v>
      </c>
      <c r="K500" s="1">
        <f>IF(J500 + K499 &lt; 0, J500 + K499, 0)</f>
        <v>0</v>
      </c>
      <c r="L500" s="1">
        <v>0</v>
      </c>
      <c r="M500" s="1">
        <f>IF(L500 + M499 &lt; 0, L500 + M499, 0)</f>
        <v>0</v>
      </c>
      <c r="N500" s="1">
        <v>0</v>
      </c>
      <c r="O500" s="1">
        <f>IF(N500 + O499 &lt; 0, N500 + O499, 0)</f>
        <v>0</v>
      </c>
      <c r="P500" s="1">
        <v>0</v>
      </c>
      <c r="Q500" s="1">
        <f>IF(P500 + Q499 &lt; 0, P500 + Q499, 0)</f>
        <v>0</v>
      </c>
      <c r="R500" s="1">
        <v>0</v>
      </c>
      <c r="S500" s="1">
        <f>IF(R500 + S499 &lt; 0, R500 + S499, 0)</f>
        <v>0</v>
      </c>
      <c r="T500" s="1">
        <v>0</v>
      </c>
      <c r="U500" s="1">
        <f>IF(T500 + U499 &lt; 0, T500 + U499, 0)</f>
        <v>0</v>
      </c>
      <c r="V500" s="1">
        <v>0</v>
      </c>
      <c r="W500" s="1">
        <f>IF(V500 + W499 &lt; 0, V500 + W499, 0)</f>
        <v>0</v>
      </c>
      <c r="X500" s="1">
        <v>0</v>
      </c>
      <c r="Y500" s="1">
        <f>IF(X500 + Y499 &lt; 0, X500 + Y499, 0)</f>
        <v>0</v>
      </c>
      <c r="Z500" s="1">
        <v>0</v>
      </c>
      <c r="AA500" s="1">
        <f>IF(Z500 + AA499 &lt; 0, Z500 + AA499, 0)</f>
        <v>0</v>
      </c>
      <c r="AB500" s="1">
        <v>0</v>
      </c>
      <c r="AC500" s="1">
        <f>IF(AB500 + AC499 &lt; 0, AB500 + AC499, 0)</f>
        <v>0</v>
      </c>
      <c r="AD500" s="1">
        <v>0</v>
      </c>
      <c r="AE500" s="1">
        <f>IF(AD500 + AE499 &lt; 0, AD500 + AE499, 0)</f>
        <v>0</v>
      </c>
      <c r="AF500" s="1">
        <v>0</v>
      </c>
      <c r="AG500" s="1">
        <f>IF(AF500 + AG499 &lt; 0, AF500 + AG499, 0)</f>
        <v>0</v>
      </c>
      <c r="AH500" s="1">
        <v>0</v>
      </c>
      <c r="AI500" s="1">
        <f>IF(AH500 + AI499 &lt; 0, AH500 + AI499, 0)</f>
        <v>0</v>
      </c>
      <c r="AJ500" s="1">
        <v>0</v>
      </c>
      <c r="AK500" s="1">
        <f>IF(AJ500 + AK499 &lt; 0, AJ500 + AK499, 0)</f>
        <v>0</v>
      </c>
    </row>
    <row r="501" spans="1:37" s="1" customFormat="1">
      <c r="A501" s="3">
        <v>46030</v>
      </c>
      <c r="B501" s="2" t="s">
        <v>25</v>
      </c>
      <c r="C501" s="2">
        <v>12</v>
      </c>
      <c r="D501" s="2">
        <v>12</v>
      </c>
      <c r="E501" s="2">
        <v>12</v>
      </c>
      <c r="F501" s="2">
        <v>4</v>
      </c>
      <c r="G501" s="2">
        <v>1</v>
      </c>
      <c r="H501" s="1">
        <v>0</v>
      </c>
      <c r="I501" s="1">
        <f>IF(H501 + I500 &lt; 0, H501 + I500, 0)</f>
        <v>0</v>
      </c>
      <c r="J501" s="1">
        <v>0</v>
      </c>
      <c r="K501" s="1">
        <f>IF(J501 + K500 &lt; 0, J501 + K500, 0)</f>
        <v>0</v>
      </c>
      <c r="L501" s="1">
        <v>0</v>
      </c>
      <c r="M501" s="1">
        <f>IF(L501 + M500 &lt; 0, L501 + M500, 0)</f>
        <v>0</v>
      </c>
      <c r="N501" s="1">
        <v>0</v>
      </c>
      <c r="O501" s="1">
        <f>IF(N501 + O500 &lt; 0, N501 + O500, 0)</f>
        <v>0</v>
      </c>
      <c r="P501" s="1">
        <v>0</v>
      </c>
      <c r="Q501" s="1">
        <f>IF(P501 + Q500 &lt; 0, P501 + Q500, 0)</f>
        <v>0</v>
      </c>
      <c r="R501" s="1">
        <v>0</v>
      </c>
      <c r="S501" s="1">
        <f>IF(R501 + S500 &lt; 0, R501 + S500, 0)</f>
        <v>0</v>
      </c>
      <c r="T501" s="1">
        <v>0</v>
      </c>
      <c r="U501" s="1">
        <f>IF(T501 + U500 &lt; 0, T501 + U500, 0)</f>
        <v>0</v>
      </c>
      <c r="V501" s="1">
        <v>0</v>
      </c>
      <c r="W501" s="1">
        <f>IF(V501 + W500 &lt; 0, V501 + W500, 0)</f>
        <v>0</v>
      </c>
      <c r="X501" s="1">
        <v>0</v>
      </c>
      <c r="Y501" s="1">
        <f>IF(X501 + Y500 &lt; 0, X501 + Y500, 0)</f>
        <v>0</v>
      </c>
      <c r="Z501" s="1">
        <v>0</v>
      </c>
      <c r="AA501" s="1">
        <f>IF(Z501 + AA500 &lt; 0, Z501 + AA500, 0)</f>
        <v>0</v>
      </c>
      <c r="AB501" s="1">
        <v>0</v>
      </c>
      <c r="AC501" s="1">
        <f>IF(AB501 + AC500 &lt; 0, AB501 + AC500, 0)</f>
        <v>0</v>
      </c>
      <c r="AD501" s="1">
        <v>0</v>
      </c>
      <c r="AE501" s="1">
        <f>IF(AD501 + AE500 &lt; 0, AD501 + AE500, 0)</f>
        <v>0</v>
      </c>
      <c r="AF501" s="1">
        <v>-173721.0388378623</v>
      </c>
      <c r="AG501" s="1">
        <f>IF(AF501 + AG500 &lt; 0, AF501 + AG500, 0)</f>
        <v>0</v>
      </c>
      <c r="AH501" s="1">
        <v>-194622.3845893141</v>
      </c>
      <c r="AI501" s="1">
        <f>IF(AH501 + AI500 &lt; 0, AH501 + AI500, 0)</f>
        <v>0</v>
      </c>
      <c r="AJ501" s="1">
        <v>-20361.51806504558</v>
      </c>
      <c r="AK501" s="1">
        <f>IF(AJ501 + AK500 &lt; 0, AJ501 + AK500, 0)</f>
        <v>0</v>
      </c>
    </row>
    <row r="502" spans="1:37" s="1" customFormat="1">
      <c r="A502" s="3">
        <v>46031</v>
      </c>
      <c r="B502" s="2" t="s">
        <v>26</v>
      </c>
      <c r="C502" s="2">
        <v>11</v>
      </c>
      <c r="D502" s="2">
        <v>11</v>
      </c>
      <c r="E502" s="2">
        <v>11</v>
      </c>
      <c r="F502" s="2">
        <v>3</v>
      </c>
      <c r="G502" s="2">
        <v>4</v>
      </c>
      <c r="H502" s="1">
        <v>0</v>
      </c>
      <c r="I502" s="1">
        <f>IF(H502 + I501 &lt; 0, H502 + I501, 0)</f>
        <v>0</v>
      </c>
      <c r="J502" s="1">
        <v>0</v>
      </c>
      <c r="K502" s="1">
        <f>IF(J502 + K501 &lt; 0, J502 + K501, 0)</f>
        <v>0</v>
      </c>
      <c r="L502" s="1">
        <v>0</v>
      </c>
      <c r="M502" s="1">
        <f>IF(L502 + M501 &lt; 0, L502 + M501, 0)</f>
        <v>0</v>
      </c>
      <c r="N502" s="1">
        <v>0</v>
      </c>
      <c r="O502" s="1">
        <f>IF(N502 + O501 &lt; 0, N502 + O501, 0)</f>
        <v>0</v>
      </c>
      <c r="P502" s="1">
        <v>0</v>
      </c>
      <c r="Q502" s="1">
        <f>IF(P502 + Q501 &lt; 0, P502 + Q501, 0)</f>
        <v>0</v>
      </c>
      <c r="R502" s="1">
        <v>0</v>
      </c>
      <c r="S502" s="1">
        <f>IF(R502 + S501 &lt; 0, R502 + S501, 0)</f>
        <v>0</v>
      </c>
      <c r="T502" s="1">
        <v>0</v>
      </c>
      <c r="U502" s="1">
        <f>IF(T502 + U501 &lt; 0, T502 + U501, 0)</f>
        <v>0</v>
      </c>
      <c r="V502" s="1">
        <v>0</v>
      </c>
      <c r="W502" s="1">
        <f>IF(V502 + W501 &lt; 0, V502 + W501, 0)</f>
        <v>0</v>
      </c>
      <c r="X502" s="1">
        <v>0</v>
      </c>
      <c r="Y502" s="1">
        <f>IF(X502 + Y501 &lt; 0, X502 + Y501, 0)</f>
        <v>0</v>
      </c>
      <c r="Z502" s="1">
        <v>0</v>
      </c>
      <c r="AA502" s="1">
        <f>IF(Z502 + AA501 &lt; 0, Z502 + AA501, 0)</f>
        <v>0</v>
      </c>
      <c r="AB502" s="1">
        <v>0</v>
      </c>
      <c r="AC502" s="1">
        <f>IF(AB502 + AC501 &lt; 0, AB502 + AC501, 0)</f>
        <v>0</v>
      </c>
      <c r="AD502" s="1">
        <v>0</v>
      </c>
      <c r="AE502" s="1">
        <f>IF(AD502 + AE501 &lt; 0, AD502 + AE501, 0)</f>
        <v>0</v>
      </c>
      <c r="AF502" s="1">
        <v>0</v>
      </c>
      <c r="AG502" s="1">
        <f>IF(AF502 + AG501 &lt; 0, AF502 + AG501, 0)</f>
        <v>0</v>
      </c>
      <c r="AH502" s="1">
        <v>0</v>
      </c>
      <c r="AI502" s="1">
        <f>IF(AH502 + AI501 &lt; 0, AH502 + AI501, 0)</f>
        <v>0</v>
      </c>
      <c r="AJ502" s="1">
        <v>0</v>
      </c>
      <c r="AK502" s="1">
        <f>IF(AJ502 + AK501 &lt; 0, AJ502 + AK501, 0)</f>
        <v>0</v>
      </c>
    </row>
    <row r="503" spans="1:37" s="1" customFormat="1">
      <c r="A503" s="3">
        <v>46034</v>
      </c>
      <c r="B503" s="2" t="s">
        <v>22</v>
      </c>
      <c r="C503" s="2">
        <v>10</v>
      </c>
      <c r="D503" s="2">
        <v>10</v>
      </c>
      <c r="E503" s="2">
        <v>10</v>
      </c>
      <c r="F503" s="2">
        <v>2</v>
      </c>
      <c r="G503" s="2">
        <v>3</v>
      </c>
      <c r="H503" s="1">
        <v>0</v>
      </c>
      <c r="I503" s="1">
        <f>IF(H503 + I502 &lt; 0, H503 + I502, 0)</f>
        <v>0</v>
      </c>
      <c r="J503" s="1">
        <v>0</v>
      </c>
      <c r="K503" s="1">
        <f>IF(J503 + K502 &lt; 0, J503 + K502, 0)</f>
        <v>0</v>
      </c>
      <c r="L503" s="1">
        <v>0</v>
      </c>
      <c r="M503" s="1">
        <f>IF(L503 + M502 &lt; 0, L503 + M502, 0)</f>
        <v>0</v>
      </c>
      <c r="N503" s="1">
        <v>0</v>
      </c>
      <c r="O503" s="1">
        <f>IF(N503 + O502 &lt; 0, N503 + O502, 0)</f>
        <v>0</v>
      </c>
      <c r="P503" s="1">
        <v>0</v>
      </c>
      <c r="Q503" s="1">
        <f>IF(P503 + Q502 &lt; 0, P503 + Q502, 0)</f>
        <v>0</v>
      </c>
      <c r="R503" s="1">
        <v>0</v>
      </c>
      <c r="S503" s="1">
        <f>IF(R503 + S502 &lt; 0, R503 + S502, 0)</f>
        <v>0</v>
      </c>
      <c r="T503" s="1">
        <v>0</v>
      </c>
      <c r="U503" s="1">
        <f>IF(T503 + U502 &lt; 0, T503 + U502, 0)</f>
        <v>0</v>
      </c>
      <c r="V503" s="1">
        <v>0</v>
      </c>
      <c r="W503" s="1">
        <f>IF(V503 + W502 &lt; 0, V503 + W502, 0)</f>
        <v>0</v>
      </c>
      <c r="X503" s="1">
        <v>0</v>
      </c>
      <c r="Y503" s="1">
        <f>IF(X503 + Y502 &lt; 0, X503 + Y502, 0)</f>
        <v>0</v>
      </c>
      <c r="Z503" s="1">
        <v>0</v>
      </c>
      <c r="AA503" s="1">
        <f>IF(Z503 + AA502 &lt; 0, Z503 + AA502, 0)</f>
        <v>0</v>
      </c>
      <c r="AB503" s="1">
        <v>0</v>
      </c>
      <c r="AC503" s="1">
        <f>IF(AB503 + AC502 &lt; 0, AB503 + AC502, 0)</f>
        <v>0</v>
      </c>
      <c r="AD503" s="1">
        <v>0</v>
      </c>
      <c r="AE503" s="1">
        <f>IF(AD503 + AE502 &lt; 0, AD503 + AE502, 0)</f>
        <v>0</v>
      </c>
      <c r="AF503" s="1">
        <v>0</v>
      </c>
      <c r="AG503" s="1">
        <f>IF(AF503 + AG502 &lt; 0, AF503 + AG502, 0)</f>
        <v>0</v>
      </c>
      <c r="AH503" s="1">
        <v>0</v>
      </c>
      <c r="AI503" s="1">
        <f>IF(AH503 + AI502 &lt; 0, AH503 + AI502, 0)</f>
        <v>0</v>
      </c>
      <c r="AJ503" s="1">
        <v>0</v>
      </c>
      <c r="AK503" s="1">
        <f>IF(AJ503 + AK502 &lt; 0, AJ503 + AK502, 0)</f>
        <v>0</v>
      </c>
    </row>
    <row r="504" spans="1:37" s="1" customFormat="1">
      <c r="A504" s="3">
        <v>46035</v>
      </c>
      <c r="B504" s="2" t="s">
        <v>23</v>
      </c>
      <c r="C504" s="2">
        <v>9</v>
      </c>
      <c r="D504" s="2">
        <v>9</v>
      </c>
      <c r="E504" s="2">
        <v>9</v>
      </c>
      <c r="F504" s="2">
        <v>1</v>
      </c>
      <c r="G504" s="2">
        <v>2</v>
      </c>
      <c r="H504" s="1">
        <v>0</v>
      </c>
      <c r="I504" s="1">
        <f>IF(H504 + I503 &lt; 0, H504 + I503, 0)</f>
        <v>0</v>
      </c>
      <c r="J504" s="1">
        <v>0</v>
      </c>
      <c r="K504" s="1">
        <f>IF(J504 + K503 &lt; 0, J504 + K503, 0)</f>
        <v>0</v>
      </c>
      <c r="L504" s="1">
        <v>0</v>
      </c>
      <c r="M504" s="1">
        <f>IF(L504 + M503 &lt; 0, L504 + M503, 0)</f>
        <v>0</v>
      </c>
      <c r="N504" s="1">
        <v>0</v>
      </c>
      <c r="O504" s="1">
        <f>IF(N504 + O503 &lt; 0, N504 + O503, 0)</f>
        <v>0</v>
      </c>
      <c r="P504" s="1">
        <v>0</v>
      </c>
      <c r="Q504" s="1">
        <f>IF(P504 + Q503 &lt; 0, P504 + Q503, 0)</f>
        <v>0</v>
      </c>
      <c r="R504" s="1">
        <v>0</v>
      </c>
      <c r="S504" s="1">
        <f>IF(R504 + S503 &lt; 0, R504 + S503, 0)</f>
        <v>0</v>
      </c>
      <c r="T504" s="1">
        <v>0</v>
      </c>
      <c r="U504" s="1">
        <f>IF(T504 + U503 &lt; 0, T504 + U503, 0)</f>
        <v>0</v>
      </c>
      <c r="V504" s="1">
        <v>0</v>
      </c>
      <c r="W504" s="1">
        <f>IF(V504 + W503 &lt; 0, V504 + W503, 0)</f>
        <v>0</v>
      </c>
      <c r="X504" s="1">
        <v>0</v>
      </c>
      <c r="Y504" s="1">
        <f>IF(X504 + Y503 &lt; 0, X504 + Y503, 0)</f>
        <v>0</v>
      </c>
      <c r="Z504" s="1">
        <v>-927973.9532799881</v>
      </c>
      <c r="AA504" s="1">
        <f>IF(Z504 + AA503 &lt; 0, Z504 + AA503, 0)</f>
        <v>0</v>
      </c>
      <c r="AB504" s="1">
        <v>-767158.0977148383</v>
      </c>
      <c r="AC504" s="1">
        <f>IF(AB504 + AC503 &lt; 0, AB504 + AC503, 0)</f>
        <v>0</v>
      </c>
      <c r="AD504" s="1">
        <v>-548616.8686966382</v>
      </c>
      <c r="AE504" s="1">
        <f>IF(AD504 + AE503 &lt; 0, AD504 + AE503, 0)</f>
        <v>0</v>
      </c>
      <c r="AF504" s="1">
        <v>0</v>
      </c>
      <c r="AG504" s="1">
        <f>IF(AF504 + AG503 &lt; 0, AF504 + AG503, 0)</f>
        <v>0</v>
      </c>
      <c r="AH504" s="1">
        <v>0</v>
      </c>
      <c r="AI504" s="1">
        <f>IF(AH504 + AI503 &lt; 0, AH504 + AI503, 0)</f>
        <v>0</v>
      </c>
      <c r="AJ504" s="1">
        <v>0</v>
      </c>
      <c r="AK504" s="1">
        <f>IF(AJ504 + AK503 &lt; 0, AJ504 + AK503, 0)</f>
        <v>0</v>
      </c>
    </row>
    <row r="505" spans="1:37" s="1" customFormat="1">
      <c r="A505" s="3">
        <v>46036</v>
      </c>
      <c r="B505" s="2" t="s">
        <v>24</v>
      </c>
      <c r="C505" s="2">
        <v>8</v>
      </c>
      <c r="D505" s="2">
        <v>8</v>
      </c>
      <c r="E505" s="2">
        <v>8</v>
      </c>
      <c r="F505" s="2">
        <v>4</v>
      </c>
      <c r="G505" s="2">
        <v>1</v>
      </c>
      <c r="H505" s="1">
        <v>0</v>
      </c>
      <c r="I505" s="1">
        <f>IF(H505 + I504 &lt; 0, H505 + I504, 0)</f>
        <v>0</v>
      </c>
      <c r="J505" s="1">
        <v>0</v>
      </c>
      <c r="K505" s="1">
        <f>IF(J505 + K504 &lt; 0, J505 + K504, 0)</f>
        <v>0</v>
      </c>
      <c r="L505" s="1">
        <v>0</v>
      </c>
      <c r="M505" s="1">
        <f>IF(L505 + M504 &lt; 0, L505 + M504, 0)</f>
        <v>0</v>
      </c>
      <c r="N505" s="1">
        <v>0</v>
      </c>
      <c r="O505" s="1">
        <f>IF(N505 + O504 &lt; 0, N505 + O504, 0)</f>
        <v>0</v>
      </c>
      <c r="P505" s="1">
        <v>0</v>
      </c>
      <c r="Q505" s="1">
        <f>IF(P505 + Q504 &lt; 0, P505 + Q504, 0)</f>
        <v>0</v>
      </c>
      <c r="R505" s="1">
        <v>0</v>
      </c>
      <c r="S505" s="1">
        <f>IF(R505 + S504 &lt; 0, R505 + S504, 0)</f>
        <v>0</v>
      </c>
      <c r="T505" s="1">
        <v>0</v>
      </c>
      <c r="U505" s="1">
        <f>IF(T505 + U504 &lt; 0, T505 + U504, 0)</f>
        <v>0</v>
      </c>
      <c r="V505" s="1">
        <v>0</v>
      </c>
      <c r="W505" s="1">
        <f>IF(V505 + W504 &lt; 0, V505 + W504, 0)</f>
        <v>0</v>
      </c>
      <c r="X505" s="1">
        <v>0</v>
      </c>
      <c r="Y505" s="1">
        <f>IF(X505 + Y504 &lt; 0, X505 + Y504, 0)</f>
        <v>0</v>
      </c>
      <c r="Z505" s="1">
        <v>0</v>
      </c>
      <c r="AA505" s="1">
        <f>IF(Z505 + AA504 &lt; 0, Z505 + AA504, 0)</f>
        <v>0</v>
      </c>
      <c r="AB505" s="1">
        <v>0</v>
      </c>
      <c r="AC505" s="1">
        <f>IF(AB505 + AC504 &lt; 0, AB505 + AC504, 0)</f>
        <v>0</v>
      </c>
      <c r="AD505" s="1">
        <v>0</v>
      </c>
      <c r="AE505" s="1">
        <f>IF(AD505 + AE504 &lt; 0, AD505 + AE504, 0)</f>
        <v>0</v>
      </c>
      <c r="AF505" s="1">
        <v>-332000.7254447509</v>
      </c>
      <c r="AG505" s="1">
        <f>IF(AF505 + AG504 &lt; 0, AF505 + AG504, 0)</f>
        <v>0</v>
      </c>
      <c r="AH505" s="1">
        <v>-332000.7254447509</v>
      </c>
      <c r="AI505" s="1">
        <f>IF(AH505 + AI504 &lt; 0, AH505 + AI504, 0)</f>
        <v>0</v>
      </c>
      <c r="AJ505" s="1">
        <v>209221.1859160791</v>
      </c>
      <c r="AK505" s="1">
        <f>IF(AJ505 + AK504 &lt; 0, AJ505 + AK504, 0)</f>
        <v>0</v>
      </c>
    </row>
    <row r="506" spans="1:37" s="1" customFormat="1">
      <c r="A506" s="3">
        <v>46038</v>
      </c>
      <c r="B506" s="2" t="s">
        <v>26</v>
      </c>
      <c r="C506" s="2">
        <v>7</v>
      </c>
      <c r="D506" s="2">
        <v>7</v>
      </c>
      <c r="E506" s="2">
        <v>7</v>
      </c>
      <c r="F506" s="2">
        <v>3</v>
      </c>
      <c r="G506" s="2">
        <v>5</v>
      </c>
      <c r="H506" s="1">
        <v>0</v>
      </c>
      <c r="I506" s="1">
        <f>IF(H506 + I505 &lt; 0, H506 + I505, 0)</f>
        <v>0</v>
      </c>
      <c r="J506" s="1">
        <v>0</v>
      </c>
      <c r="K506" s="1">
        <f>IF(J506 + K505 &lt; 0, J506 + K505, 0)</f>
        <v>0</v>
      </c>
      <c r="L506" s="1">
        <v>0</v>
      </c>
      <c r="M506" s="1">
        <f>IF(L506 + M505 &lt; 0, L506 + M505, 0)</f>
        <v>0</v>
      </c>
      <c r="N506" s="1">
        <v>0</v>
      </c>
      <c r="O506" s="1">
        <f>IF(N506 + O505 &lt; 0, N506 + O505, 0)</f>
        <v>0</v>
      </c>
      <c r="P506" s="1">
        <v>0</v>
      </c>
      <c r="Q506" s="1">
        <f>IF(P506 + Q505 &lt; 0, P506 + Q505, 0)</f>
        <v>0</v>
      </c>
      <c r="R506" s="1">
        <v>0</v>
      </c>
      <c r="S506" s="1">
        <f>IF(R506 + S505 &lt; 0, R506 + S505, 0)</f>
        <v>0</v>
      </c>
      <c r="T506" s="1">
        <v>0</v>
      </c>
      <c r="U506" s="1">
        <f>IF(T506 + U505 &lt; 0, T506 + U505, 0)</f>
        <v>0</v>
      </c>
      <c r="V506" s="1">
        <v>0</v>
      </c>
      <c r="W506" s="1">
        <f>IF(V506 + W505 &lt; 0, V506 + W505, 0)</f>
        <v>0</v>
      </c>
      <c r="X506" s="1">
        <v>0</v>
      </c>
      <c r="Y506" s="1">
        <f>IF(X506 + Y505 &lt; 0, X506 + Y505, 0)</f>
        <v>0</v>
      </c>
      <c r="Z506" s="1">
        <v>0</v>
      </c>
      <c r="AA506" s="1">
        <f>IF(Z506 + AA505 &lt; 0, Z506 + AA505, 0)</f>
        <v>0</v>
      </c>
      <c r="AB506" s="1">
        <v>0</v>
      </c>
      <c r="AC506" s="1">
        <f>IF(AB506 + AC505 &lt; 0, AB506 + AC505, 0)</f>
        <v>0</v>
      </c>
      <c r="AD506" s="1">
        <v>0</v>
      </c>
      <c r="AE506" s="1">
        <f>IF(AD506 + AE505 &lt; 0, AD506 + AE505, 0)</f>
        <v>0</v>
      </c>
      <c r="AF506" s="1">
        <v>0</v>
      </c>
      <c r="AG506" s="1">
        <f>IF(AF506 + AG505 &lt; 0, AF506 + AG505, 0)</f>
        <v>0</v>
      </c>
      <c r="AH506" s="1">
        <v>0</v>
      </c>
      <c r="AI506" s="1">
        <f>IF(AH506 + AI505 &lt; 0, AH506 + AI505, 0)</f>
        <v>0</v>
      </c>
      <c r="AJ506" s="1">
        <v>0</v>
      </c>
      <c r="AK506" s="1">
        <f>IF(AJ506 + AK505 &lt; 0, AJ506 + AK505, 0)</f>
        <v>0</v>
      </c>
    </row>
    <row r="507" spans="1:37" s="1" customFormat="1">
      <c r="A507" s="3">
        <v>46041</v>
      </c>
      <c r="B507" s="2" t="s">
        <v>22</v>
      </c>
      <c r="C507" s="2">
        <v>6</v>
      </c>
      <c r="D507" s="2">
        <v>6</v>
      </c>
      <c r="E507" s="2">
        <v>6</v>
      </c>
      <c r="F507" s="2">
        <v>2</v>
      </c>
      <c r="G507" s="2">
        <v>4</v>
      </c>
      <c r="H507" s="1">
        <v>0</v>
      </c>
      <c r="I507" s="1">
        <f>IF(H507 + I506 &lt; 0, H507 + I506, 0)</f>
        <v>0</v>
      </c>
      <c r="J507" s="1">
        <v>0</v>
      </c>
      <c r="K507" s="1">
        <f>IF(J507 + K506 &lt; 0, J507 + K506, 0)</f>
        <v>0</v>
      </c>
      <c r="L507" s="1">
        <v>0</v>
      </c>
      <c r="M507" s="1">
        <f>IF(L507 + M506 &lt; 0, L507 + M506, 0)</f>
        <v>0</v>
      </c>
      <c r="N507" s="1">
        <v>0</v>
      </c>
      <c r="O507" s="1">
        <f>IF(N507 + O506 &lt; 0, N507 + O506, 0)</f>
        <v>0</v>
      </c>
      <c r="P507" s="1">
        <v>0</v>
      </c>
      <c r="Q507" s="1">
        <f>IF(P507 + Q506 &lt; 0, P507 + Q506, 0)</f>
        <v>0</v>
      </c>
      <c r="R507" s="1">
        <v>0</v>
      </c>
      <c r="S507" s="1">
        <f>IF(R507 + S506 &lt; 0, R507 + S506, 0)</f>
        <v>0</v>
      </c>
      <c r="T507" s="1">
        <v>0</v>
      </c>
      <c r="U507" s="1">
        <f>IF(T507 + U506 &lt; 0, T507 + U506, 0)</f>
        <v>0</v>
      </c>
      <c r="V507" s="1">
        <v>0</v>
      </c>
      <c r="W507" s="1">
        <f>IF(V507 + W506 &lt; 0, V507 + W506, 0)</f>
        <v>0</v>
      </c>
      <c r="X507" s="1">
        <v>0</v>
      </c>
      <c r="Y507" s="1">
        <f>IF(X507 + Y506 &lt; 0, X507 + Y506, 0)</f>
        <v>0</v>
      </c>
      <c r="Z507" s="1">
        <v>0</v>
      </c>
      <c r="AA507" s="1">
        <f>IF(Z507 + AA506 &lt; 0, Z507 + AA506, 0)</f>
        <v>0</v>
      </c>
      <c r="AB507" s="1">
        <v>0</v>
      </c>
      <c r="AC507" s="1">
        <f>IF(AB507 + AC506 &lt; 0, AB507 + AC506, 0)</f>
        <v>0</v>
      </c>
      <c r="AD507" s="1">
        <v>0</v>
      </c>
      <c r="AE507" s="1">
        <f>IF(AD507 + AE506 &lt; 0, AD507 + AE506, 0)</f>
        <v>0</v>
      </c>
      <c r="AF507" s="1">
        <v>0</v>
      </c>
      <c r="AG507" s="1">
        <f>IF(AF507 + AG506 &lt; 0, AF507 + AG506, 0)</f>
        <v>0</v>
      </c>
      <c r="AH507" s="1">
        <v>0</v>
      </c>
      <c r="AI507" s="1">
        <f>IF(AH507 + AI506 &lt; 0, AH507 + AI506, 0)</f>
        <v>0</v>
      </c>
      <c r="AJ507" s="1">
        <v>0</v>
      </c>
      <c r="AK507" s="1">
        <f>IF(AJ507 + AK506 &lt; 0, AJ507 + AK506, 0)</f>
        <v>0</v>
      </c>
    </row>
    <row r="508" spans="1:37" s="1" customFormat="1">
      <c r="A508" s="3">
        <v>46042</v>
      </c>
      <c r="B508" s="2" t="s">
        <v>23</v>
      </c>
      <c r="C508" s="2">
        <v>5</v>
      </c>
      <c r="D508" s="2">
        <v>5</v>
      </c>
      <c r="E508" s="2">
        <v>5</v>
      </c>
      <c r="F508" s="2">
        <v>1</v>
      </c>
      <c r="G508" s="2">
        <v>3</v>
      </c>
      <c r="H508" s="1">
        <v>0</v>
      </c>
      <c r="I508" s="1">
        <f>IF(H508 + I507 &lt; 0, H508 + I507, 0)</f>
        <v>0</v>
      </c>
      <c r="J508" s="1">
        <v>0</v>
      </c>
      <c r="K508" s="1">
        <f>IF(J508 + K507 &lt; 0, J508 + K507, 0)</f>
        <v>0</v>
      </c>
      <c r="L508" s="1">
        <v>0</v>
      </c>
      <c r="M508" s="1">
        <f>IF(L508 + M507 &lt; 0, L508 + M507, 0)</f>
        <v>0</v>
      </c>
      <c r="N508" s="1">
        <v>0</v>
      </c>
      <c r="O508" s="1">
        <f>IF(N508 + O507 &lt; 0, N508 + O507, 0)</f>
        <v>0</v>
      </c>
      <c r="P508" s="1">
        <v>0</v>
      </c>
      <c r="Q508" s="1">
        <f>IF(P508 + Q507 &lt; 0, P508 + Q507, 0)</f>
        <v>0</v>
      </c>
      <c r="R508" s="1">
        <v>0</v>
      </c>
      <c r="S508" s="1">
        <f>IF(R508 + S507 &lt; 0, R508 + S507, 0)</f>
        <v>0</v>
      </c>
      <c r="T508" s="1">
        <v>0</v>
      </c>
      <c r="U508" s="1">
        <f>IF(T508 + U507 &lt; 0, T508 + U507, 0)</f>
        <v>0</v>
      </c>
      <c r="V508" s="1">
        <v>0</v>
      </c>
      <c r="W508" s="1">
        <f>IF(V508 + W507 &lt; 0, V508 + W507, 0)</f>
        <v>0</v>
      </c>
      <c r="X508" s="1">
        <v>0</v>
      </c>
      <c r="Y508" s="1">
        <f>IF(X508 + Y507 &lt; 0, X508 + Y507, 0)</f>
        <v>0</v>
      </c>
      <c r="Z508" s="1">
        <v>76281.01403898868</v>
      </c>
      <c r="AA508" s="1">
        <f>IF(Z508 + AA507 &lt; 0, Z508 + AA507, 0)</f>
        <v>0</v>
      </c>
      <c r="AB508" s="1">
        <v>76281.01403898868</v>
      </c>
      <c r="AC508" s="1">
        <f>IF(AB508 + AC507 &lt; 0, AB508 + AC507, 0)</f>
        <v>0</v>
      </c>
      <c r="AD508" s="1">
        <v>-48521.33161927117</v>
      </c>
      <c r="AE508" s="1">
        <f>IF(AD508 + AE507 &lt; 0, AD508 + AE507, 0)</f>
        <v>0</v>
      </c>
      <c r="AF508" s="1">
        <v>0</v>
      </c>
      <c r="AG508" s="1">
        <f>IF(AF508 + AG507 &lt; 0, AF508 + AG507, 0)</f>
        <v>0</v>
      </c>
      <c r="AH508" s="1">
        <v>0</v>
      </c>
      <c r="AI508" s="1">
        <f>IF(AH508 + AI507 &lt; 0, AH508 + AI507, 0)</f>
        <v>0</v>
      </c>
      <c r="AJ508" s="1">
        <v>0</v>
      </c>
      <c r="AK508" s="1">
        <f>IF(AJ508 + AK507 &lt; 0, AJ508 + AK507, 0)</f>
        <v>0</v>
      </c>
    </row>
    <row r="509" spans="1:37" s="1" customFormat="1">
      <c r="A509" s="3">
        <v>46043</v>
      </c>
      <c r="B509" s="2" t="s">
        <v>24</v>
      </c>
      <c r="C509" s="2">
        <v>4</v>
      </c>
      <c r="D509" s="2">
        <v>4</v>
      </c>
      <c r="E509" s="2">
        <v>4</v>
      </c>
      <c r="F509" s="2">
        <v>4</v>
      </c>
      <c r="G509" s="2">
        <v>2</v>
      </c>
      <c r="H509" s="1">
        <v>0</v>
      </c>
      <c r="I509" s="1">
        <f>IF(H509 + I508 &lt; 0, H509 + I508, 0)</f>
        <v>0</v>
      </c>
      <c r="J509" s="1">
        <v>0</v>
      </c>
      <c r="K509" s="1">
        <f>IF(J509 + K508 &lt; 0, J509 + K508, 0)</f>
        <v>0</v>
      </c>
      <c r="L509" s="1">
        <v>0</v>
      </c>
      <c r="M509" s="1">
        <f>IF(L509 + M508 &lt; 0, L509 + M508, 0)</f>
        <v>0</v>
      </c>
      <c r="N509" s="1">
        <v>0</v>
      </c>
      <c r="O509" s="1">
        <f>IF(N509 + O508 &lt; 0, N509 + O508, 0)</f>
        <v>0</v>
      </c>
      <c r="P509" s="1">
        <v>0</v>
      </c>
      <c r="Q509" s="1">
        <f>IF(P509 + Q508 &lt; 0, P509 + Q508, 0)</f>
        <v>0</v>
      </c>
      <c r="R509" s="1">
        <v>0</v>
      </c>
      <c r="S509" s="1">
        <f>IF(R509 + S508 &lt; 0, R509 + S508, 0)</f>
        <v>0</v>
      </c>
      <c r="T509" s="1">
        <v>0</v>
      </c>
      <c r="U509" s="1">
        <f>IF(T509 + U508 &lt; 0, T509 + U508, 0)</f>
        <v>0</v>
      </c>
      <c r="V509" s="1">
        <v>0</v>
      </c>
      <c r="W509" s="1">
        <f>IF(V509 + W508 &lt; 0, V509 + W508, 0)</f>
        <v>0</v>
      </c>
      <c r="X509" s="1">
        <v>0</v>
      </c>
      <c r="Y509" s="1">
        <f>IF(X509 + Y508 &lt; 0, X509 + Y508, 0)</f>
        <v>0</v>
      </c>
      <c r="Z509" s="1">
        <v>0</v>
      </c>
      <c r="AA509" s="1">
        <f>IF(Z509 + AA508 &lt; 0, Z509 + AA508, 0)</f>
        <v>0</v>
      </c>
      <c r="AB509" s="1">
        <v>0</v>
      </c>
      <c r="AC509" s="1">
        <f>IF(AB509 + AC508 &lt; 0, AB509 + AC508, 0)</f>
        <v>0</v>
      </c>
      <c r="AD509" s="1">
        <v>0</v>
      </c>
      <c r="AE509" s="1">
        <f>IF(AD509 + AE508 &lt; 0, AD509 + AE508, 0)</f>
        <v>0</v>
      </c>
      <c r="AF509" s="1">
        <v>0</v>
      </c>
      <c r="AG509" s="1">
        <f>IF(AF509 + AG508 &lt; 0, AF509 + AG508, 0)</f>
        <v>0</v>
      </c>
      <c r="AH509" s="1">
        <v>0</v>
      </c>
      <c r="AI509" s="1">
        <f>IF(AH509 + AI508 &lt; 0, AH509 + AI508, 0)</f>
        <v>0</v>
      </c>
      <c r="AJ509" s="1">
        <v>0</v>
      </c>
      <c r="AK509" s="1">
        <f>IF(AJ509 + AK508 &lt; 0, AJ509 + AK508, 0)</f>
        <v>0</v>
      </c>
    </row>
    <row r="510" spans="1:37" s="1" customFormat="1">
      <c r="A510" s="3">
        <v>46044</v>
      </c>
      <c r="B510" s="2" t="s">
        <v>25</v>
      </c>
      <c r="C510" s="2">
        <v>3</v>
      </c>
      <c r="D510" s="2">
        <v>3</v>
      </c>
      <c r="E510" s="2">
        <v>3</v>
      </c>
      <c r="F510" s="2">
        <v>3</v>
      </c>
      <c r="G510" s="2">
        <v>1</v>
      </c>
      <c r="H510" s="1">
        <v>0</v>
      </c>
      <c r="I510" s="1">
        <f>IF(H510 + I509 &lt; 0, H510 + I509, 0)</f>
        <v>0</v>
      </c>
      <c r="J510" s="1">
        <v>0</v>
      </c>
      <c r="K510" s="1">
        <f>IF(J510 + K509 &lt; 0, J510 + K509, 0)</f>
        <v>0</v>
      </c>
      <c r="L510" s="1">
        <v>0</v>
      </c>
      <c r="M510" s="1">
        <f>IF(L510 + M509 &lt; 0, L510 + M509, 0)</f>
        <v>0</v>
      </c>
      <c r="N510" s="1">
        <v>0</v>
      </c>
      <c r="O510" s="1">
        <f>IF(N510 + O509 &lt; 0, N510 + O509, 0)</f>
        <v>0</v>
      </c>
      <c r="P510" s="1">
        <v>0</v>
      </c>
      <c r="Q510" s="1">
        <f>IF(P510 + Q509 &lt; 0, P510 + Q509, 0)</f>
        <v>0</v>
      </c>
      <c r="R510" s="1">
        <v>0</v>
      </c>
      <c r="S510" s="1">
        <f>IF(R510 + S509 &lt; 0, R510 + S509, 0)</f>
        <v>0</v>
      </c>
      <c r="T510" s="1">
        <v>0</v>
      </c>
      <c r="U510" s="1">
        <f>IF(T510 + U509 &lt; 0, T510 + U509, 0)</f>
        <v>0</v>
      </c>
      <c r="V510" s="1">
        <v>0</v>
      </c>
      <c r="W510" s="1">
        <f>IF(V510 + W509 &lt; 0, V510 + W509, 0)</f>
        <v>0</v>
      </c>
      <c r="X510" s="1">
        <v>0</v>
      </c>
      <c r="Y510" s="1">
        <f>IF(X510 + Y509 &lt; 0, X510 + Y509, 0)</f>
        <v>0</v>
      </c>
      <c r="Z510" s="1">
        <v>0</v>
      </c>
      <c r="AA510" s="1">
        <f>IF(Z510 + AA509 &lt; 0, Z510 + AA509, 0)</f>
        <v>0</v>
      </c>
      <c r="AB510" s="1">
        <v>0</v>
      </c>
      <c r="AC510" s="1">
        <f>IF(AB510 + AC509 &lt; 0, AB510 + AC509, 0)</f>
        <v>0</v>
      </c>
      <c r="AD510" s="1">
        <v>0</v>
      </c>
      <c r="AE510" s="1">
        <f>IF(AD510 + AE509 &lt; 0, AD510 + AE509, 0)</f>
        <v>0</v>
      </c>
      <c r="AF510" s="1">
        <v>-1283735.531246246</v>
      </c>
      <c r="AG510" s="1">
        <f>IF(AF510 + AG509 &lt; 0, AF510 + AG509, 0)</f>
        <v>0</v>
      </c>
      <c r="AH510" s="1">
        <v>-1008638.59813022</v>
      </c>
      <c r="AI510" s="1">
        <f>IF(AH510 + AI509 &lt; 0, AH510 + AI509, 0)</f>
        <v>0</v>
      </c>
      <c r="AJ510" s="1">
        <v>-1145294.284042893</v>
      </c>
      <c r="AK510" s="1">
        <f>IF(AJ510 + AK509 &lt; 0, AJ510 + AK509, 0)</f>
        <v>0</v>
      </c>
    </row>
    <row r="511" spans="1:37" s="1" customFormat="1"/>
    <row r="512" spans="1:37" s="1" customFormat="1"/>
    <row r="513" s="1" customFormat="1"/>
    <row r="514" s="1" customFormat="1"/>
    <row r="515" s="1" customFormat="1"/>
    <row r="516" s="1" customFormat="1"/>
    <row r="517" s="1" customFormat="1"/>
    <row r="518" s="1" customFormat="1"/>
    <row r="519" s="1" customFormat="1"/>
    <row r="520" s="1" customFormat="1"/>
    <row r="521" s="1" customFormat="1"/>
    <row r="522" s="1" customFormat="1"/>
    <row r="523" s="1" customFormat="1"/>
    <row r="524" s="1" customFormat="1"/>
    <row r="525" s="1" customFormat="1"/>
    <row r="526" s="1" customFormat="1"/>
    <row r="527" s="1" customFormat="1"/>
    <row r="528" s="1" customFormat="1"/>
    <row r="529" s="1" customFormat="1"/>
    <row r="530" s="1" customFormat="1"/>
    <row r="531" s="1" customFormat="1"/>
    <row r="532" s="1" customFormat="1"/>
    <row r="533" s="1" customFormat="1"/>
    <row r="534" s="1" customFormat="1"/>
    <row r="535" s="1" customFormat="1"/>
    <row r="536" s="1" customFormat="1"/>
    <row r="537" s="1" customFormat="1"/>
    <row r="538" s="1" customFormat="1"/>
    <row r="539" s="1" customFormat="1"/>
    <row r="540" s="1" customFormat="1"/>
    <row r="541" s="1" customFormat="1"/>
    <row r="542" s="1" customFormat="1"/>
    <row r="543" s="1" customFormat="1"/>
    <row r="544" s="1" customFormat="1"/>
    <row r="545" s="1" customFormat="1"/>
    <row r="546" s="1" customFormat="1"/>
    <row r="547" s="1" customFormat="1"/>
    <row r="548" s="1" customFormat="1"/>
    <row r="549" s="1" customFormat="1"/>
    <row r="550" s="1" customFormat="1"/>
    <row r="551" s="1" customFormat="1"/>
    <row r="552" s="1" customFormat="1"/>
    <row r="553" s="1" customFormat="1"/>
    <row r="554" s="1" customFormat="1"/>
    <row r="555" s="1" customFormat="1"/>
    <row r="556" s="1" customFormat="1"/>
    <row r="557" s="1" customFormat="1"/>
    <row r="558" s="1" customFormat="1"/>
    <row r="559" s="1" customFormat="1"/>
    <row r="560" s="1" customFormat="1"/>
    <row r="561" s="1" customFormat="1"/>
    <row r="562" s="1" customFormat="1"/>
    <row r="563" s="1" customFormat="1"/>
    <row r="564" s="1" customFormat="1"/>
    <row r="565" s="1" customFormat="1"/>
    <row r="566" s="1" customFormat="1"/>
    <row r="567" s="1" customFormat="1"/>
    <row r="568" s="1" customFormat="1"/>
    <row r="569" s="1" customFormat="1"/>
    <row r="570" s="1" customFormat="1"/>
    <row r="571" s="1" customFormat="1"/>
    <row r="572" s="1" customFormat="1"/>
    <row r="573" s="1" customFormat="1"/>
    <row r="574" s="1" customFormat="1"/>
    <row r="575" s="1" customFormat="1"/>
    <row r="576" s="1" customFormat="1"/>
    <row r="577" s="1" customFormat="1"/>
    <row r="578" s="1" customFormat="1"/>
    <row r="579" s="1" customFormat="1"/>
    <row r="580" s="1" customFormat="1"/>
    <row r="581" s="1" customFormat="1"/>
    <row r="582" s="1" customFormat="1"/>
    <row r="583" s="1" customFormat="1"/>
    <row r="584" s="1" customFormat="1"/>
    <row r="585" s="1" customFormat="1"/>
    <row r="586" s="1" customFormat="1"/>
    <row r="587" s="1" customFormat="1"/>
    <row r="588" s="1" customFormat="1"/>
    <row r="589" s="1" customFormat="1"/>
    <row r="590" s="1" customFormat="1"/>
    <row r="591" s="1" customFormat="1"/>
    <row r="592" s="1" customFormat="1"/>
    <row r="593" s="1" customFormat="1"/>
    <row r="594" s="1" customFormat="1"/>
    <row r="595" s="1" customFormat="1"/>
    <row r="596" s="1" customFormat="1"/>
    <row r="597" s="1" customFormat="1"/>
    <row r="598" s="1" customFormat="1"/>
    <row r="599" s="1" customFormat="1"/>
    <row r="600" s="1" customFormat="1"/>
    <row r="601" s="1" customFormat="1"/>
    <row r="602" s="1" customFormat="1"/>
    <row r="603" s="1" customFormat="1"/>
    <row r="604" s="1" customFormat="1"/>
    <row r="605" s="1" customFormat="1"/>
    <row r="606" s="1" customFormat="1"/>
    <row r="607" s="1" customFormat="1"/>
    <row r="608" s="1" customFormat="1"/>
    <row r="609" s="1" customFormat="1"/>
    <row r="610" s="1" customFormat="1"/>
    <row r="611" s="1" customFormat="1"/>
    <row r="612" s="1" customFormat="1"/>
    <row r="613" s="1" customFormat="1"/>
    <row r="614" s="1" customFormat="1"/>
    <row r="615" s="1" customFormat="1"/>
    <row r="616" s="1" customFormat="1"/>
    <row r="617" s="1" customFormat="1"/>
    <row r="618" s="1" customFormat="1"/>
    <row r="619" s="1" customFormat="1"/>
    <row r="620" s="1" customFormat="1"/>
    <row r="621" s="1" customFormat="1"/>
    <row r="622" s="1" customFormat="1"/>
    <row r="623" s="1" customFormat="1"/>
    <row r="624" s="1" customFormat="1"/>
    <row r="625" s="1" customFormat="1"/>
    <row r="626" s="1" customFormat="1"/>
    <row r="627" s="1" customFormat="1"/>
    <row r="628" s="1" customFormat="1"/>
    <row r="629" s="1" customFormat="1"/>
    <row r="630" s="1" customFormat="1"/>
    <row r="631" s="1" customFormat="1"/>
    <row r="632" s="1" customFormat="1"/>
    <row r="633" s="1" customFormat="1"/>
    <row r="634" s="1" customFormat="1"/>
    <row r="635" s="1" customFormat="1"/>
    <row r="636" s="1" customFormat="1"/>
    <row r="637" s="1" customFormat="1"/>
    <row r="638" s="1" customFormat="1"/>
    <row r="639" s="1" customFormat="1"/>
    <row r="640" s="1" customFormat="1"/>
    <row r="641" s="1" customFormat="1"/>
    <row r="642" s="1" customFormat="1"/>
    <row r="643" s="1" customFormat="1"/>
    <row r="644" s="1" customFormat="1"/>
    <row r="645" s="1" customFormat="1"/>
    <row r="646" s="1" customFormat="1"/>
    <row r="647" s="1" customFormat="1"/>
    <row r="648" s="1" customFormat="1"/>
    <row r="649" s="1" customFormat="1"/>
    <row r="650" s="1" customFormat="1"/>
    <row r="651" s="1" customFormat="1"/>
    <row r="652" s="1" customFormat="1"/>
    <row r="653" s="1" customFormat="1"/>
    <row r="654" s="1" customFormat="1"/>
    <row r="655" s="1" customFormat="1"/>
    <row r="656" s="1" customFormat="1"/>
    <row r="657" s="1" customFormat="1"/>
    <row r="658" s="1" customFormat="1"/>
    <row r="659" s="1" customFormat="1"/>
    <row r="660" s="1" customFormat="1"/>
    <row r="661" s="1" customFormat="1"/>
    <row r="662" s="1" customFormat="1"/>
    <row r="663" s="1" customFormat="1"/>
    <row r="664" s="1" customFormat="1"/>
    <row r="665" s="1" customFormat="1"/>
    <row r="666" s="1" customFormat="1"/>
    <row r="667" s="1" customFormat="1"/>
    <row r="668" s="1" customFormat="1"/>
    <row r="669" s="1" customFormat="1"/>
    <row r="670" s="1" customFormat="1"/>
    <row r="671" s="1" customFormat="1"/>
    <row r="672" s="1" customFormat="1"/>
    <row r="673" s="1" customFormat="1"/>
    <row r="674" s="1" customFormat="1"/>
    <row r="675" s="1" customFormat="1"/>
    <row r="676" s="1" customFormat="1"/>
    <row r="677" s="1" customFormat="1"/>
    <row r="678" s="1" customFormat="1"/>
    <row r="679" s="1" customFormat="1"/>
    <row r="680" s="1" customFormat="1"/>
    <row r="681" s="1" customFormat="1"/>
    <row r="682" s="1" customFormat="1"/>
    <row r="683" s="1" customFormat="1"/>
    <row r="684" s="1" customFormat="1"/>
    <row r="685" s="1" customFormat="1"/>
    <row r="686" s="1" customFormat="1"/>
    <row r="687" s="1" customFormat="1"/>
    <row r="688" s="1" customFormat="1"/>
    <row r="689" s="1" customFormat="1"/>
    <row r="690" s="1" customFormat="1"/>
    <row r="691" s="1" customFormat="1"/>
    <row r="692" s="1" customFormat="1"/>
    <row r="693" s="1" customFormat="1"/>
    <row r="694" s="1" customFormat="1"/>
    <row r="695" s="1" customFormat="1"/>
    <row r="696" s="1" customFormat="1"/>
    <row r="697" s="1" customFormat="1"/>
    <row r="698" s="1" customFormat="1"/>
    <row r="699" s="1" customFormat="1"/>
    <row r="700" s="1" customFormat="1"/>
    <row r="701" s="1" customFormat="1"/>
    <row r="702" s="1" customFormat="1"/>
    <row r="703" s="1" customFormat="1"/>
    <row r="704" s="1" customFormat="1"/>
    <row r="705" s="1" customFormat="1"/>
    <row r="706" s="1" customFormat="1"/>
    <row r="707" s="1" customFormat="1"/>
    <row r="708" s="1" customFormat="1"/>
    <row r="709" s="1" customFormat="1"/>
    <row r="710" s="1" customFormat="1"/>
    <row r="711" s="1" customFormat="1"/>
    <row r="712" s="1" customFormat="1"/>
    <row r="713" s="1" customFormat="1"/>
    <row r="714" s="1" customFormat="1"/>
    <row r="715" s="1" customFormat="1"/>
    <row r="716" s="1" customFormat="1"/>
    <row r="717" s="1" customFormat="1"/>
    <row r="718" s="1" customFormat="1"/>
    <row r="719" s="1" customFormat="1"/>
    <row r="720" s="1" customFormat="1"/>
    <row r="721" s="1" customFormat="1"/>
    <row r="722" s="1" customFormat="1"/>
    <row r="723" s="1" customFormat="1"/>
    <row r="724" s="1" customFormat="1"/>
    <row r="725" s="1" customFormat="1"/>
    <row r="726" s="1" customFormat="1"/>
    <row r="727" s="1" customFormat="1"/>
    <row r="728" s="1" customFormat="1"/>
    <row r="729" s="1" customFormat="1"/>
    <row r="730" s="1" customFormat="1"/>
    <row r="731" s="1" customFormat="1"/>
    <row r="732" s="1" customFormat="1"/>
    <row r="733" s="1" customFormat="1"/>
    <row r="734" s="1" customFormat="1"/>
    <row r="735" s="1" customFormat="1"/>
    <row r="736" s="1" customFormat="1"/>
    <row r="737" s="1" customFormat="1"/>
    <row r="738" s="1" customFormat="1"/>
    <row r="739" s="1" customFormat="1"/>
    <row r="740" s="1" customFormat="1"/>
    <row r="741" s="1" customFormat="1"/>
    <row r="742" s="1" customFormat="1"/>
    <row r="743" s="1" customFormat="1"/>
    <row r="744" s="1" customFormat="1"/>
    <row r="745" s="1" customFormat="1"/>
    <row r="746" s="1" customFormat="1"/>
    <row r="747" s="1" customFormat="1"/>
    <row r="748" s="1" customFormat="1"/>
    <row r="749" s="1" customFormat="1"/>
    <row r="750" s="1" customFormat="1"/>
    <row r="751" s="1" customFormat="1"/>
    <row r="752" s="1" customFormat="1"/>
    <row r="753" s="1" customFormat="1"/>
    <row r="754" s="1" customFormat="1"/>
    <row r="755" s="1" customFormat="1"/>
    <row r="756" s="1" customFormat="1"/>
    <row r="757" s="1" customFormat="1"/>
    <row r="758" s="1" customFormat="1"/>
    <row r="759" s="1" customFormat="1"/>
    <row r="760" s="1" customFormat="1"/>
    <row r="761" s="1" customFormat="1"/>
    <row r="762" s="1" customFormat="1"/>
    <row r="763" s="1" customFormat="1"/>
    <row r="764" s="1" customFormat="1"/>
    <row r="765" s="1" customFormat="1"/>
    <row r="766" s="1" customFormat="1"/>
    <row r="767" s="1" customFormat="1"/>
    <row r="768" s="1" customFormat="1"/>
    <row r="769" s="1" customFormat="1"/>
    <row r="770" s="1" customFormat="1"/>
    <row r="771" s="1" customFormat="1"/>
    <row r="772" s="1" customFormat="1"/>
    <row r="773" s="1" customFormat="1"/>
    <row r="774" s="1" customFormat="1"/>
    <row r="775" s="1" customFormat="1"/>
    <row r="776" s="1" customFormat="1"/>
    <row r="777" s="1" customFormat="1"/>
    <row r="778" s="1" customFormat="1"/>
    <row r="779" s="1" customFormat="1"/>
    <row r="780" s="1" customFormat="1"/>
    <row r="781" s="1" customFormat="1"/>
    <row r="782" s="1" customFormat="1"/>
    <row r="783" s="1" customFormat="1"/>
    <row r="784" s="1" customFormat="1"/>
    <row r="785" s="1" customFormat="1"/>
    <row r="786" s="1" customFormat="1"/>
    <row r="787" s="1" customFormat="1"/>
    <row r="788" s="1" customFormat="1"/>
    <row r="789" s="1" customFormat="1"/>
    <row r="790" s="1" customFormat="1"/>
    <row r="791" s="1" customFormat="1"/>
    <row r="792" s="1" customFormat="1"/>
    <row r="793" s="1" customFormat="1"/>
    <row r="794" s="1" customFormat="1"/>
    <row r="795" s="1" customFormat="1"/>
    <row r="796" s="1" customFormat="1"/>
    <row r="797" s="1" customFormat="1"/>
    <row r="798" s="1" customFormat="1"/>
    <row r="799" s="1" customFormat="1"/>
    <row r="800" s="1" customFormat="1"/>
    <row r="801" s="1" customFormat="1"/>
    <row r="802" s="1" customFormat="1"/>
    <row r="803" s="1" customFormat="1"/>
    <row r="804" s="1" customFormat="1"/>
    <row r="805" s="1" customFormat="1"/>
    <row r="806" s="1" customFormat="1"/>
    <row r="807" s="1" customFormat="1"/>
    <row r="808" s="1" customFormat="1"/>
    <row r="809" s="1" customFormat="1"/>
    <row r="810" s="1" customFormat="1"/>
    <row r="811" s="1" customFormat="1"/>
    <row r="812" s="1" customFormat="1"/>
    <row r="813" s="1" customFormat="1"/>
    <row r="814" s="1" customFormat="1"/>
    <row r="815" s="1" customFormat="1"/>
    <row r="816" s="1" customFormat="1"/>
    <row r="817" s="1" customFormat="1"/>
    <row r="818" s="1" customFormat="1"/>
    <row r="819" s="1" customFormat="1"/>
    <row r="820" s="1" customFormat="1"/>
    <row r="821" s="1" customFormat="1"/>
    <row r="822" s="1" customFormat="1"/>
    <row r="823" s="1" customFormat="1"/>
    <row r="824" s="1" customFormat="1"/>
    <row r="825" s="1" customFormat="1"/>
    <row r="826" s="1" customFormat="1"/>
    <row r="827" s="1" customFormat="1"/>
    <row r="828" s="1" customFormat="1"/>
    <row r="829" s="1" customFormat="1"/>
    <row r="830" s="1" customFormat="1"/>
    <row r="831" s="1" customFormat="1"/>
    <row r="832" s="1" customFormat="1"/>
    <row r="833" s="1" customFormat="1"/>
    <row r="834" s="1" customFormat="1"/>
    <row r="835" s="1" customFormat="1"/>
    <row r="836" s="1" customFormat="1"/>
    <row r="837" s="1" customFormat="1"/>
    <row r="838" s="1" customFormat="1"/>
    <row r="839" s="1" customFormat="1"/>
    <row r="840" s="1" customFormat="1"/>
    <row r="841" s="1" customFormat="1"/>
    <row r="842" s="1" customFormat="1"/>
    <row r="843" s="1" customFormat="1"/>
    <row r="844" s="1" customFormat="1"/>
    <row r="845" s="1" customFormat="1"/>
    <row r="846" s="1" customFormat="1"/>
    <row r="847" s="1" customFormat="1"/>
    <row r="848" s="1" customFormat="1"/>
    <row r="849" s="1" customFormat="1"/>
    <row r="850" s="1" customFormat="1"/>
    <row r="851" s="1" customFormat="1"/>
    <row r="852" s="1" customFormat="1"/>
    <row r="853" s="1" customFormat="1"/>
    <row r="854" s="1" customFormat="1"/>
    <row r="855" s="1" customFormat="1"/>
    <row r="856" s="1" customFormat="1"/>
    <row r="857" s="1" customFormat="1"/>
    <row r="858" s="1" customFormat="1"/>
    <row r="859" s="1" customFormat="1"/>
    <row r="860" s="1" customFormat="1"/>
    <row r="861" s="1" customFormat="1"/>
    <row r="862" s="1" customFormat="1"/>
    <row r="863" s="1" customFormat="1"/>
    <row r="864" s="1" customFormat="1"/>
    <row r="865" s="1" customFormat="1"/>
    <row r="866" s="1" customFormat="1"/>
    <row r="867" s="1" customFormat="1"/>
    <row r="868" s="1" customFormat="1"/>
    <row r="869" s="1" customFormat="1"/>
    <row r="870" s="1" customFormat="1"/>
    <row r="871" s="1" customFormat="1"/>
    <row r="872" s="1" customFormat="1"/>
    <row r="873" s="1" customFormat="1"/>
    <row r="874" s="1" customFormat="1"/>
    <row r="875" s="1" customFormat="1"/>
    <row r="876" s="1" customFormat="1"/>
    <row r="877" s="1" customFormat="1"/>
    <row r="878" s="1" customFormat="1"/>
    <row r="879" s="1" customFormat="1"/>
    <row r="880" s="1" customFormat="1"/>
    <row r="881" s="1" customFormat="1"/>
    <row r="882" s="1" customFormat="1"/>
    <row r="883" s="1" customFormat="1"/>
    <row r="884" s="1" customFormat="1"/>
    <row r="885" s="1" customFormat="1"/>
    <row r="886" s="1" customFormat="1"/>
    <row r="887" s="1" customFormat="1"/>
    <row r="888" s="1" customFormat="1"/>
    <row r="889" s="1" customFormat="1"/>
    <row r="890" s="1" customFormat="1"/>
    <row r="891" s="1" customFormat="1"/>
    <row r="892" s="1" customFormat="1"/>
    <row r="893" s="1" customFormat="1"/>
    <row r="894" s="1" customFormat="1"/>
    <row r="895" s="1" customFormat="1"/>
    <row r="896" s="1" customFormat="1"/>
    <row r="897" s="1" customFormat="1"/>
    <row r="898" s="1" customFormat="1"/>
    <row r="899" s="1" customFormat="1"/>
    <row r="900" s="1" customFormat="1"/>
    <row r="901" s="1" customFormat="1"/>
    <row r="902" s="1" customFormat="1"/>
    <row r="903" s="1" customFormat="1"/>
    <row r="904" s="1" customFormat="1"/>
    <row r="905" s="1" customFormat="1"/>
    <row r="906" s="1" customFormat="1"/>
    <row r="907" s="1" customFormat="1"/>
    <row r="908" s="1" customFormat="1"/>
    <row r="909" s="1" customFormat="1"/>
    <row r="910" s="1" customFormat="1"/>
    <row r="911" s="1" customFormat="1"/>
    <row r="912" s="1" customFormat="1"/>
    <row r="913" s="1" customFormat="1"/>
    <row r="914" s="1" customFormat="1"/>
    <row r="915" s="1" customFormat="1"/>
    <row r="916" s="1" customFormat="1"/>
    <row r="917" s="1" customFormat="1"/>
    <row r="918" s="1" customFormat="1"/>
    <row r="919" s="1" customFormat="1"/>
    <row r="920" s="1" customFormat="1"/>
    <row r="921" s="1" customFormat="1"/>
    <row r="922" s="1" customFormat="1"/>
    <row r="923" s="1" customFormat="1"/>
    <row r="924" s="1" customFormat="1"/>
    <row r="925" s="1" customFormat="1"/>
    <row r="926" s="1" customFormat="1"/>
    <row r="927" s="1" customFormat="1"/>
    <row r="928" s="1" customFormat="1"/>
    <row r="929" s="1" customFormat="1"/>
    <row r="930" s="1" customFormat="1"/>
    <row r="931" s="1" customFormat="1"/>
    <row r="932" s="1" customFormat="1"/>
    <row r="933" s="1" customFormat="1"/>
    <row r="934" s="1" customFormat="1"/>
    <row r="935" s="1" customFormat="1"/>
    <row r="936" s="1" customFormat="1"/>
    <row r="937" s="1" customFormat="1"/>
    <row r="938" s="1" customFormat="1"/>
    <row r="939" s="1" customFormat="1"/>
    <row r="940" s="1" customFormat="1"/>
    <row r="941" s="1" customFormat="1"/>
    <row r="942" s="1" customFormat="1"/>
    <row r="943" s="1" customFormat="1"/>
    <row r="944" s="1" customFormat="1"/>
    <row r="945" s="1" customFormat="1"/>
    <row r="946" s="1" customFormat="1"/>
    <row r="947" s="1" customFormat="1"/>
    <row r="948" s="1" customFormat="1"/>
    <row r="949" s="1" customFormat="1"/>
    <row r="950" s="1" customFormat="1"/>
    <row r="951" s="1" customFormat="1"/>
    <row r="952" s="1" customFormat="1"/>
    <row r="953" s="1" customFormat="1"/>
    <row r="954" s="1" customFormat="1"/>
    <row r="955" s="1" customFormat="1"/>
    <row r="956" s="1" customFormat="1"/>
    <row r="957" s="1" customFormat="1"/>
    <row r="958" s="1" customFormat="1"/>
    <row r="959" s="1" customFormat="1"/>
    <row r="960" s="1" customFormat="1"/>
    <row r="961" s="1" customFormat="1"/>
    <row r="962" s="1" customFormat="1"/>
    <row r="963" s="1" customFormat="1"/>
    <row r="964" s="1" customFormat="1"/>
    <row r="965" s="1" customFormat="1"/>
    <row r="966" s="1" customFormat="1"/>
    <row r="967" s="1" customFormat="1"/>
    <row r="968" s="1" customFormat="1"/>
    <row r="969" s="1" customFormat="1"/>
    <row r="970" s="1" customFormat="1"/>
    <row r="971" s="1" customFormat="1"/>
    <row r="972" s="1" customFormat="1"/>
    <row r="973" s="1" customFormat="1"/>
    <row r="974" s="1" customFormat="1"/>
    <row r="975" s="1" customFormat="1"/>
    <row r="976" s="1" customFormat="1"/>
    <row r="977" s="1" customFormat="1"/>
    <row r="978" s="1" customFormat="1"/>
    <row r="979" s="1" customFormat="1"/>
    <row r="980" s="1" customFormat="1"/>
    <row r="981" s="1" customFormat="1"/>
    <row r="982" s="1" customFormat="1"/>
    <row r="983" s="1" customFormat="1"/>
    <row r="984" s="1" customFormat="1"/>
    <row r="985" s="1" customFormat="1"/>
    <row r="986" s="1" customFormat="1"/>
    <row r="987" s="1" customFormat="1"/>
    <row r="988" s="1" customFormat="1"/>
    <row r="989" s="1" customFormat="1"/>
    <row r="990" s="1" customFormat="1"/>
    <row r="991" s="1" customFormat="1"/>
    <row r="992" s="1" customFormat="1"/>
    <row r="993" s="1" customFormat="1"/>
    <row r="994" s="1" customFormat="1"/>
    <row r="995" s="1" customFormat="1"/>
    <row r="996" s="1" customFormat="1"/>
    <row r="997" s="1" customFormat="1"/>
    <row r="998" s="1" customFormat="1"/>
    <row r="999" s="1" customFormat="1"/>
    <row r="1000" s="1" customFormat="1"/>
    <row r="1001" s="1" customFormat="1"/>
    <row r="1002" s="1" customFormat="1"/>
    <row r="1003" s="1" customFormat="1"/>
    <row r="1004" s="1" customFormat="1"/>
    <row r="1005" s="1" customFormat="1"/>
    <row r="1006" s="1" customFormat="1"/>
    <row r="1007" s="1" customFormat="1"/>
    <row r="1008" s="1" customFormat="1"/>
    <row r="1009" s="1" customFormat="1"/>
    <row r="1010" s="1" customFormat="1"/>
    <row r="1011" s="1" customFormat="1"/>
    <row r="1012" s="1" customFormat="1"/>
    <row r="1013" s="1" customFormat="1"/>
    <row r="1014" s="1" customFormat="1"/>
    <row r="1015" s="1" customFormat="1"/>
    <row r="1016" s="1" customFormat="1"/>
    <row r="1017" s="1" customFormat="1"/>
    <row r="1018" s="1" customFormat="1"/>
    <row r="1019" s="1" customFormat="1"/>
    <row r="1020" s="1" customFormat="1"/>
    <row r="1021" s="1" customFormat="1"/>
    <row r="1022" s="1" customFormat="1"/>
    <row r="1023" s="1" customFormat="1"/>
    <row r="1024" s="1" customFormat="1"/>
    <row r="1025" s="1" customFormat="1"/>
    <row r="1026" s="1" customFormat="1"/>
    <row r="1027" s="1" customFormat="1"/>
    <row r="1028" s="1" customFormat="1"/>
    <row r="1029" s="1" customFormat="1"/>
    <row r="1030" s="1" customFormat="1"/>
    <row r="1031" s="1" customFormat="1"/>
    <row r="1032" s="1" customFormat="1"/>
    <row r="1033" s="1" customFormat="1"/>
    <row r="1034" s="1" customFormat="1"/>
    <row r="1035" s="1" customFormat="1"/>
    <row r="1036" s="1" customFormat="1"/>
    <row r="1037" s="1" customFormat="1"/>
    <row r="1038" s="1" customFormat="1"/>
    <row r="1039" s="1" customFormat="1"/>
    <row r="1040" s="1" customFormat="1"/>
    <row r="1041" s="1" customFormat="1"/>
    <row r="1042" s="1" customFormat="1"/>
    <row r="1043" s="1" customFormat="1"/>
    <row r="1044" s="1" customFormat="1"/>
    <row r="1045" s="1" customFormat="1"/>
    <row r="1046" s="1" customFormat="1"/>
    <row r="1047" s="1" customFormat="1"/>
    <row r="1048" s="1" customFormat="1"/>
    <row r="1049" s="1" customFormat="1"/>
    <row r="1050" s="1" customFormat="1"/>
    <row r="1051" s="1" customFormat="1"/>
    <row r="1052" s="1" customFormat="1"/>
    <row r="1053" s="1" customFormat="1"/>
    <row r="1054" s="1" customFormat="1"/>
    <row r="1055" s="1" customFormat="1"/>
    <row r="1056" s="1" customFormat="1"/>
    <row r="1057" s="1" customFormat="1"/>
    <row r="1058" s="1" customFormat="1"/>
    <row r="1059" s="1" customFormat="1"/>
    <row r="1060" s="1" customFormat="1"/>
    <row r="1061" s="1" customFormat="1"/>
    <row r="1062" s="1" customFormat="1"/>
    <row r="1063" s="1" customFormat="1"/>
    <row r="1064" s="1" customFormat="1"/>
    <row r="1065" s="1" customFormat="1"/>
    <row r="1066" s="1" customFormat="1"/>
    <row r="1067" s="1" customFormat="1"/>
    <row r="1068" s="1" customFormat="1"/>
    <row r="1069" s="1" customFormat="1"/>
    <row r="1070" s="1" customFormat="1"/>
    <row r="1071" s="1" customFormat="1"/>
    <row r="1072" s="1" customFormat="1"/>
    <row r="1073" s="1" customFormat="1"/>
    <row r="1074" s="1" customFormat="1"/>
    <row r="1075" s="1" customFormat="1"/>
    <row r="1076" s="1" customFormat="1"/>
    <row r="1077" s="1" customFormat="1"/>
    <row r="1078" s="1" customFormat="1"/>
    <row r="1079" s="1" customFormat="1"/>
    <row r="1080" s="1" customFormat="1"/>
    <row r="1081" s="1" customFormat="1"/>
    <row r="1082" s="1" customFormat="1"/>
    <row r="1083" s="1" customFormat="1"/>
    <row r="1084" s="1" customFormat="1"/>
    <row r="1085" s="1" customFormat="1"/>
    <row r="1086" s="1" customFormat="1"/>
    <row r="1087" s="1" customFormat="1"/>
    <row r="1088" s="1" customFormat="1"/>
    <row r="1089" s="1" customFormat="1"/>
    <row r="1090" s="1" customFormat="1"/>
    <row r="1091" s="1" customFormat="1"/>
    <row r="1092" s="1" customFormat="1"/>
    <row r="1093" s="1" customFormat="1"/>
    <row r="1094" s="1" customFormat="1"/>
    <row r="1095" s="1" customFormat="1"/>
    <row r="1096" s="1" customFormat="1"/>
    <row r="1097" s="1" customFormat="1"/>
    <row r="1098" s="1" customFormat="1"/>
    <row r="1099" s="1" customFormat="1"/>
    <row r="1100" s="1" customFormat="1"/>
    <row r="1101" s="1" customFormat="1"/>
    <row r="1102" s="1" customFormat="1"/>
    <row r="1103" s="1" customFormat="1"/>
    <row r="1104" s="1" customFormat="1"/>
    <row r="1105" s="1" customFormat="1"/>
    <row r="1106" s="1" customFormat="1"/>
    <row r="1107" s="1" customFormat="1"/>
    <row r="1108" s="1" customFormat="1"/>
    <row r="1109" s="1" customFormat="1"/>
    <row r="1110" s="1" customFormat="1"/>
    <row r="1111" s="1" customFormat="1"/>
    <row r="1112" s="1" customFormat="1"/>
    <row r="1113" s="1" customFormat="1"/>
    <row r="1114" s="1" customFormat="1"/>
    <row r="1115" s="1" customFormat="1"/>
    <row r="1116" s="1" customFormat="1"/>
    <row r="1117" s="1" customFormat="1"/>
    <row r="1118" s="1" customFormat="1"/>
    <row r="1119" s="1" customFormat="1"/>
    <row r="1120" s="1" customFormat="1"/>
    <row r="1121" s="1" customFormat="1"/>
    <row r="1122" s="1" customFormat="1"/>
    <row r="1123" s="1" customFormat="1"/>
    <row r="1124" s="1" customFormat="1"/>
    <row r="1125" s="1" customFormat="1"/>
    <row r="1126" s="1" customFormat="1"/>
    <row r="1127" s="1" customFormat="1"/>
    <row r="1128" s="1" customFormat="1"/>
    <row r="1129" s="1" customFormat="1"/>
    <row r="1130" s="1" customFormat="1"/>
    <row r="1131" s="1" customFormat="1"/>
    <row r="1132" s="1" customFormat="1"/>
    <row r="1133" s="1" customFormat="1"/>
    <row r="1134" s="1" customFormat="1"/>
    <row r="1135" s="1" customFormat="1"/>
    <row r="1136" s="1" customFormat="1"/>
    <row r="1137" s="1" customFormat="1"/>
    <row r="1138" s="1" customFormat="1"/>
    <row r="1139" s="1" customFormat="1"/>
    <row r="1140" s="1" customFormat="1"/>
    <row r="1141" s="1" customFormat="1"/>
    <row r="1142" s="1" customFormat="1"/>
    <row r="1143" s="1" customFormat="1"/>
    <row r="1144" s="1" customFormat="1"/>
    <row r="1145" s="1" customFormat="1"/>
    <row r="1146" s="1" customFormat="1"/>
    <row r="1147" s="1" customFormat="1"/>
    <row r="1148" s="1" customFormat="1"/>
    <row r="1149" s="1" customFormat="1"/>
    <row r="1150" s="1" customFormat="1"/>
    <row r="1151" s="1" customFormat="1"/>
    <row r="1152" s="1" customFormat="1"/>
    <row r="1153" s="1" customFormat="1"/>
    <row r="1154" s="1" customFormat="1"/>
    <row r="1155" s="1" customFormat="1"/>
    <row r="1156" s="1" customFormat="1"/>
    <row r="1157" s="1" customFormat="1"/>
    <row r="1158" s="1" customFormat="1"/>
    <row r="1159" s="1" customFormat="1"/>
    <row r="1160" s="1" customFormat="1"/>
    <row r="1161" s="1" customFormat="1"/>
    <row r="1162" s="1" customFormat="1"/>
    <row r="1163" s="1" customFormat="1"/>
    <row r="1164" s="1" customFormat="1"/>
    <row r="1165" s="1" customFormat="1"/>
    <row r="1166" s="1" customFormat="1"/>
    <row r="1167" s="1" customFormat="1"/>
    <row r="1168" s="1" customFormat="1"/>
    <row r="1169" s="1" customFormat="1"/>
    <row r="1170" s="1" customFormat="1"/>
    <row r="1171" s="1" customFormat="1"/>
    <row r="1172" s="1" customFormat="1"/>
    <row r="1173" s="1" customFormat="1"/>
    <row r="1174" s="1" customFormat="1"/>
    <row r="1175" s="1" customFormat="1"/>
    <row r="1176" s="1" customFormat="1"/>
    <row r="1177" s="1" customFormat="1"/>
    <row r="1178" s="1" customFormat="1"/>
    <row r="1179" s="1" customFormat="1"/>
    <row r="1180" s="1" customFormat="1"/>
    <row r="1181" s="1" customFormat="1"/>
    <row r="1182" s="1" customFormat="1"/>
    <row r="1183" s="1" customFormat="1"/>
    <row r="1184" s="1" customFormat="1"/>
    <row r="1185" s="1" customFormat="1"/>
    <row r="1186" s="1" customFormat="1"/>
    <row r="1187" s="1" customFormat="1"/>
    <row r="1188" s="1" customFormat="1"/>
    <row r="1189" s="1" customFormat="1"/>
    <row r="1190" s="1" customFormat="1"/>
    <row r="1191" s="1" customFormat="1"/>
    <row r="1192" s="1" customFormat="1"/>
    <row r="1193" s="1" customFormat="1"/>
    <row r="1194" s="1" customFormat="1"/>
    <row r="1195" s="1" customFormat="1"/>
    <row r="1196" s="1" customFormat="1"/>
    <row r="1197" s="1" customFormat="1"/>
    <row r="1198" s="1" customFormat="1"/>
    <row r="1199" s="1" customFormat="1"/>
    <row r="1200" s="1" customFormat="1"/>
    <row r="1201" s="1" customFormat="1"/>
    <row r="1202" s="1" customFormat="1"/>
    <row r="1203" s="1" customFormat="1"/>
    <row r="1204" s="1" customFormat="1"/>
    <row r="1205" s="1" customFormat="1"/>
    <row r="1206" s="1" customFormat="1"/>
    <row r="1207" s="1" customFormat="1"/>
    <row r="1208" s="1" customFormat="1"/>
    <row r="1209" s="1" customFormat="1"/>
    <row r="1210" s="1" customFormat="1"/>
    <row r="1211" s="1" customFormat="1"/>
    <row r="1212" s="1" customFormat="1"/>
    <row r="1213" s="1" customFormat="1"/>
    <row r="1214" s="1" customFormat="1"/>
    <row r="1215" s="1" customFormat="1"/>
    <row r="1216" s="1" customFormat="1"/>
    <row r="1217" s="1" customFormat="1"/>
    <row r="1218" s="1" customFormat="1"/>
    <row r="1219" s="1" customFormat="1"/>
    <row r="1220" s="1" customFormat="1"/>
    <row r="1221" s="1" customFormat="1"/>
    <row r="1222" s="1" customFormat="1"/>
    <row r="1223" s="1" customFormat="1"/>
    <row r="1224" s="1" customFormat="1"/>
    <row r="1225" s="1" customFormat="1"/>
    <row r="1226" s="1" customFormat="1"/>
    <row r="1227" s="1" customFormat="1"/>
    <row r="1228" s="1" customFormat="1"/>
    <row r="1229" s="1" customFormat="1"/>
    <row r="1230" s="1" customFormat="1"/>
    <row r="1231" s="1" customFormat="1"/>
    <row r="1232" s="1" customFormat="1"/>
    <row r="1233" s="1" customFormat="1"/>
    <row r="1234" s="1" customFormat="1"/>
    <row r="1235" s="1" customFormat="1"/>
    <row r="1236" s="1" customFormat="1"/>
    <row r="1237" s="1" customFormat="1"/>
    <row r="1238" s="1" customFormat="1"/>
    <row r="1239" s="1" customFormat="1"/>
    <row r="1240" s="1" customFormat="1"/>
    <row r="1241" s="1" customFormat="1"/>
    <row r="1242" s="1" customFormat="1"/>
    <row r="1243" s="1" customFormat="1"/>
    <row r="1244" s="1" customFormat="1"/>
    <row r="1245" s="1" customFormat="1"/>
    <row r="1246" s="1" customFormat="1"/>
    <row r="1247" s="1" customFormat="1"/>
    <row r="1248" s="1" customFormat="1"/>
    <row r="1249" s="1" customFormat="1"/>
    <row r="1250" s="1" customFormat="1"/>
    <row r="1251" s="1" customFormat="1"/>
    <row r="1252" s="1" customFormat="1"/>
    <row r="1253" s="1" customFormat="1"/>
    <row r="1254" s="1" customFormat="1"/>
    <row r="1255" s="1" customFormat="1"/>
    <row r="1256" s="1" customFormat="1"/>
    <row r="1257" s="1" customFormat="1"/>
    <row r="1258" s="1" customFormat="1"/>
    <row r="1259" s="1" customFormat="1"/>
    <row r="1260" s="1" customFormat="1"/>
    <row r="1261" s="1" customFormat="1"/>
    <row r="1262" s="1" customFormat="1"/>
    <row r="1263" s="1" customFormat="1"/>
    <row r="1264" s="1" customFormat="1"/>
    <row r="1265" s="1" customFormat="1"/>
    <row r="1266" s="1" customFormat="1"/>
    <row r="1267" s="1" customFormat="1"/>
    <row r="1268" s="1" customFormat="1"/>
    <row r="1269" s="1" customFormat="1"/>
    <row r="1270" s="1" customFormat="1"/>
    <row r="1271" s="1" customFormat="1"/>
    <row r="1272" s="1" customFormat="1"/>
    <row r="1273" s="1" customFormat="1"/>
    <row r="1274" s="1" customFormat="1"/>
    <row r="1275" s="1" customFormat="1"/>
    <row r="1276" s="1" customFormat="1"/>
    <row r="1277" s="1" customFormat="1"/>
    <row r="1278" s="1" customFormat="1"/>
    <row r="1279" s="1" customFormat="1"/>
    <row r="1280" s="1" customFormat="1"/>
    <row r="1281" s="1" customFormat="1"/>
    <row r="1282" s="1" customFormat="1"/>
    <row r="1283" s="1" customFormat="1"/>
    <row r="1284" s="1" customFormat="1"/>
    <row r="1285" s="1" customFormat="1"/>
    <row r="1286" s="1" customFormat="1"/>
    <row r="1287" s="1" customFormat="1"/>
    <row r="1288" s="1" customFormat="1"/>
    <row r="1289" s="1" customFormat="1"/>
    <row r="1290" s="1" customFormat="1"/>
    <row r="1291" s="1" customFormat="1"/>
    <row r="1292" s="1" customFormat="1"/>
    <row r="1293" s="1" customFormat="1"/>
    <row r="1294" s="1" customFormat="1"/>
    <row r="1295" s="1" customFormat="1"/>
    <row r="1296" s="1" customFormat="1"/>
    <row r="1297" s="1" customFormat="1"/>
    <row r="1298" s="1" customFormat="1"/>
    <row r="1299" s="1" customFormat="1"/>
    <row r="1300" s="1" customFormat="1"/>
    <row r="1301" s="1" customFormat="1"/>
    <row r="1302" s="1" customFormat="1"/>
    <row r="1303" s="1" customFormat="1"/>
    <row r="1304" s="1" customFormat="1"/>
    <row r="1305" s="1" customFormat="1"/>
    <row r="1306" s="1" customFormat="1"/>
    <row r="1307" s="1" customFormat="1"/>
    <row r="1308" s="1" customFormat="1"/>
    <row r="1309" s="1" customFormat="1"/>
    <row r="1310" s="1" customFormat="1"/>
    <row r="1311" s="1" customFormat="1"/>
    <row r="1312" s="1" customFormat="1"/>
    <row r="1313" s="1" customFormat="1"/>
    <row r="1314" s="1" customFormat="1"/>
    <row r="1315" s="1" customFormat="1"/>
    <row r="1316" s="1" customFormat="1"/>
    <row r="1317" s="1" customFormat="1"/>
    <row r="1318" s="1" customFormat="1"/>
    <row r="1319" s="1" customFormat="1"/>
    <row r="1320" s="1" customFormat="1"/>
    <row r="1321" s="1" customFormat="1"/>
    <row r="1322" s="1" customFormat="1"/>
    <row r="1323" s="1" customFormat="1"/>
    <row r="1324" s="1" customFormat="1"/>
    <row r="1325" s="1" customFormat="1"/>
    <row r="1326" s="1" customFormat="1"/>
    <row r="1327" s="1" customFormat="1"/>
    <row r="1328" s="1" customFormat="1"/>
    <row r="1329" s="1" customFormat="1"/>
    <row r="1330" s="1" customFormat="1"/>
    <row r="1331" s="1" customFormat="1"/>
    <row r="1332" s="1" customFormat="1"/>
    <row r="1333" s="1" customFormat="1"/>
    <row r="1334" s="1" customFormat="1"/>
    <row r="1335" s="1" customFormat="1"/>
    <row r="1336" s="1" customFormat="1"/>
    <row r="1337" s="1" customFormat="1"/>
    <row r="1338" s="1" customFormat="1"/>
    <row r="1339" s="1" customFormat="1"/>
    <row r="1340" s="1" customFormat="1"/>
    <row r="1341" s="1" customFormat="1"/>
    <row r="1342" s="1" customFormat="1"/>
    <row r="1343" s="1" customFormat="1"/>
    <row r="1344" s="1" customFormat="1"/>
    <row r="1345" s="1" customFormat="1"/>
    <row r="1346" s="1" customFormat="1"/>
    <row r="1347" s="1" customFormat="1"/>
    <row r="1348" s="1" customFormat="1"/>
    <row r="1349" s="1" customFormat="1"/>
    <row r="1350" s="1" customFormat="1"/>
    <row r="1351" s="1" customFormat="1"/>
    <row r="1352" s="1" customFormat="1"/>
    <row r="1353" s="1" customFormat="1"/>
    <row r="1354" s="1" customFormat="1"/>
    <row r="1355" s="1" customFormat="1"/>
    <row r="1356" s="1" customFormat="1"/>
    <row r="1357" s="1" customFormat="1"/>
    <row r="1358" s="1" customFormat="1"/>
    <row r="1359" s="1" customFormat="1"/>
    <row r="1360" s="1" customFormat="1"/>
    <row r="1361" s="1" customFormat="1"/>
    <row r="1362" s="1" customFormat="1"/>
    <row r="1363" s="1" customFormat="1"/>
    <row r="1364" s="1" customFormat="1"/>
    <row r="1365" s="1" customFormat="1"/>
    <row r="1366" s="1" customFormat="1"/>
    <row r="1367" s="1" customFormat="1"/>
    <row r="1368" s="1" customFormat="1"/>
    <row r="1369" s="1" customFormat="1"/>
    <row r="1370" s="1" customFormat="1"/>
    <row r="1371" s="1" customFormat="1"/>
    <row r="1372" s="1" customFormat="1"/>
    <row r="1373" s="1" customFormat="1"/>
    <row r="1374" s="1" customFormat="1"/>
    <row r="1375" s="1" customFormat="1"/>
    <row r="1376" s="1" customFormat="1"/>
    <row r="1377" s="1" customFormat="1"/>
    <row r="1378" s="1" customFormat="1"/>
    <row r="1379" s="1" customFormat="1"/>
    <row r="1380" s="1" customFormat="1"/>
    <row r="1381" s="1" customFormat="1"/>
    <row r="1382" s="1" customFormat="1"/>
    <row r="1383" s="1" customFormat="1"/>
    <row r="1384" s="1" customFormat="1"/>
    <row r="1385" s="1" customFormat="1"/>
    <row r="1386" s="1" customFormat="1"/>
    <row r="1387" s="1" customFormat="1"/>
    <row r="1388" s="1" customFormat="1"/>
    <row r="1389" s="1" customFormat="1"/>
    <row r="1390" s="1" customFormat="1"/>
    <row r="1391" s="1" customFormat="1"/>
    <row r="1392" s="1" customFormat="1"/>
    <row r="1393" s="1" customFormat="1"/>
    <row r="1394" s="1" customFormat="1"/>
    <row r="1395" s="1" customFormat="1"/>
    <row r="1396" s="1" customFormat="1"/>
    <row r="1397" s="1" customFormat="1"/>
    <row r="1398" s="1" customFormat="1"/>
    <row r="1399" s="1" customFormat="1"/>
    <row r="1400" s="1" customFormat="1"/>
    <row r="1401" s="1" customFormat="1"/>
    <row r="1402" s="1" customFormat="1"/>
    <row r="1403" s="1" customFormat="1"/>
    <row r="1404" s="1" customFormat="1"/>
    <row r="1405" s="1" customFormat="1"/>
    <row r="1406" s="1" customFormat="1"/>
    <row r="1407" s="1" customFormat="1"/>
    <row r="1408" s="1" customFormat="1"/>
    <row r="1409" s="1" customFormat="1"/>
    <row r="1410" s="1" customFormat="1"/>
    <row r="1411" s="1" customFormat="1"/>
    <row r="1412" s="1" customFormat="1"/>
    <row r="1413" s="1" customFormat="1"/>
    <row r="1414" s="1" customFormat="1"/>
    <row r="1415" s="1" customFormat="1"/>
    <row r="1416" s="1" customFormat="1"/>
    <row r="1417" s="1" customFormat="1"/>
    <row r="1418" s="1" customFormat="1"/>
    <row r="1419" s="1" customFormat="1"/>
    <row r="1420" s="1" customFormat="1"/>
    <row r="1421" s="1" customFormat="1"/>
    <row r="1422" s="1" customFormat="1"/>
    <row r="1423" s="1" customFormat="1"/>
    <row r="1424" s="1" customFormat="1"/>
    <row r="1425" s="1" customFormat="1"/>
    <row r="1426" s="1" customFormat="1"/>
    <row r="1427" s="1" customFormat="1"/>
    <row r="1428" s="1" customFormat="1"/>
    <row r="1429" s="1" customFormat="1"/>
    <row r="1430" s="1" customFormat="1"/>
    <row r="1431" s="1" customFormat="1"/>
    <row r="1432" s="1" customFormat="1"/>
    <row r="1433" s="1" customFormat="1"/>
    <row r="1434" s="1" customFormat="1"/>
    <row r="1435" s="1" customFormat="1"/>
    <row r="1436" s="1" customFormat="1"/>
    <row r="1437" s="1" customFormat="1"/>
    <row r="1438" s="1" customFormat="1"/>
    <row r="1439" s="1" customFormat="1"/>
    <row r="1440" s="1" customFormat="1"/>
    <row r="1441" s="1" customFormat="1"/>
    <row r="1442" s="1" customFormat="1"/>
    <row r="1443" s="1" customFormat="1"/>
    <row r="1444" s="1" customFormat="1"/>
    <row r="1445" s="1" customFormat="1"/>
    <row r="1446" s="1" customFormat="1"/>
    <row r="1447" s="1" customFormat="1"/>
    <row r="1448" s="1" customFormat="1"/>
    <row r="1449" s="1" customFormat="1"/>
    <row r="1450" s="1" customFormat="1"/>
    <row r="1451" s="1" customFormat="1"/>
    <row r="1452" s="1" customFormat="1"/>
    <row r="1453" s="1" customFormat="1"/>
    <row r="1454" s="1" customFormat="1"/>
    <row r="1455" s="1" customFormat="1"/>
    <row r="1456" s="1" customFormat="1"/>
    <row r="1457" s="1" customFormat="1"/>
    <row r="1458" s="1" customFormat="1"/>
    <row r="1459" s="1" customFormat="1"/>
    <row r="1460" s="1" customFormat="1"/>
    <row r="1461" s="1" customFormat="1"/>
    <row r="1462" s="1" customFormat="1"/>
    <row r="1463" s="1" customFormat="1"/>
    <row r="1464" s="1" customFormat="1"/>
    <row r="1465" s="1" customFormat="1"/>
    <row r="1466" s="1" customFormat="1"/>
    <row r="1467" s="1" customFormat="1"/>
    <row r="1468" s="1" customFormat="1"/>
    <row r="1469" s="1" customFormat="1"/>
    <row r="1470" s="1" customFormat="1"/>
    <row r="1471" s="1" customFormat="1"/>
    <row r="1472" s="1" customFormat="1"/>
    <row r="1473" s="1" customFormat="1"/>
    <row r="1474" s="1" customFormat="1"/>
    <row r="1475" s="1" customFormat="1"/>
    <row r="1476" s="1" customFormat="1"/>
    <row r="1477" s="1" customFormat="1"/>
    <row r="1478" s="1" customFormat="1"/>
    <row r="1479" s="1" customFormat="1"/>
    <row r="1480" s="1" customFormat="1"/>
    <row r="1481" s="1" customFormat="1"/>
    <row r="1482" s="1" customFormat="1"/>
    <row r="1483" s="1" customFormat="1"/>
    <row r="1484" s="1" customFormat="1"/>
    <row r="1485" s="1" customFormat="1"/>
    <row r="1486" s="1" customFormat="1"/>
    <row r="1487" s="1" customFormat="1"/>
    <row r="1488" s="1" customFormat="1"/>
    <row r="1489" s="1" customFormat="1"/>
    <row r="1490" s="1" customFormat="1"/>
    <row r="1491" s="1" customFormat="1"/>
    <row r="1492" s="1" customFormat="1"/>
    <row r="1493" s="1" customFormat="1"/>
    <row r="1494" s="1" customFormat="1"/>
    <row r="1495" s="1" customFormat="1"/>
    <row r="1496" s="1" customFormat="1"/>
    <row r="1497" s="1" customFormat="1"/>
    <row r="1498" s="1" customFormat="1"/>
    <row r="1499" s="1" customFormat="1"/>
    <row r="1500" s="1" customFormat="1"/>
    <row r="1501" s="1" customFormat="1"/>
    <row r="1502" s="1" customFormat="1"/>
    <row r="1503" s="1" customFormat="1"/>
    <row r="1504" s="1" customFormat="1"/>
    <row r="1505" s="1" customFormat="1"/>
    <row r="1506" s="1" customFormat="1"/>
    <row r="1507" s="1" customFormat="1"/>
    <row r="1508" s="1" customFormat="1"/>
    <row r="1509" s="1" customFormat="1"/>
    <row r="1510" s="1" customFormat="1"/>
    <row r="1511" s="1" customFormat="1"/>
    <row r="1512" s="1" customFormat="1"/>
    <row r="1513" s="1" customFormat="1"/>
    <row r="1514" s="1" customFormat="1"/>
    <row r="1515" s="1" customFormat="1"/>
    <row r="1516" s="1" customFormat="1"/>
    <row r="1517" s="1" customFormat="1"/>
    <row r="1518" s="1" customFormat="1"/>
    <row r="1519" s="1" customFormat="1"/>
    <row r="1520" s="1" customFormat="1"/>
    <row r="1521" s="1" customFormat="1"/>
    <row r="1522" s="1" customFormat="1"/>
    <row r="1523" s="1" customFormat="1"/>
    <row r="1524" s="1" customFormat="1"/>
    <row r="1525" s="1" customFormat="1"/>
    <row r="1526" s="1" customFormat="1"/>
    <row r="1527" s="1" customFormat="1"/>
    <row r="1528" s="1" customFormat="1"/>
    <row r="1529" s="1" customFormat="1"/>
    <row r="1530" s="1" customFormat="1"/>
    <row r="1531" s="1" customFormat="1"/>
    <row r="1532" s="1" customFormat="1"/>
    <row r="1533" s="1" customFormat="1"/>
    <row r="1534" s="1" customFormat="1"/>
    <row r="1535" s="1" customFormat="1"/>
    <row r="1536" s="1" customFormat="1"/>
    <row r="1537" s="1" customFormat="1"/>
    <row r="1538" s="1" customFormat="1"/>
    <row r="1539" s="1" customFormat="1"/>
    <row r="1540" s="1" customFormat="1"/>
    <row r="1541" s="1" customFormat="1"/>
    <row r="1542" s="1" customFormat="1"/>
    <row r="1543" s="1" customFormat="1"/>
    <row r="1544" s="1" customFormat="1"/>
    <row r="1545" s="1" customFormat="1"/>
    <row r="1546" s="1" customFormat="1"/>
    <row r="1547" s="1" customFormat="1"/>
    <row r="1548" s="1" customFormat="1"/>
    <row r="1549" s="1" customFormat="1"/>
    <row r="1550" s="1" customFormat="1"/>
    <row r="1551" s="1" customFormat="1"/>
    <row r="1552" s="1" customFormat="1"/>
    <row r="1553" s="1" customFormat="1"/>
    <row r="1554" s="1" customFormat="1"/>
    <row r="1555" s="1" customFormat="1"/>
    <row r="1556" s="1" customFormat="1"/>
    <row r="1557" s="1" customFormat="1"/>
    <row r="1558" s="1" customFormat="1"/>
    <row r="1559" s="1" customFormat="1"/>
    <row r="1560" s="1" customFormat="1"/>
    <row r="1561" s="1" customFormat="1"/>
    <row r="1562" s="1" customFormat="1"/>
    <row r="1563" s="1" customFormat="1"/>
    <row r="1564" s="1" customFormat="1"/>
    <row r="1565" s="1" customFormat="1"/>
    <row r="1566" s="1" customFormat="1"/>
    <row r="1567" s="1" customFormat="1"/>
    <row r="1568" s="1" customFormat="1"/>
    <row r="1569" s="1" customFormat="1"/>
    <row r="1570" s="1" customFormat="1"/>
    <row r="1571" s="1" customFormat="1"/>
    <row r="1572" s="1" customFormat="1"/>
    <row r="1573" s="1" customFormat="1"/>
    <row r="1574" s="1" customFormat="1"/>
    <row r="1575" s="1" customFormat="1"/>
    <row r="1576" s="1" customFormat="1"/>
    <row r="1577" s="1" customFormat="1"/>
    <row r="1578" s="1" customFormat="1"/>
    <row r="1579" s="1" customFormat="1"/>
    <row r="1580" s="1" customFormat="1"/>
    <row r="1581" s="1" customFormat="1"/>
    <row r="1582" s="1" customFormat="1"/>
    <row r="1583" s="1" customFormat="1"/>
    <row r="1584" s="1" customFormat="1"/>
    <row r="1585" s="1" customFormat="1"/>
    <row r="1586" s="1" customFormat="1"/>
    <row r="1587" s="1" customFormat="1"/>
    <row r="1588" s="1" customFormat="1"/>
    <row r="1589" s="1" customFormat="1"/>
    <row r="1590" s="1" customFormat="1"/>
    <row r="1591" s="1" customFormat="1"/>
    <row r="1592" s="1" customFormat="1"/>
    <row r="1593" s="1" customFormat="1"/>
    <row r="1594" s="1" customFormat="1"/>
    <row r="1595" s="1" customFormat="1"/>
    <row r="1596" s="1" customFormat="1"/>
    <row r="1597" s="1" customFormat="1"/>
    <row r="1598" s="1" customFormat="1"/>
    <row r="1599" s="1" customFormat="1"/>
    <row r="1600" s="1" customFormat="1"/>
    <row r="1601" s="1" customFormat="1"/>
    <row r="1602" s="1" customFormat="1"/>
    <row r="1603" s="1" customFormat="1"/>
    <row r="1604" s="1" customFormat="1"/>
    <row r="1605" s="1" customFormat="1"/>
    <row r="1606" s="1" customFormat="1"/>
    <row r="1607" s="1" customFormat="1"/>
    <row r="1608" s="1" customFormat="1"/>
    <row r="1609" s="1" customFormat="1"/>
    <row r="1610" s="1" customFormat="1"/>
    <row r="1611" s="1" customFormat="1"/>
    <row r="1612" s="1" customFormat="1"/>
    <row r="1613" s="1" customFormat="1"/>
    <row r="1614" s="1" customFormat="1"/>
    <row r="1615" s="1" customFormat="1"/>
    <row r="1616" s="1" customFormat="1"/>
    <row r="1617" s="1" customFormat="1"/>
    <row r="1618" s="1" customFormat="1"/>
    <row r="1619" s="1" customFormat="1"/>
    <row r="1620" s="1" customFormat="1"/>
    <row r="1621" s="1" customFormat="1"/>
    <row r="1622" s="1" customFormat="1"/>
    <row r="1623" s="1" customFormat="1"/>
    <row r="1624" s="1" customFormat="1"/>
    <row r="1625" s="1" customFormat="1"/>
    <row r="1626" s="1" customFormat="1"/>
    <row r="1627" s="1" customFormat="1"/>
    <row r="1628" s="1" customFormat="1"/>
    <row r="1629" s="1" customFormat="1"/>
    <row r="1630" s="1" customFormat="1"/>
    <row r="1631" s="1" customFormat="1"/>
    <row r="1632" s="1" customFormat="1"/>
    <row r="1633" s="1" customFormat="1"/>
    <row r="1634" s="1" customFormat="1"/>
    <row r="1635" s="1" customFormat="1"/>
    <row r="1636" s="1" customFormat="1"/>
    <row r="1637" s="1" customFormat="1"/>
    <row r="1638" s="1" customFormat="1"/>
    <row r="1639" s="1" customFormat="1"/>
    <row r="1640" s="1" customFormat="1"/>
    <row r="1641" s="1" customFormat="1"/>
    <row r="1642" s="1" customFormat="1"/>
    <row r="1643" s="1" customFormat="1"/>
    <row r="1644" s="1" customFormat="1"/>
    <row r="1645" s="1" customFormat="1"/>
    <row r="1646" s="1" customFormat="1"/>
    <row r="1647" s="1" customFormat="1"/>
    <row r="1648" s="1" customFormat="1"/>
    <row r="1649" s="1" customFormat="1"/>
    <row r="1650" s="1" customFormat="1"/>
    <row r="1651" s="1" customFormat="1"/>
    <row r="1652" s="1" customFormat="1"/>
    <row r="1653" s="1" customFormat="1"/>
    <row r="1654" s="1" customFormat="1"/>
    <row r="1655" s="1" customFormat="1"/>
    <row r="1656" s="1" customFormat="1"/>
    <row r="1657" s="1" customFormat="1"/>
    <row r="1658" s="1" customFormat="1"/>
    <row r="1659" s="1" customFormat="1"/>
    <row r="1660" s="1" customFormat="1"/>
    <row r="1661" s="1" customFormat="1"/>
    <row r="1662" s="1" customFormat="1"/>
    <row r="1663" s="1" customFormat="1"/>
    <row r="1664" s="1" customFormat="1"/>
    <row r="1665" s="1" customFormat="1"/>
    <row r="1666" s="1" customFormat="1"/>
    <row r="1667" s="1" customFormat="1"/>
    <row r="1668" s="1" customFormat="1"/>
    <row r="1669" s="1" customFormat="1"/>
    <row r="1670" s="1" customFormat="1"/>
    <row r="1671" s="1" customFormat="1"/>
    <row r="1672" s="1" customFormat="1"/>
    <row r="1673" s="1" customFormat="1"/>
    <row r="1674" s="1" customFormat="1"/>
    <row r="1675" s="1" customFormat="1"/>
    <row r="1676" s="1" customFormat="1"/>
    <row r="1677" s="1" customFormat="1"/>
    <row r="1678" s="1" customFormat="1"/>
    <row r="1679" s="1" customFormat="1"/>
    <row r="1680" s="1" customFormat="1"/>
    <row r="1681" s="1" customFormat="1"/>
    <row r="1682" s="1" customFormat="1"/>
    <row r="1683" s="1" customFormat="1"/>
    <row r="1684" s="1" customFormat="1"/>
    <row r="1685" s="1" customFormat="1"/>
    <row r="1686" s="1" customFormat="1"/>
    <row r="1687" s="1" customFormat="1"/>
    <row r="1688" s="1" customFormat="1"/>
    <row r="1689" s="1" customFormat="1"/>
    <row r="1690" s="1" customFormat="1"/>
    <row r="1691" s="1" customFormat="1"/>
    <row r="1692" s="1" customFormat="1"/>
    <row r="1693" s="1" customFormat="1"/>
    <row r="1694" s="1" customFormat="1"/>
    <row r="1695" s="1" customFormat="1"/>
    <row r="1696" s="1" customFormat="1"/>
    <row r="1697" s="1" customFormat="1"/>
    <row r="1698" s="1" customFormat="1"/>
    <row r="1699" s="1" customFormat="1"/>
    <row r="1700" s="1" customFormat="1"/>
    <row r="1701" s="1" customFormat="1"/>
    <row r="1702" s="1" customFormat="1"/>
    <row r="1703" s="1" customFormat="1"/>
    <row r="1704" s="1" customFormat="1"/>
    <row r="1705" s="1" customFormat="1"/>
    <row r="1706" s="1" customFormat="1"/>
    <row r="1707" s="1" customFormat="1"/>
    <row r="1708" s="1" customFormat="1"/>
    <row r="1709" s="1" customFormat="1"/>
    <row r="1710" s="1" customFormat="1"/>
    <row r="1711" s="1" customFormat="1"/>
    <row r="1712" s="1" customFormat="1"/>
    <row r="1713" s="1" customFormat="1"/>
    <row r="1714" s="1" customFormat="1"/>
    <row r="1715" s="1" customFormat="1"/>
    <row r="1716" s="1" customFormat="1"/>
    <row r="1717" s="1" customFormat="1"/>
    <row r="1718" s="1" customFormat="1"/>
    <row r="1719" s="1" customFormat="1"/>
    <row r="1720" s="1" customFormat="1"/>
    <row r="1721" s="1" customFormat="1"/>
    <row r="1722" s="1" customFormat="1"/>
    <row r="1723" s="1" customFormat="1"/>
    <row r="1724" s="1" customFormat="1"/>
    <row r="1725" s="1" customFormat="1"/>
    <row r="1726" s="1" customFormat="1"/>
    <row r="1727" s="1" customFormat="1"/>
    <row r="1728" s="1" customFormat="1"/>
    <row r="1729" s="1" customFormat="1"/>
    <row r="1730" s="1" customFormat="1"/>
    <row r="1731" s="1" customFormat="1"/>
    <row r="1732" s="1" customFormat="1"/>
    <row r="1733" s="1" customFormat="1"/>
    <row r="1734" s="1" customFormat="1"/>
    <row r="1735" s="1" customFormat="1"/>
    <row r="1736" s="1" customFormat="1"/>
    <row r="1737" s="1" customFormat="1"/>
    <row r="1738" s="1" customFormat="1"/>
    <row r="1739" s="1" customFormat="1"/>
    <row r="1740" s="1" customFormat="1"/>
    <row r="1741" s="1" customFormat="1"/>
    <row r="1742" s="1" customFormat="1"/>
    <row r="1743" s="1" customFormat="1"/>
    <row r="1744" s="1" customFormat="1"/>
    <row r="1745" s="1" customFormat="1"/>
    <row r="1746" s="1" customFormat="1"/>
    <row r="1747" s="1" customFormat="1"/>
    <row r="1748" s="1" customFormat="1"/>
    <row r="1749" s="1" customFormat="1"/>
    <row r="1750" s="1" customFormat="1"/>
    <row r="1751" s="1" customFormat="1"/>
    <row r="1752" s="1" customFormat="1"/>
    <row r="1753" s="1" customFormat="1"/>
    <row r="1754" s="1" customFormat="1"/>
    <row r="1755" s="1" customFormat="1"/>
    <row r="1756" s="1" customFormat="1"/>
    <row r="1757" s="1" customFormat="1"/>
    <row r="1758" s="1" customFormat="1"/>
    <row r="1759" s="1" customFormat="1"/>
    <row r="1760" s="1" customFormat="1"/>
    <row r="1761" s="1" customFormat="1"/>
    <row r="1762" s="1" customFormat="1"/>
    <row r="1763" s="1" customFormat="1"/>
    <row r="1764" s="1" customFormat="1"/>
    <row r="1765" s="1" customFormat="1"/>
    <row r="1766" s="1" customFormat="1"/>
    <row r="1767" s="1" customFormat="1"/>
    <row r="1768" s="1" customFormat="1"/>
    <row r="1769" s="1" customFormat="1"/>
    <row r="1770" s="1" customFormat="1"/>
    <row r="1771" s="1" customFormat="1"/>
    <row r="1772" s="1" customFormat="1"/>
    <row r="1773" s="1" customFormat="1"/>
    <row r="1774" s="1" customFormat="1"/>
    <row r="1775" s="1" customFormat="1"/>
    <row r="1776" s="1" customFormat="1"/>
    <row r="1777" s="1" customFormat="1"/>
    <row r="1778" s="1" customFormat="1"/>
    <row r="1779" s="1" customFormat="1"/>
    <row r="1780" s="1" customFormat="1"/>
    <row r="1781" s="1" customFormat="1"/>
    <row r="1782" s="1" customFormat="1"/>
    <row r="1783" s="1" customFormat="1"/>
    <row r="1784" s="1" customFormat="1"/>
    <row r="1785" s="1" customFormat="1"/>
    <row r="1786" s="1" customFormat="1"/>
    <row r="1787" s="1" customFormat="1"/>
    <row r="1788" s="1" customFormat="1"/>
    <row r="1789" s="1" customFormat="1"/>
    <row r="1790" s="1" customFormat="1"/>
    <row r="1791" s="1" customFormat="1"/>
    <row r="1792" s="1" customFormat="1"/>
    <row r="1793" s="1" customFormat="1"/>
    <row r="1794" s="1" customFormat="1"/>
    <row r="1795" s="1" customFormat="1"/>
    <row r="1796" s="1" customFormat="1"/>
    <row r="1797" s="1" customFormat="1"/>
    <row r="1798" s="1" customFormat="1"/>
    <row r="1799" s="1" customFormat="1"/>
    <row r="1800" s="1" customFormat="1"/>
    <row r="1801" s="1" customFormat="1"/>
    <row r="1802" s="1" customFormat="1"/>
    <row r="1803" s="1" customFormat="1"/>
    <row r="1804" s="1" customFormat="1"/>
    <row r="1805" s="1" customFormat="1"/>
    <row r="1806" s="1" customFormat="1"/>
    <row r="1807" s="1" customFormat="1"/>
    <row r="1808" s="1" customFormat="1"/>
    <row r="1809" s="1" customFormat="1"/>
    <row r="1810" s="1" customFormat="1"/>
    <row r="1811" s="1" customFormat="1"/>
    <row r="1812" s="1" customFormat="1"/>
    <row r="1813" s="1" customFormat="1"/>
    <row r="1814" s="1" customFormat="1"/>
    <row r="1815" s="1" customFormat="1"/>
    <row r="1816" s="1" customFormat="1"/>
    <row r="1817" s="1" customFormat="1"/>
    <row r="1818" s="1" customFormat="1"/>
    <row r="1819" s="1" customFormat="1"/>
    <row r="1820" s="1" customFormat="1"/>
    <row r="1821" s="1" customFormat="1"/>
    <row r="1822" s="1" customFormat="1"/>
    <row r="1823" s="1" customFormat="1"/>
    <row r="1824" s="1" customFormat="1"/>
    <row r="1825" s="1" customFormat="1"/>
    <row r="1826" s="1" customFormat="1"/>
    <row r="1827" s="1" customFormat="1"/>
    <row r="1828" s="1" customFormat="1"/>
    <row r="1829" s="1" customFormat="1"/>
    <row r="1830" s="1" customFormat="1"/>
    <row r="1831" s="1" customFormat="1"/>
    <row r="1832" s="1" customFormat="1"/>
    <row r="1833" s="1" customFormat="1"/>
    <row r="1834" s="1" customFormat="1"/>
    <row r="1835" s="1" customFormat="1"/>
    <row r="1836" s="1" customFormat="1"/>
    <row r="1837" s="1" customFormat="1"/>
    <row r="1838" s="1" customFormat="1"/>
    <row r="1839" s="1" customFormat="1"/>
    <row r="1840" s="1" customFormat="1"/>
    <row r="1841" s="1" customFormat="1"/>
    <row r="1842" s="1" customFormat="1"/>
    <row r="1843" s="1" customFormat="1"/>
    <row r="1844" s="1" customFormat="1"/>
    <row r="1845" s="1" customFormat="1"/>
    <row r="1846" s="1" customFormat="1"/>
    <row r="1847" s="1" customFormat="1"/>
    <row r="1848" s="1" customFormat="1"/>
    <row r="1849" s="1" customFormat="1"/>
    <row r="1850" s="1" customFormat="1"/>
    <row r="1851" s="1" customFormat="1"/>
    <row r="1852" s="1" customFormat="1"/>
    <row r="1853" s="1" customFormat="1"/>
    <row r="1854" s="1" customFormat="1"/>
    <row r="1855" s="1" customFormat="1"/>
    <row r="1856" s="1" customFormat="1"/>
    <row r="1857" s="1" customFormat="1"/>
    <row r="1858" s="1" customFormat="1"/>
    <row r="1859" s="1" customFormat="1"/>
    <row r="1860" s="1" customFormat="1"/>
    <row r="1861" s="1" customFormat="1"/>
    <row r="1862" s="1" customFormat="1"/>
    <row r="1863" s="1" customFormat="1"/>
    <row r="1864" s="1" customFormat="1"/>
    <row r="1865" s="1" customFormat="1"/>
    <row r="1866" s="1" customFormat="1"/>
    <row r="1867" s="1" customFormat="1"/>
    <row r="1868" s="1" customFormat="1"/>
    <row r="1869" s="1" customFormat="1"/>
    <row r="1870" s="1" customFormat="1"/>
    <row r="1871" s="1" customFormat="1"/>
    <row r="1872" s="1" customFormat="1"/>
    <row r="1873" s="1" customFormat="1"/>
    <row r="1874" s="1" customFormat="1"/>
    <row r="1875" s="1" customFormat="1"/>
    <row r="1876" s="1" customFormat="1"/>
    <row r="1877" s="1" customFormat="1"/>
    <row r="1878" s="1" customFormat="1"/>
    <row r="1879" s="1" customFormat="1"/>
    <row r="1880" s="1" customFormat="1"/>
    <row r="1881" s="1" customFormat="1"/>
    <row r="1882" s="1" customFormat="1"/>
    <row r="1883" s="1" customFormat="1"/>
    <row r="1884" s="1" customFormat="1"/>
    <row r="1885" s="1" customFormat="1"/>
    <row r="1886" s="1" customFormat="1"/>
    <row r="1887" s="1" customFormat="1"/>
    <row r="1888" s="1" customFormat="1"/>
    <row r="1889" s="1" customFormat="1"/>
    <row r="1890" s="1" customFormat="1"/>
    <row r="1891" s="1" customFormat="1"/>
    <row r="1892" s="1" customFormat="1"/>
    <row r="1893" s="1" customFormat="1"/>
    <row r="1894" s="1" customFormat="1"/>
    <row r="1895" s="1" customFormat="1"/>
    <row r="1896" s="1" customFormat="1"/>
    <row r="1897" s="1" customFormat="1"/>
    <row r="1898" s="1" customFormat="1"/>
    <row r="1899" s="1" customFormat="1"/>
    <row r="1900" s="1" customFormat="1"/>
    <row r="1901" s="1" customFormat="1"/>
    <row r="1902" s="1" customFormat="1"/>
    <row r="1903" s="1" customFormat="1"/>
    <row r="1904" s="1" customFormat="1"/>
    <row r="1905" s="1" customFormat="1"/>
    <row r="1906" s="1" customFormat="1"/>
    <row r="1907" s="1" customFormat="1"/>
    <row r="1908" s="1" customFormat="1"/>
    <row r="1909" s="1" customFormat="1"/>
    <row r="1910" s="1" customFormat="1"/>
    <row r="1911" s="1" customFormat="1"/>
    <row r="1912" s="1" customFormat="1"/>
    <row r="1913" s="1" customFormat="1"/>
    <row r="1914" s="1" customFormat="1"/>
    <row r="1915" s="1" customFormat="1"/>
    <row r="1916" s="1" customFormat="1"/>
    <row r="1917" s="1" customFormat="1"/>
    <row r="1918" s="1" customFormat="1"/>
    <row r="1919" s="1" customFormat="1"/>
    <row r="1920" s="1" customFormat="1"/>
    <row r="1921" s="1" customFormat="1"/>
    <row r="1922" s="1" customFormat="1"/>
    <row r="1923" s="1" customFormat="1"/>
    <row r="1924" s="1" customFormat="1"/>
    <row r="1925" s="1" customFormat="1"/>
    <row r="1926" s="1" customFormat="1"/>
    <row r="1927" s="1" customFormat="1"/>
    <row r="1928" s="1" customFormat="1"/>
    <row r="1929" s="1" customFormat="1"/>
    <row r="1930" s="1" customFormat="1"/>
    <row r="1931" s="1" customFormat="1"/>
    <row r="1932" s="1" customFormat="1"/>
    <row r="1933" s="1" customFormat="1"/>
    <row r="1934" s="1" customFormat="1"/>
    <row r="1935" s="1" customFormat="1"/>
    <row r="1936" s="1" customFormat="1"/>
    <row r="1937" s="1" customFormat="1"/>
    <row r="1938" s="1" customFormat="1"/>
    <row r="1939" s="1" customFormat="1"/>
    <row r="1940" s="1" customFormat="1"/>
    <row r="1941" s="1" customFormat="1"/>
    <row r="1942" s="1" customFormat="1"/>
    <row r="1943" s="1" customFormat="1"/>
    <row r="1944" s="1" customFormat="1"/>
    <row r="1945" s="1" customFormat="1"/>
    <row r="1946" s="1" customFormat="1"/>
    <row r="1947" s="1" customFormat="1"/>
    <row r="1948" s="1" customFormat="1"/>
    <row r="1949" s="1" customFormat="1"/>
    <row r="1950" s="1" customFormat="1"/>
    <row r="1951" s="1" customFormat="1"/>
    <row r="1952" s="1" customFormat="1"/>
    <row r="1953" s="1" customFormat="1"/>
    <row r="1954" s="1" customFormat="1"/>
    <row r="1955" s="1" customFormat="1"/>
    <row r="1956" s="1" customFormat="1"/>
    <row r="1957" s="1" customFormat="1"/>
    <row r="1958" s="1" customFormat="1"/>
    <row r="1959" s="1" customFormat="1"/>
    <row r="1960" s="1" customFormat="1"/>
    <row r="1961" s="1" customFormat="1"/>
    <row r="1962" s="1" customFormat="1"/>
    <row r="1963" s="1" customFormat="1"/>
    <row r="1964" s="1" customFormat="1"/>
    <row r="1965" s="1" customFormat="1"/>
    <row r="1966" s="1" customFormat="1"/>
    <row r="1967" s="1" customFormat="1"/>
    <row r="1968" s="1" customFormat="1"/>
    <row r="1969" s="1" customFormat="1"/>
    <row r="1970" s="1" customFormat="1"/>
    <row r="1971" s="1" customFormat="1"/>
    <row r="1972" s="1" customFormat="1"/>
    <row r="1973" s="1" customFormat="1"/>
    <row r="1974" s="1" customFormat="1"/>
    <row r="1975" s="1" customFormat="1"/>
    <row r="1976" s="1" customFormat="1"/>
    <row r="1977" s="1" customFormat="1"/>
    <row r="1978" s="1" customFormat="1"/>
    <row r="1979" s="1" customFormat="1"/>
    <row r="1980" s="1" customFormat="1"/>
    <row r="1981" s="1" customFormat="1"/>
    <row r="1982" s="1" customFormat="1"/>
    <row r="1983" s="1" customFormat="1"/>
    <row r="1984" s="1" customFormat="1"/>
    <row r="1985" s="1" customFormat="1"/>
    <row r="1986" s="1" customFormat="1"/>
    <row r="1987" s="1" customFormat="1"/>
    <row r="1988" s="1" customFormat="1"/>
    <row r="1989" s="1" customFormat="1"/>
    <row r="1990" s="1" customFormat="1"/>
    <row r="1991" s="1" customFormat="1"/>
    <row r="1992" s="1" customFormat="1"/>
    <row r="1993" s="1" customFormat="1"/>
    <row r="1994" s="1" customFormat="1"/>
    <row r="1995" s="1" customFormat="1"/>
    <row r="1996" s="1" customFormat="1"/>
    <row r="1997" s="1" customFormat="1"/>
    <row r="1998" s="1" customFormat="1"/>
    <row r="1999" s="1" customFormat="1"/>
    <row r="2000" s="1" customFormat="1"/>
  </sheetData>
  <conditionalFormatting sqref="C2:ZZ1000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000"/>
  <sheetViews>
    <sheetView workbookViewId="0"/>
  </sheetViews>
  <sheetFormatPr defaultRowHeight="15"/>
  <sheetData>
    <row r="1" spans="1:17" s="1" customFormat="1">
      <c r="A1" s="2" t="s">
        <v>15</v>
      </c>
      <c r="B1" s="2" t="s">
        <v>16</v>
      </c>
      <c r="C1" s="2" t="s">
        <v>17</v>
      </c>
      <c r="D1" s="2" t="s">
        <v>18</v>
      </c>
      <c r="E1" s="2" t="s">
        <v>87</v>
      </c>
      <c r="F1" s="2" t="s">
        <v>88</v>
      </c>
      <c r="G1" s="2" t="s">
        <v>19</v>
      </c>
      <c r="H1" s="2" t="s">
        <v>89</v>
      </c>
      <c r="I1" s="2" t="s">
        <v>90</v>
      </c>
      <c r="J1" s="2" t="s">
        <v>20</v>
      </c>
      <c r="K1" s="2" t="s">
        <v>91</v>
      </c>
      <c r="L1" s="2" t="s">
        <v>92</v>
      </c>
      <c r="M1" s="2" t="s">
        <v>93</v>
      </c>
      <c r="N1" s="2" t="s">
        <v>21</v>
      </c>
      <c r="O1" s="2" t="s">
        <v>94</v>
      </c>
      <c r="P1" s="2" t="s">
        <v>95</v>
      </c>
      <c r="Q1" s="2" t="s">
        <v>96</v>
      </c>
    </row>
    <row r="2" spans="1:17" s="1" customFormat="1">
      <c r="A2" s="3">
        <v>45292</v>
      </c>
      <c r="B2" s="1" t="s">
        <v>22</v>
      </c>
      <c r="C2" s="1">
        <v>22</v>
      </c>
      <c r="D2" s="1">
        <v>21</v>
      </c>
      <c r="E2" s="1">
        <v>0</v>
      </c>
      <c r="F2" s="1">
        <v>0</v>
      </c>
      <c r="G2" s="1">
        <v>0</v>
      </c>
      <c r="H2" s="1">
        <v>0</v>
      </c>
      <c r="I2" s="1">
        <f>IF(H2 &lt; 0, H2, 0)</f>
        <v>0</v>
      </c>
      <c r="J2" s="1">
        <v>0</v>
      </c>
      <c r="K2" s="1">
        <f>IF(J2 &lt; 0, J2, 0)</f>
        <v>0</v>
      </c>
      <c r="L2" s="1">
        <v>0</v>
      </c>
      <c r="M2" s="1">
        <f>IF(L2 &lt; 0, L2, 0)</f>
        <v>0</v>
      </c>
      <c r="N2" s="1">
        <v>0</v>
      </c>
      <c r="O2" s="1">
        <f>IF(N2 &lt; 0, N2, 0)</f>
        <v>0</v>
      </c>
      <c r="P2" s="1">
        <v>0</v>
      </c>
      <c r="Q2" s="1">
        <f>IF(P2 &lt; 0, P2, 0)</f>
        <v>0</v>
      </c>
    </row>
    <row r="3" spans="1:17" s="1" customFormat="1">
      <c r="A3" s="3">
        <v>45293</v>
      </c>
      <c r="B3" s="1" t="s">
        <v>23</v>
      </c>
      <c r="C3" s="1">
        <v>21</v>
      </c>
      <c r="D3" s="1">
        <v>20</v>
      </c>
      <c r="E3" s="1">
        <v>0</v>
      </c>
      <c r="F3" s="1">
        <v>0</v>
      </c>
      <c r="G3" s="1">
        <v>0</v>
      </c>
      <c r="H3" s="1">
        <v>0</v>
      </c>
      <c r="I3" s="1">
        <f>IF(H3 + I2 &lt; 0, H3 + I2, 0)</f>
        <v>0</v>
      </c>
      <c r="J3" s="1">
        <v>0</v>
      </c>
      <c r="K3" s="1">
        <f>IF(J3 + K2 &lt; 0, J3 + K2, 0)</f>
        <v>0</v>
      </c>
      <c r="L3" s="1">
        <v>0</v>
      </c>
      <c r="M3" s="1">
        <f>IF(L3 + M2 &lt; 0, L3 + M2, 0)</f>
        <v>0</v>
      </c>
      <c r="N3" s="1">
        <v>0</v>
      </c>
      <c r="O3" s="1">
        <f>IF(N3 + O2 &lt; 0, N3 + O2, 0)</f>
        <v>0</v>
      </c>
      <c r="P3" s="1">
        <v>0</v>
      </c>
      <c r="Q3" s="1">
        <f>IF(P3 + Q2 &lt; 0, P3 + Q2, 0)</f>
        <v>0</v>
      </c>
    </row>
    <row r="4" spans="1:17" s="1" customFormat="1">
      <c r="A4" s="3">
        <v>45294</v>
      </c>
      <c r="B4" s="1" t="s">
        <v>24</v>
      </c>
      <c r="C4" s="1">
        <v>20</v>
      </c>
      <c r="D4" s="1">
        <v>19</v>
      </c>
      <c r="E4" s="1">
        <v>0</v>
      </c>
      <c r="F4" s="1">
        <v>0</v>
      </c>
      <c r="G4" s="1">
        <v>0</v>
      </c>
      <c r="H4" s="1">
        <v>0</v>
      </c>
      <c r="I4" s="1">
        <f>IF(H4 + I3 &lt; 0, H4 + I3, 0)</f>
        <v>0</v>
      </c>
      <c r="J4" s="1">
        <v>0</v>
      </c>
      <c r="K4" s="1">
        <f>IF(J4 + K3 &lt; 0, J4 + K3, 0)</f>
        <v>0</v>
      </c>
      <c r="L4" s="1">
        <v>0</v>
      </c>
      <c r="M4" s="1">
        <f>IF(L4 + M3 &lt; 0, L4 + M3, 0)</f>
        <v>0</v>
      </c>
      <c r="N4" s="1">
        <v>0</v>
      </c>
      <c r="O4" s="1">
        <f>IF(N4 + O3 &lt; 0, N4 + O3, 0)</f>
        <v>0</v>
      </c>
      <c r="P4" s="1">
        <v>0</v>
      </c>
      <c r="Q4" s="1">
        <f>IF(P4 + Q3 &lt; 0, P4 + Q3, 0)</f>
        <v>0</v>
      </c>
    </row>
    <row r="5" spans="1:17" s="1" customFormat="1">
      <c r="A5" s="3">
        <v>45295</v>
      </c>
      <c r="B5" s="1" t="s">
        <v>25</v>
      </c>
      <c r="C5" s="1">
        <v>19</v>
      </c>
      <c r="D5" s="1">
        <v>18</v>
      </c>
      <c r="E5" s="1">
        <v>0</v>
      </c>
      <c r="F5" s="1">
        <v>0</v>
      </c>
      <c r="G5" s="1">
        <v>0</v>
      </c>
      <c r="H5" s="1">
        <v>0</v>
      </c>
      <c r="I5" s="1">
        <f>IF(H5 + I4 &lt; 0, H5 + I4, 0)</f>
        <v>0</v>
      </c>
      <c r="J5" s="1">
        <v>0</v>
      </c>
      <c r="K5" s="1">
        <f>IF(J5 + K4 &lt; 0, J5 + K4, 0)</f>
        <v>0</v>
      </c>
      <c r="L5" s="1">
        <v>1260109.858624836</v>
      </c>
      <c r="M5" s="1">
        <f>IF(L5 + M4 &lt; 0, L5 + M4, 0)</f>
        <v>0</v>
      </c>
      <c r="N5" s="1">
        <v>0</v>
      </c>
      <c r="O5" s="1">
        <f>IF(N5 + O4 &lt; 0, N5 + O4, 0)</f>
        <v>0</v>
      </c>
      <c r="P5" s="1">
        <v>0</v>
      </c>
      <c r="Q5" s="1">
        <f>IF(P5 + Q4 &lt; 0, P5 + Q4, 0)</f>
        <v>0</v>
      </c>
    </row>
    <row r="6" spans="1:17" s="1" customFormat="1">
      <c r="A6" s="3">
        <v>45296</v>
      </c>
      <c r="B6" s="1" t="s">
        <v>26</v>
      </c>
      <c r="C6" s="1">
        <v>18</v>
      </c>
      <c r="D6" s="1">
        <v>17</v>
      </c>
      <c r="E6" s="1">
        <v>0</v>
      </c>
      <c r="F6" s="1">
        <v>0</v>
      </c>
      <c r="G6" s="1">
        <v>0</v>
      </c>
      <c r="H6" s="1">
        <v>0</v>
      </c>
      <c r="I6" s="1">
        <f>IF(H6 + I5 &lt; 0, H6 + I5, 0)</f>
        <v>0</v>
      </c>
      <c r="J6" s="1">
        <v>0</v>
      </c>
      <c r="K6" s="1">
        <f>IF(J6 + K5 &lt; 0, J6 + K5, 0)</f>
        <v>0</v>
      </c>
      <c r="L6" s="1">
        <v>0</v>
      </c>
      <c r="M6" s="1">
        <f>IF(L6 + M5 &lt; 0, L6 + M5, 0)</f>
        <v>0</v>
      </c>
      <c r="N6" s="1">
        <v>0</v>
      </c>
      <c r="O6" s="1">
        <f>IF(N6 + O5 &lt; 0, N6 + O5, 0)</f>
        <v>0</v>
      </c>
      <c r="P6" s="1">
        <v>1481117.606666263</v>
      </c>
      <c r="Q6" s="1">
        <f>IF(P6 + Q5 &lt; 0, P6 + Q5, 0)</f>
        <v>0</v>
      </c>
    </row>
    <row r="7" spans="1:17" s="1" customFormat="1">
      <c r="A7" s="3">
        <v>45299</v>
      </c>
      <c r="B7" s="1" t="s">
        <v>22</v>
      </c>
      <c r="C7" s="1">
        <v>17</v>
      </c>
      <c r="D7" s="1">
        <v>16</v>
      </c>
      <c r="E7" s="1">
        <v>0</v>
      </c>
      <c r="F7" s="1">
        <v>0</v>
      </c>
      <c r="G7" s="1">
        <v>0</v>
      </c>
      <c r="H7" s="1">
        <v>0</v>
      </c>
      <c r="I7" s="1">
        <f>IF(H7 + I6 &lt; 0, H7 + I6, 0)</f>
        <v>0</v>
      </c>
      <c r="J7" s="1">
        <v>0</v>
      </c>
      <c r="K7" s="1">
        <f>IF(J7 + K6 &lt; 0, J7 + K6, 0)</f>
        <v>0</v>
      </c>
      <c r="L7" s="1">
        <v>0</v>
      </c>
      <c r="M7" s="1">
        <f>IF(L7 + M6 &lt; 0, L7 + M6, 0)</f>
        <v>0</v>
      </c>
      <c r="N7" s="1">
        <v>0</v>
      </c>
      <c r="O7" s="1">
        <f>IF(N7 + O6 &lt; 0, N7 + O6, 0)</f>
        <v>0</v>
      </c>
      <c r="P7" s="1">
        <v>0</v>
      </c>
      <c r="Q7" s="1">
        <f>IF(P7 + Q6 &lt; 0, P7 + Q6, 0)</f>
        <v>0</v>
      </c>
    </row>
    <row r="8" spans="1:17" s="1" customFormat="1">
      <c r="A8" s="3">
        <v>45300</v>
      </c>
      <c r="B8" s="1" t="s">
        <v>23</v>
      </c>
      <c r="C8" s="1">
        <v>16</v>
      </c>
      <c r="D8" s="1">
        <v>15</v>
      </c>
      <c r="E8" s="1">
        <v>0</v>
      </c>
      <c r="F8" s="1">
        <v>0</v>
      </c>
      <c r="G8" s="1">
        <v>0</v>
      </c>
      <c r="H8" s="1">
        <v>0</v>
      </c>
      <c r="I8" s="1">
        <f>IF(H8 + I7 &lt; 0, H8 + I7, 0)</f>
        <v>0</v>
      </c>
      <c r="J8" s="1">
        <v>0</v>
      </c>
      <c r="K8" s="1">
        <f>IF(J8 + K7 &lt; 0, J8 + K7, 0)</f>
        <v>0</v>
      </c>
      <c r="L8" s="1">
        <v>0</v>
      </c>
      <c r="M8" s="1">
        <f>IF(L8 + M7 &lt; 0, L8 + M7, 0)</f>
        <v>0</v>
      </c>
      <c r="N8" s="1">
        <v>0</v>
      </c>
      <c r="O8" s="1">
        <f>IF(N8 + O7 &lt; 0, N8 + O7, 0)</f>
        <v>0</v>
      </c>
      <c r="P8" s="1">
        <v>0</v>
      </c>
      <c r="Q8" s="1">
        <f>IF(P8 + Q7 &lt; 0, P8 + Q7, 0)</f>
        <v>0</v>
      </c>
    </row>
    <row r="9" spans="1:17" s="1" customFormat="1">
      <c r="A9" s="3">
        <v>45301</v>
      </c>
      <c r="B9" s="1" t="s">
        <v>24</v>
      </c>
      <c r="C9" s="1">
        <v>15</v>
      </c>
      <c r="D9" s="1">
        <v>14</v>
      </c>
      <c r="E9" s="1">
        <v>0</v>
      </c>
      <c r="F9" s="1">
        <v>0</v>
      </c>
      <c r="G9" s="1">
        <v>0</v>
      </c>
      <c r="H9" s="1">
        <v>0</v>
      </c>
      <c r="I9" s="1">
        <f>IF(H9 + I8 &lt; 0, H9 + I8, 0)</f>
        <v>0</v>
      </c>
      <c r="J9" s="1">
        <v>0</v>
      </c>
      <c r="K9" s="1">
        <f>IF(J9 + K8 &lt; 0, J9 + K8, 0)</f>
        <v>0</v>
      </c>
      <c r="L9" s="1">
        <v>0</v>
      </c>
      <c r="M9" s="1">
        <f>IF(L9 + M8 &lt; 0, L9 + M8, 0)</f>
        <v>0</v>
      </c>
      <c r="N9" s="1">
        <v>0</v>
      </c>
      <c r="O9" s="1">
        <f>IF(N9 + O8 &lt; 0, N9 + O8, 0)</f>
        <v>0</v>
      </c>
      <c r="P9" s="1">
        <v>0</v>
      </c>
      <c r="Q9" s="1">
        <f>IF(P9 + Q8 &lt; 0, P9 + Q8, 0)</f>
        <v>0</v>
      </c>
    </row>
    <row r="10" spans="1:17" s="1" customFormat="1">
      <c r="A10" s="3">
        <v>45302</v>
      </c>
      <c r="B10" s="1" t="s">
        <v>25</v>
      </c>
      <c r="C10" s="1">
        <v>14</v>
      </c>
      <c r="D10" s="1">
        <v>13</v>
      </c>
      <c r="E10" s="1">
        <v>0</v>
      </c>
      <c r="F10" s="1">
        <v>0</v>
      </c>
      <c r="G10" s="1">
        <v>0</v>
      </c>
      <c r="H10" s="1">
        <v>0</v>
      </c>
      <c r="I10" s="1">
        <f>IF(H10 + I9 &lt; 0, H10 + I9, 0)</f>
        <v>0</v>
      </c>
      <c r="J10" s="1">
        <v>0</v>
      </c>
      <c r="K10" s="1">
        <f>IF(J10 + K9 &lt; 0, J10 + K9, 0)</f>
        <v>0</v>
      </c>
      <c r="L10" s="1">
        <v>-23549.01818944175</v>
      </c>
      <c r="M10" s="1">
        <f>IF(L10 + M9 &lt; 0, L10 + M9, 0)</f>
        <v>0</v>
      </c>
      <c r="N10" s="1">
        <v>0</v>
      </c>
      <c r="O10" s="1">
        <f>IF(N10 + O9 &lt; 0, N10 + O9, 0)</f>
        <v>0</v>
      </c>
      <c r="P10" s="1">
        <v>0</v>
      </c>
      <c r="Q10" s="1">
        <f>IF(P10 + Q9 &lt; 0, P10 + Q9, 0)</f>
        <v>0</v>
      </c>
    </row>
    <row r="11" spans="1:17" s="1" customFormat="1">
      <c r="A11" s="3">
        <v>45303</v>
      </c>
      <c r="B11" s="1" t="s">
        <v>26</v>
      </c>
      <c r="C11" s="1">
        <v>13</v>
      </c>
      <c r="D11" s="1">
        <v>12</v>
      </c>
      <c r="E11" s="1">
        <v>0</v>
      </c>
      <c r="F11" s="1">
        <v>0</v>
      </c>
      <c r="G11" s="1">
        <v>0</v>
      </c>
      <c r="H11" s="1">
        <v>0</v>
      </c>
      <c r="I11" s="1">
        <f>IF(H11 + I10 &lt; 0, H11 + I10, 0)</f>
        <v>0</v>
      </c>
      <c r="J11" s="1">
        <v>0</v>
      </c>
      <c r="K11" s="1">
        <f>IF(J11 + K10 &lt; 0, J11 + K10, 0)</f>
        <v>0</v>
      </c>
      <c r="L11" s="1">
        <v>0</v>
      </c>
      <c r="M11" s="1">
        <f>IF(L11 + M10 &lt; 0, L11 + M10, 0)</f>
        <v>0</v>
      </c>
      <c r="N11" s="1">
        <v>0</v>
      </c>
      <c r="O11" s="1">
        <f>IF(N11 + O10 &lt; 0, N11 + O10, 0)</f>
        <v>0</v>
      </c>
      <c r="P11" s="1">
        <v>-540553.9743282094</v>
      </c>
      <c r="Q11" s="1">
        <f>IF(P11 + Q10 &lt; 0, P11 + Q10, 0)</f>
        <v>0</v>
      </c>
    </row>
    <row r="12" spans="1:17" s="1" customFormat="1">
      <c r="A12" s="3">
        <v>45306</v>
      </c>
      <c r="B12" s="1" t="s">
        <v>22</v>
      </c>
      <c r="C12" s="1">
        <v>12</v>
      </c>
      <c r="D12" s="1">
        <v>11</v>
      </c>
      <c r="E12" s="1">
        <v>0</v>
      </c>
      <c r="F12" s="1">
        <v>0</v>
      </c>
      <c r="G12" s="1">
        <v>0</v>
      </c>
      <c r="H12" s="1">
        <v>0</v>
      </c>
      <c r="I12" s="1">
        <f>IF(H12 + I11 &lt; 0, H12 + I11, 0)</f>
        <v>0</v>
      </c>
      <c r="J12" s="1">
        <v>0</v>
      </c>
      <c r="K12" s="1">
        <f>IF(J12 + K11 &lt; 0, J12 + K11, 0)</f>
        <v>0</v>
      </c>
      <c r="L12" s="1">
        <v>0</v>
      </c>
      <c r="M12" s="1">
        <f>IF(L12 + M11 &lt; 0, L12 + M11, 0)</f>
        <v>0</v>
      </c>
      <c r="N12" s="1">
        <v>0</v>
      </c>
      <c r="O12" s="1">
        <f>IF(N12 + O11 &lt; 0, N12 + O11, 0)</f>
        <v>0</v>
      </c>
      <c r="P12" s="1">
        <v>0</v>
      </c>
      <c r="Q12" s="1">
        <f>IF(P12 + Q11 &lt; 0, P12 + Q11, 0)</f>
        <v>0</v>
      </c>
    </row>
    <row r="13" spans="1:17" s="1" customFormat="1">
      <c r="A13" s="3">
        <v>45307</v>
      </c>
      <c r="B13" s="1" t="s">
        <v>23</v>
      </c>
      <c r="C13" s="1">
        <v>11</v>
      </c>
      <c r="D13" s="1">
        <v>10</v>
      </c>
      <c r="E13" s="1">
        <v>0</v>
      </c>
      <c r="F13" s="1">
        <v>0</v>
      </c>
      <c r="G13" s="1">
        <v>0</v>
      </c>
      <c r="H13" s="1">
        <v>0</v>
      </c>
      <c r="I13" s="1">
        <f>IF(H13 + I12 &lt; 0, H13 + I12, 0)</f>
        <v>0</v>
      </c>
      <c r="J13" s="1">
        <v>0</v>
      </c>
      <c r="K13" s="1">
        <f>IF(J13 + K12 &lt; 0, J13 + K12, 0)</f>
        <v>0</v>
      </c>
      <c r="L13" s="1">
        <v>0</v>
      </c>
      <c r="M13" s="1">
        <f>IF(L13 + M12 &lt; 0, L13 + M12, 0)</f>
        <v>0</v>
      </c>
      <c r="N13" s="1">
        <v>0</v>
      </c>
      <c r="O13" s="1">
        <f>IF(N13 + O12 &lt; 0, N13 + O12, 0)</f>
        <v>0</v>
      </c>
      <c r="P13" s="1">
        <v>0</v>
      </c>
      <c r="Q13" s="1">
        <f>IF(P13 + Q12 &lt; 0, P13 + Q12, 0)</f>
        <v>0</v>
      </c>
    </row>
    <row r="14" spans="1:17" s="1" customFormat="1">
      <c r="A14" s="3">
        <v>45308</v>
      </c>
      <c r="B14" s="1" t="s">
        <v>24</v>
      </c>
      <c r="C14" s="1">
        <v>10</v>
      </c>
      <c r="D14" s="1">
        <v>9</v>
      </c>
      <c r="E14" s="1">
        <v>0</v>
      </c>
      <c r="F14" s="1">
        <v>0</v>
      </c>
      <c r="G14" s="1">
        <v>0</v>
      </c>
      <c r="H14" s="1">
        <v>0</v>
      </c>
      <c r="I14" s="1">
        <f>IF(H14 + I13 &lt; 0, H14 + I13, 0)</f>
        <v>0</v>
      </c>
      <c r="J14" s="1">
        <v>0</v>
      </c>
      <c r="K14" s="1">
        <f>IF(J14 + K13 &lt; 0, J14 + K13, 0)</f>
        <v>0</v>
      </c>
      <c r="L14" s="1">
        <v>0</v>
      </c>
      <c r="M14" s="1">
        <f>IF(L14 + M13 &lt; 0, L14 + M13, 0)</f>
        <v>0</v>
      </c>
      <c r="N14" s="1">
        <v>0</v>
      </c>
      <c r="O14" s="1">
        <f>IF(N14 + O13 &lt; 0, N14 + O13, 0)</f>
        <v>0</v>
      </c>
      <c r="P14" s="1">
        <v>0</v>
      </c>
      <c r="Q14" s="1">
        <f>IF(P14 + Q13 &lt; 0, P14 + Q13, 0)</f>
        <v>0</v>
      </c>
    </row>
    <row r="15" spans="1:17" s="1" customFormat="1">
      <c r="A15" s="3">
        <v>45309</v>
      </c>
      <c r="B15" s="1" t="s">
        <v>25</v>
      </c>
      <c r="C15" s="1">
        <v>9</v>
      </c>
      <c r="D15" s="1">
        <v>8</v>
      </c>
      <c r="E15" s="1">
        <v>0</v>
      </c>
      <c r="F15" s="1">
        <v>0</v>
      </c>
      <c r="G15" s="1">
        <v>0</v>
      </c>
      <c r="H15" s="1">
        <v>0</v>
      </c>
      <c r="I15" s="1">
        <f>IF(H15 + I14 &lt; 0, H15 + I14, 0)</f>
        <v>0</v>
      </c>
      <c r="J15" s="1">
        <v>0</v>
      </c>
      <c r="K15" s="1">
        <f>IF(J15 + K14 &lt; 0, J15 + K14, 0)</f>
        <v>0</v>
      </c>
      <c r="L15" s="1">
        <v>-2684159.088226922</v>
      </c>
      <c r="M15" s="1">
        <f>IF(L15 + M14 &lt; 0, L15 + M14, 0)</f>
        <v>0</v>
      </c>
      <c r="N15" s="1">
        <v>0</v>
      </c>
      <c r="O15" s="1">
        <f>IF(N15 + O14 &lt; 0, N15 + O14, 0)</f>
        <v>0</v>
      </c>
      <c r="P15" s="1">
        <v>0</v>
      </c>
      <c r="Q15" s="1">
        <f>IF(P15 + Q14 &lt; 0, P15 + Q14, 0)</f>
        <v>0</v>
      </c>
    </row>
    <row r="16" spans="1:17" s="1" customFormat="1">
      <c r="A16" s="3">
        <v>45310</v>
      </c>
      <c r="B16" s="1" t="s">
        <v>26</v>
      </c>
      <c r="C16" s="1">
        <v>8</v>
      </c>
      <c r="D16" s="1">
        <v>7</v>
      </c>
      <c r="E16" s="1">
        <v>0</v>
      </c>
      <c r="F16" s="1">
        <v>0</v>
      </c>
      <c r="G16" s="1">
        <v>0</v>
      </c>
      <c r="H16" s="1">
        <v>0</v>
      </c>
      <c r="I16" s="1">
        <f>IF(H16 + I15 &lt; 0, H16 + I15, 0)</f>
        <v>0</v>
      </c>
      <c r="J16" s="1">
        <v>0</v>
      </c>
      <c r="K16" s="1">
        <f>IF(J16 + K15 &lt; 0, J16 + K15, 0)</f>
        <v>0</v>
      </c>
      <c r="L16" s="1">
        <v>0</v>
      </c>
      <c r="M16" s="1">
        <f>IF(L16 + M15 &lt; 0, L16 + M15, 0)</f>
        <v>0</v>
      </c>
      <c r="N16" s="1">
        <v>0</v>
      </c>
      <c r="O16" s="1">
        <f>IF(N16 + O15 &lt; 0, N16 + O15, 0)</f>
        <v>0</v>
      </c>
      <c r="P16" s="1">
        <v>-1844049.985615601</v>
      </c>
      <c r="Q16" s="1">
        <f>IF(P16 + Q15 &lt; 0, P16 + Q15, 0)</f>
        <v>0</v>
      </c>
    </row>
    <row r="17" spans="1:17" s="1" customFormat="1">
      <c r="A17" s="3">
        <v>45311</v>
      </c>
      <c r="B17" s="1" t="s">
        <v>27</v>
      </c>
      <c r="C17" s="1">
        <v>7</v>
      </c>
      <c r="D17" s="1">
        <v>6</v>
      </c>
      <c r="E17" s="1">
        <v>0</v>
      </c>
      <c r="F17" s="1">
        <v>0</v>
      </c>
      <c r="G17" s="1">
        <v>0</v>
      </c>
      <c r="H17" s="1">
        <v>0</v>
      </c>
      <c r="I17" s="1">
        <f>IF(H17 + I16 &lt; 0, H17 + I16, 0)</f>
        <v>0</v>
      </c>
      <c r="J17" s="1">
        <v>0</v>
      </c>
      <c r="K17" s="1">
        <f>IF(J17 + K16 &lt; 0, J17 + K16, 0)</f>
        <v>0</v>
      </c>
      <c r="L17" s="1">
        <v>0</v>
      </c>
      <c r="M17" s="1">
        <f>IF(L17 + M16 &lt; 0, L17 + M16, 0)</f>
        <v>0</v>
      </c>
      <c r="N17" s="1">
        <v>0</v>
      </c>
      <c r="O17" s="1">
        <f>IF(N17 + O16 &lt; 0, N17 + O16, 0)</f>
        <v>0</v>
      </c>
      <c r="P17" s="1">
        <v>0</v>
      </c>
      <c r="Q17" s="1">
        <f>IF(P17 + Q16 &lt; 0, P17 + Q16, 0)</f>
        <v>0</v>
      </c>
    </row>
    <row r="18" spans="1:17" s="1" customFormat="1">
      <c r="A18" s="3">
        <v>45314</v>
      </c>
      <c r="B18" s="1" t="s">
        <v>23</v>
      </c>
      <c r="C18" s="1">
        <v>6</v>
      </c>
      <c r="D18" s="1">
        <v>5</v>
      </c>
      <c r="E18" s="1">
        <v>0</v>
      </c>
      <c r="F18" s="1">
        <v>0</v>
      </c>
      <c r="G18" s="1">
        <v>0</v>
      </c>
      <c r="H18" s="1">
        <v>0</v>
      </c>
      <c r="I18" s="1">
        <f>IF(H18 + I17 &lt; 0, H18 + I17, 0)</f>
        <v>0</v>
      </c>
      <c r="J18" s="1">
        <v>0</v>
      </c>
      <c r="K18" s="1">
        <f>IF(J18 + K17 &lt; 0, J18 + K17, 0)</f>
        <v>0</v>
      </c>
      <c r="L18" s="1">
        <v>0</v>
      </c>
      <c r="M18" s="1">
        <f>IF(L18 + M17 &lt; 0, L18 + M17, 0)</f>
        <v>0</v>
      </c>
      <c r="N18" s="1">
        <v>0</v>
      </c>
      <c r="O18" s="1">
        <f>IF(N18 + O17 &lt; 0, N18 + O17, 0)</f>
        <v>0</v>
      </c>
      <c r="P18" s="1">
        <v>0</v>
      </c>
      <c r="Q18" s="1">
        <f>IF(P18 + Q17 &lt; 0, P18 + Q17, 0)</f>
        <v>0</v>
      </c>
    </row>
    <row r="19" spans="1:17" s="1" customFormat="1">
      <c r="A19" s="3">
        <v>45315</v>
      </c>
      <c r="B19" s="1" t="s">
        <v>24</v>
      </c>
      <c r="C19" s="1">
        <v>5</v>
      </c>
      <c r="D19" s="1">
        <v>4</v>
      </c>
      <c r="E19" s="1">
        <v>0</v>
      </c>
      <c r="F19" s="1">
        <v>0</v>
      </c>
      <c r="G19" s="1">
        <v>0</v>
      </c>
      <c r="H19" s="1">
        <v>0</v>
      </c>
      <c r="I19" s="1">
        <f>IF(H19 + I18 &lt; 0, H19 + I18, 0)</f>
        <v>0</v>
      </c>
      <c r="J19" s="1">
        <v>0</v>
      </c>
      <c r="K19" s="1">
        <f>IF(J19 + K18 &lt; 0, J19 + K18, 0)</f>
        <v>0</v>
      </c>
      <c r="L19" s="1">
        <v>0</v>
      </c>
      <c r="M19" s="1">
        <f>IF(L19 + M18 &lt; 0, L19 + M18, 0)</f>
        <v>0</v>
      </c>
      <c r="N19" s="1">
        <v>0</v>
      </c>
      <c r="O19" s="1">
        <f>IF(N19 + O18 &lt; 0, N19 + O18, 0)</f>
        <v>0</v>
      </c>
      <c r="P19" s="1">
        <v>0</v>
      </c>
      <c r="Q19" s="1">
        <f>IF(P19 + Q18 &lt; 0, P19 + Q18, 0)</f>
        <v>0</v>
      </c>
    </row>
    <row r="20" spans="1:17" s="1" customFormat="1">
      <c r="A20" s="3">
        <v>45316</v>
      </c>
      <c r="B20" s="1" t="s">
        <v>25</v>
      </c>
      <c r="C20" s="1">
        <v>4</v>
      </c>
      <c r="D20" s="1">
        <v>3</v>
      </c>
      <c r="E20" s="1">
        <v>0</v>
      </c>
      <c r="F20" s="1">
        <v>0</v>
      </c>
      <c r="G20" s="1">
        <v>0</v>
      </c>
      <c r="H20" s="1">
        <v>0</v>
      </c>
      <c r="I20" s="1">
        <f>IF(H20 + I19 &lt; 0, H20 + I19, 0)</f>
        <v>0</v>
      </c>
      <c r="J20" s="1">
        <v>0</v>
      </c>
      <c r="K20" s="1">
        <f>IF(J20 + K19 &lt; 0, J20 + K19, 0)</f>
        <v>0</v>
      </c>
      <c r="L20" s="1">
        <v>-939246.7861808875</v>
      </c>
      <c r="M20" s="1">
        <f>IF(L20 + M19 &lt; 0, L20 + M19, 0)</f>
        <v>0</v>
      </c>
      <c r="N20" s="1">
        <v>0</v>
      </c>
      <c r="O20" s="1">
        <f>IF(N20 + O19 &lt; 0, N20 + O19, 0)</f>
        <v>0</v>
      </c>
      <c r="P20" s="1">
        <v>-3158739.519195303</v>
      </c>
      <c r="Q20" s="1">
        <f>IF(P20 + Q19 &lt; 0, P20 + Q19, 0)</f>
        <v>0</v>
      </c>
    </row>
    <row r="21" spans="1:17" s="1" customFormat="1">
      <c r="A21" s="3">
        <v>45320</v>
      </c>
      <c r="B21" s="1" t="s">
        <v>22</v>
      </c>
      <c r="C21" s="1">
        <v>3</v>
      </c>
      <c r="D21" s="1">
        <v>2</v>
      </c>
      <c r="E21" s="1">
        <v>0</v>
      </c>
      <c r="F21" s="1">
        <v>0</v>
      </c>
      <c r="G21" s="1">
        <v>0</v>
      </c>
      <c r="H21" s="1">
        <v>0</v>
      </c>
      <c r="I21" s="1">
        <f>IF(H21 + I20 &lt; 0, H21 + I20, 0)</f>
        <v>0</v>
      </c>
      <c r="J21" s="1">
        <v>0</v>
      </c>
      <c r="K21" s="1">
        <f>IF(J21 + K20 &lt; 0, J21 + K20, 0)</f>
        <v>0</v>
      </c>
      <c r="L21" s="1">
        <v>0</v>
      </c>
      <c r="M21" s="1">
        <f>IF(L21 + M20 &lt; 0, L21 + M20, 0)</f>
        <v>0</v>
      </c>
      <c r="N21" s="1">
        <v>0</v>
      </c>
      <c r="O21" s="1">
        <f>IF(N21 + O20 &lt; 0, N21 + O20, 0)</f>
        <v>0</v>
      </c>
      <c r="P21" s="1">
        <v>0</v>
      </c>
      <c r="Q21" s="1">
        <f>IF(P21 + Q20 &lt; 0, P21 + Q20, 0)</f>
        <v>0</v>
      </c>
    </row>
    <row r="22" spans="1:17" s="1" customFormat="1">
      <c r="A22" s="3">
        <v>45321</v>
      </c>
      <c r="B22" s="1" t="s">
        <v>23</v>
      </c>
      <c r="C22" s="1">
        <v>2</v>
      </c>
      <c r="D22" s="1">
        <v>1</v>
      </c>
      <c r="E22" s="1">
        <v>0</v>
      </c>
      <c r="F22" s="1">
        <v>0</v>
      </c>
      <c r="G22" s="1">
        <v>0</v>
      </c>
      <c r="H22" s="1">
        <v>0</v>
      </c>
      <c r="I22" s="1">
        <f>IF(H22 + I21 &lt; 0, H22 + I21, 0)</f>
        <v>0</v>
      </c>
      <c r="J22" s="1">
        <v>0</v>
      </c>
      <c r="K22" s="1">
        <f>IF(J22 + K21 &lt; 0, J22 + K21, 0)</f>
        <v>0</v>
      </c>
      <c r="L22" s="1">
        <v>0</v>
      </c>
      <c r="M22" s="1">
        <f>IF(L22 + M21 &lt; 0, L22 + M21, 0)</f>
        <v>0</v>
      </c>
      <c r="N22" s="1">
        <v>0</v>
      </c>
      <c r="O22" s="1">
        <f>IF(N22 + O21 &lt; 0, N22 + O21, 0)</f>
        <v>0</v>
      </c>
      <c r="P22" s="1">
        <v>0</v>
      </c>
      <c r="Q22" s="1">
        <f>IF(P22 + Q21 &lt; 0, P22 + Q21, 0)</f>
        <v>0</v>
      </c>
    </row>
    <row r="23" spans="1:17" s="1" customFormat="1">
      <c r="A23" s="3">
        <v>45322</v>
      </c>
      <c r="B23" s="1" t="s">
        <v>24</v>
      </c>
      <c r="C23" s="1">
        <v>1</v>
      </c>
      <c r="D23" s="1">
        <v>20</v>
      </c>
      <c r="E23" s="1">
        <v>0</v>
      </c>
      <c r="F23" s="1">
        <v>0</v>
      </c>
      <c r="G23" s="1">
        <v>0</v>
      </c>
      <c r="H23" s="1">
        <v>0</v>
      </c>
      <c r="I23" s="1">
        <f>IF(H23 + I22 &lt; 0, H23 + I22, 0)</f>
        <v>0</v>
      </c>
      <c r="J23" s="1">
        <v>0</v>
      </c>
      <c r="K23" s="1">
        <f>IF(J23 + K22 &lt; 0, J23 + K22, 0)</f>
        <v>0</v>
      </c>
      <c r="L23" s="1">
        <v>0</v>
      </c>
      <c r="M23" s="1">
        <f>IF(L23 + M22 &lt; 0, L23 + M22, 0)</f>
        <v>0</v>
      </c>
      <c r="N23" s="1">
        <v>0</v>
      </c>
      <c r="O23" s="1">
        <f>IF(N23 + O22 &lt; 0, N23 + O22, 0)</f>
        <v>0</v>
      </c>
      <c r="P23" s="1">
        <v>0</v>
      </c>
      <c r="Q23" s="1">
        <f>IF(P23 + Q22 &lt; 0, P23 + Q22, 0)</f>
        <v>0</v>
      </c>
    </row>
    <row r="24" spans="1:17" s="1" customFormat="1">
      <c r="A24" s="3">
        <v>45323</v>
      </c>
      <c r="B24" s="1" t="s">
        <v>25</v>
      </c>
      <c r="C24" s="1">
        <v>21</v>
      </c>
      <c r="D24" s="1">
        <v>19</v>
      </c>
      <c r="E24" s="1">
        <v>0</v>
      </c>
      <c r="F24" s="1">
        <v>0</v>
      </c>
      <c r="G24" s="1">
        <v>0</v>
      </c>
      <c r="H24" s="1">
        <v>0</v>
      </c>
      <c r="I24" s="1">
        <f>IF(H24 + I23 &lt; 0, H24 + I23, 0)</f>
        <v>0</v>
      </c>
      <c r="J24" s="1">
        <v>0</v>
      </c>
      <c r="K24" s="1">
        <f>IF(J24 + K23 &lt; 0, J24 + K23, 0)</f>
        <v>0</v>
      </c>
      <c r="L24" s="1">
        <v>2929789.325113047</v>
      </c>
      <c r="M24" s="1">
        <f>IF(L24 + M23 &lt; 0, L24 + M23, 0)</f>
        <v>0</v>
      </c>
      <c r="N24" s="1">
        <v>0</v>
      </c>
      <c r="O24" s="1">
        <f>IF(N24 + O23 &lt; 0, N24 + O23, 0)</f>
        <v>0</v>
      </c>
      <c r="P24" s="1">
        <v>0</v>
      </c>
      <c r="Q24" s="1">
        <f>IF(P24 + Q23 &lt; 0, P24 + Q23, 0)</f>
        <v>0</v>
      </c>
    </row>
    <row r="25" spans="1:17" s="1" customFormat="1">
      <c r="A25" s="3">
        <v>45324</v>
      </c>
      <c r="B25" s="1" t="s">
        <v>26</v>
      </c>
      <c r="C25" s="1">
        <v>20</v>
      </c>
      <c r="D25" s="1">
        <v>18</v>
      </c>
      <c r="E25" s="1">
        <v>0</v>
      </c>
      <c r="F25" s="1">
        <v>0</v>
      </c>
      <c r="G25" s="1">
        <v>0</v>
      </c>
      <c r="H25" s="1">
        <v>0</v>
      </c>
      <c r="I25" s="1">
        <f>IF(H25 + I24 &lt; 0, H25 + I24, 0)</f>
        <v>0</v>
      </c>
      <c r="J25" s="1">
        <v>0</v>
      </c>
      <c r="K25" s="1">
        <f>IF(J25 + K24 &lt; 0, J25 + K24, 0)</f>
        <v>0</v>
      </c>
      <c r="L25" s="1">
        <v>0</v>
      </c>
      <c r="M25" s="1">
        <f>IF(L25 + M24 &lt; 0, L25 + M24, 0)</f>
        <v>0</v>
      </c>
      <c r="N25" s="1">
        <v>0</v>
      </c>
      <c r="O25" s="1">
        <f>IF(N25 + O24 &lt; 0, N25 + O24, 0)</f>
        <v>0</v>
      </c>
      <c r="P25" s="1">
        <v>3040997.54564381</v>
      </c>
      <c r="Q25" s="1">
        <f>IF(P25 + Q24 &lt; 0, P25 + Q24, 0)</f>
        <v>0</v>
      </c>
    </row>
    <row r="26" spans="1:17" s="1" customFormat="1">
      <c r="A26" s="3">
        <v>45327</v>
      </c>
      <c r="B26" s="1" t="s">
        <v>22</v>
      </c>
      <c r="C26" s="1">
        <v>19</v>
      </c>
      <c r="D26" s="1">
        <v>17</v>
      </c>
      <c r="E26" s="1">
        <v>0</v>
      </c>
      <c r="F26" s="1">
        <v>0</v>
      </c>
      <c r="G26" s="1">
        <v>0</v>
      </c>
      <c r="H26" s="1">
        <v>0</v>
      </c>
      <c r="I26" s="1">
        <f>IF(H26 + I25 &lt; 0, H26 + I25, 0)</f>
        <v>0</v>
      </c>
      <c r="J26" s="1">
        <v>0</v>
      </c>
      <c r="K26" s="1">
        <f>IF(J26 + K25 &lt; 0, J26 + K25, 0)</f>
        <v>0</v>
      </c>
      <c r="L26" s="1">
        <v>0</v>
      </c>
      <c r="M26" s="1">
        <f>IF(L26 + M25 &lt; 0, L26 + M25, 0)</f>
        <v>0</v>
      </c>
      <c r="N26" s="1">
        <v>0</v>
      </c>
      <c r="O26" s="1">
        <f>IF(N26 + O25 &lt; 0, N26 + O25, 0)</f>
        <v>0</v>
      </c>
      <c r="P26" s="1">
        <v>0</v>
      </c>
      <c r="Q26" s="1">
        <f>IF(P26 + Q25 &lt; 0, P26 + Q25, 0)</f>
        <v>0</v>
      </c>
    </row>
    <row r="27" spans="1:17" s="1" customFormat="1">
      <c r="A27" s="3">
        <v>45328</v>
      </c>
      <c r="B27" s="1" t="s">
        <v>23</v>
      </c>
      <c r="C27" s="1">
        <v>18</v>
      </c>
      <c r="D27" s="1">
        <v>16</v>
      </c>
      <c r="E27" s="1">
        <v>0</v>
      </c>
      <c r="F27" s="1">
        <v>0</v>
      </c>
      <c r="G27" s="1">
        <v>0</v>
      </c>
      <c r="H27" s="1">
        <v>0</v>
      </c>
      <c r="I27" s="1">
        <f>IF(H27 + I26 &lt; 0, H27 + I26, 0)</f>
        <v>0</v>
      </c>
      <c r="J27" s="1">
        <v>0</v>
      </c>
      <c r="K27" s="1">
        <f>IF(J27 + K26 &lt; 0, J27 + K26, 0)</f>
        <v>0</v>
      </c>
      <c r="L27" s="1">
        <v>0</v>
      </c>
      <c r="M27" s="1">
        <f>IF(L27 + M26 &lt; 0, L27 + M26, 0)</f>
        <v>0</v>
      </c>
      <c r="N27" s="1">
        <v>0</v>
      </c>
      <c r="O27" s="1">
        <f>IF(N27 + O26 &lt; 0, N27 + O26, 0)</f>
        <v>0</v>
      </c>
      <c r="P27" s="1">
        <v>0</v>
      </c>
      <c r="Q27" s="1">
        <f>IF(P27 + Q26 &lt; 0, P27 + Q26, 0)</f>
        <v>0</v>
      </c>
    </row>
    <row r="28" spans="1:17" s="1" customFormat="1">
      <c r="A28" s="3">
        <v>45329</v>
      </c>
      <c r="B28" s="1" t="s">
        <v>24</v>
      </c>
      <c r="C28" s="1">
        <v>17</v>
      </c>
      <c r="D28" s="1">
        <v>15</v>
      </c>
      <c r="E28" s="1">
        <v>0</v>
      </c>
      <c r="F28" s="1">
        <v>0</v>
      </c>
      <c r="G28" s="1">
        <v>0</v>
      </c>
      <c r="H28" s="1">
        <v>0</v>
      </c>
      <c r="I28" s="1">
        <f>IF(H28 + I27 &lt; 0, H28 + I27, 0)</f>
        <v>0</v>
      </c>
      <c r="J28" s="1">
        <v>0</v>
      </c>
      <c r="K28" s="1">
        <f>IF(J28 + K27 &lt; 0, J28 + K27, 0)</f>
        <v>0</v>
      </c>
      <c r="L28" s="1">
        <v>0</v>
      </c>
      <c r="M28" s="1">
        <f>IF(L28 + M27 &lt; 0, L28 + M27, 0)</f>
        <v>0</v>
      </c>
      <c r="N28" s="1">
        <v>0</v>
      </c>
      <c r="O28" s="1">
        <f>IF(N28 + O27 &lt; 0, N28 + O27, 0)</f>
        <v>0</v>
      </c>
      <c r="P28" s="1">
        <v>0</v>
      </c>
      <c r="Q28" s="1">
        <f>IF(P28 + Q27 &lt; 0, P28 + Q27, 0)</f>
        <v>0</v>
      </c>
    </row>
    <row r="29" spans="1:17" s="1" customFormat="1">
      <c r="A29" s="3">
        <v>45330</v>
      </c>
      <c r="B29" s="1" t="s">
        <v>25</v>
      </c>
      <c r="C29" s="1">
        <v>16</v>
      </c>
      <c r="D29" s="1">
        <v>14</v>
      </c>
      <c r="E29" s="1">
        <v>0</v>
      </c>
      <c r="F29" s="1">
        <v>0</v>
      </c>
      <c r="G29" s="1">
        <v>0</v>
      </c>
      <c r="H29" s="1">
        <v>0</v>
      </c>
      <c r="I29" s="1">
        <f>IF(H29 + I28 &lt; 0, H29 + I28, 0)</f>
        <v>0</v>
      </c>
      <c r="J29" s="1">
        <v>0</v>
      </c>
      <c r="K29" s="1">
        <f>IF(J29 + K28 &lt; 0, J29 + K28, 0)</f>
        <v>0</v>
      </c>
      <c r="L29" s="1">
        <v>722661.7062289526</v>
      </c>
      <c r="M29" s="1">
        <f>IF(L29 + M28 &lt; 0, L29 + M28, 0)</f>
        <v>0</v>
      </c>
      <c r="N29" s="1">
        <v>0</v>
      </c>
      <c r="O29" s="1">
        <f>IF(N29 + O28 &lt; 0, N29 + O28, 0)</f>
        <v>0</v>
      </c>
      <c r="P29" s="1">
        <v>0</v>
      </c>
      <c r="Q29" s="1">
        <f>IF(P29 + Q28 &lt; 0, P29 + Q28, 0)</f>
        <v>0</v>
      </c>
    </row>
    <row r="30" spans="1:17" s="1" customFormat="1">
      <c r="A30" s="3">
        <v>45331</v>
      </c>
      <c r="B30" s="1" t="s">
        <v>26</v>
      </c>
      <c r="C30" s="1">
        <v>15</v>
      </c>
      <c r="D30" s="1">
        <v>13</v>
      </c>
      <c r="E30" s="1">
        <v>0</v>
      </c>
      <c r="F30" s="1">
        <v>0</v>
      </c>
      <c r="G30" s="1">
        <v>0</v>
      </c>
      <c r="H30" s="1">
        <v>0</v>
      </c>
      <c r="I30" s="1">
        <f>IF(H30 + I29 &lt; 0, H30 + I29, 0)</f>
        <v>0</v>
      </c>
      <c r="J30" s="1">
        <v>0</v>
      </c>
      <c r="K30" s="1">
        <f>IF(J30 + K29 &lt; 0, J30 + K29, 0)</f>
        <v>0</v>
      </c>
      <c r="L30" s="1">
        <v>0</v>
      </c>
      <c r="M30" s="1">
        <f>IF(L30 + M29 &lt; 0, L30 + M29, 0)</f>
        <v>0</v>
      </c>
      <c r="N30" s="1">
        <v>0</v>
      </c>
      <c r="O30" s="1">
        <f>IF(N30 + O29 &lt; 0, N30 + O29, 0)</f>
        <v>0</v>
      </c>
      <c r="P30" s="1">
        <v>3015981.288436204</v>
      </c>
      <c r="Q30" s="1">
        <f>IF(P30 + Q29 &lt; 0, P30 + Q29, 0)</f>
        <v>0</v>
      </c>
    </row>
    <row r="31" spans="1:17" s="1" customFormat="1">
      <c r="A31" s="3">
        <v>45334</v>
      </c>
      <c r="B31" s="1" t="s">
        <v>22</v>
      </c>
      <c r="C31" s="1">
        <v>14</v>
      </c>
      <c r="D31" s="1">
        <v>12</v>
      </c>
      <c r="E31" s="1">
        <v>0</v>
      </c>
      <c r="F31" s="1">
        <v>0</v>
      </c>
      <c r="G31" s="1">
        <v>0</v>
      </c>
      <c r="H31" s="1">
        <v>0</v>
      </c>
      <c r="I31" s="1">
        <f>IF(H31 + I30 &lt; 0, H31 + I30, 0)</f>
        <v>0</v>
      </c>
      <c r="J31" s="1">
        <v>0</v>
      </c>
      <c r="K31" s="1">
        <f>IF(J31 + K30 &lt; 0, J31 + K30, 0)</f>
        <v>0</v>
      </c>
      <c r="L31" s="1">
        <v>0</v>
      </c>
      <c r="M31" s="1">
        <f>IF(L31 + M30 &lt; 0, L31 + M30, 0)</f>
        <v>0</v>
      </c>
      <c r="N31" s="1">
        <v>0</v>
      </c>
      <c r="O31" s="1">
        <f>IF(N31 + O30 &lt; 0, N31 + O30, 0)</f>
        <v>0</v>
      </c>
      <c r="P31" s="1">
        <v>0</v>
      </c>
      <c r="Q31" s="1">
        <f>IF(P31 + Q30 &lt; 0, P31 + Q30, 0)</f>
        <v>0</v>
      </c>
    </row>
    <row r="32" spans="1:17" s="1" customFormat="1">
      <c r="A32" s="3">
        <v>45335</v>
      </c>
      <c r="B32" s="1" t="s">
        <v>23</v>
      </c>
      <c r="C32" s="1">
        <v>13</v>
      </c>
      <c r="D32" s="1">
        <v>11</v>
      </c>
      <c r="E32" s="1">
        <v>0</v>
      </c>
      <c r="F32" s="1">
        <v>0</v>
      </c>
      <c r="G32" s="1">
        <v>0</v>
      </c>
      <c r="H32" s="1">
        <v>0</v>
      </c>
      <c r="I32" s="1">
        <f>IF(H32 + I31 &lt; 0, H32 + I31, 0)</f>
        <v>0</v>
      </c>
      <c r="J32" s="1">
        <v>0</v>
      </c>
      <c r="K32" s="1">
        <f>IF(J32 + K31 &lt; 0, J32 + K31, 0)</f>
        <v>0</v>
      </c>
      <c r="L32" s="1">
        <v>0</v>
      </c>
      <c r="M32" s="1">
        <f>IF(L32 + M31 &lt; 0, L32 + M31, 0)</f>
        <v>0</v>
      </c>
      <c r="N32" s="1">
        <v>0</v>
      </c>
      <c r="O32" s="1">
        <f>IF(N32 + O31 &lt; 0, N32 + O31, 0)</f>
        <v>0</v>
      </c>
      <c r="P32" s="1">
        <v>0</v>
      </c>
      <c r="Q32" s="1">
        <f>IF(P32 + Q31 &lt; 0, P32 + Q31, 0)</f>
        <v>0</v>
      </c>
    </row>
    <row r="33" spans="1:17" s="1" customFormat="1">
      <c r="A33" s="3">
        <v>45336</v>
      </c>
      <c r="B33" s="1" t="s">
        <v>24</v>
      </c>
      <c r="C33" s="1">
        <v>12</v>
      </c>
      <c r="D33" s="1">
        <v>10</v>
      </c>
      <c r="E33" s="1">
        <v>0</v>
      </c>
      <c r="F33" s="1">
        <v>0</v>
      </c>
      <c r="G33" s="1">
        <v>0</v>
      </c>
      <c r="H33" s="1">
        <v>0</v>
      </c>
      <c r="I33" s="1">
        <f>IF(H33 + I32 &lt; 0, H33 + I32, 0)</f>
        <v>0</v>
      </c>
      <c r="J33" s="1">
        <v>0</v>
      </c>
      <c r="K33" s="1">
        <f>IF(J33 + K32 &lt; 0, J33 + K32, 0)</f>
        <v>0</v>
      </c>
      <c r="L33" s="1">
        <v>0</v>
      </c>
      <c r="M33" s="1">
        <f>IF(L33 + M32 &lt; 0, L33 + M32, 0)</f>
        <v>0</v>
      </c>
      <c r="N33" s="1">
        <v>0</v>
      </c>
      <c r="O33" s="1">
        <f>IF(N33 + O32 &lt; 0, N33 + O32, 0)</f>
        <v>0</v>
      </c>
      <c r="P33" s="1">
        <v>0</v>
      </c>
      <c r="Q33" s="1">
        <f>IF(P33 + Q32 &lt; 0, P33 + Q32, 0)</f>
        <v>0</v>
      </c>
    </row>
    <row r="34" spans="1:17" s="1" customFormat="1">
      <c r="A34" s="3">
        <v>45337</v>
      </c>
      <c r="B34" s="1" t="s">
        <v>25</v>
      </c>
      <c r="C34" s="1">
        <v>11</v>
      </c>
      <c r="D34" s="1">
        <v>9</v>
      </c>
      <c r="E34" s="1">
        <v>0</v>
      </c>
      <c r="F34" s="1">
        <v>0</v>
      </c>
      <c r="G34" s="1">
        <v>0</v>
      </c>
      <c r="H34" s="1">
        <v>0</v>
      </c>
      <c r="I34" s="1">
        <f>IF(H34 + I33 &lt; 0, H34 + I33, 0)</f>
        <v>0</v>
      </c>
      <c r="J34" s="1">
        <v>0</v>
      </c>
      <c r="K34" s="1">
        <f>IF(J34 + K33 &lt; 0, J34 + K33, 0)</f>
        <v>0</v>
      </c>
      <c r="L34" s="1">
        <v>1824446.705880817</v>
      </c>
      <c r="M34" s="1">
        <f>IF(L34 + M33 &lt; 0, L34 + M33, 0)</f>
        <v>0</v>
      </c>
      <c r="N34" s="1">
        <v>0</v>
      </c>
      <c r="O34" s="1">
        <f>IF(N34 + O33 &lt; 0, N34 + O33, 0)</f>
        <v>0</v>
      </c>
      <c r="P34" s="1">
        <v>0</v>
      </c>
      <c r="Q34" s="1">
        <f>IF(P34 + Q33 &lt; 0, P34 + Q33, 0)</f>
        <v>0</v>
      </c>
    </row>
    <row r="35" spans="1:17" s="1" customFormat="1">
      <c r="A35" s="3">
        <v>45338</v>
      </c>
      <c r="B35" s="1" t="s">
        <v>26</v>
      </c>
      <c r="C35" s="1">
        <v>10</v>
      </c>
      <c r="D35" s="1">
        <v>8</v>
      </c>
      <c r="E35" s="1">
        <v>0</v>
      </c>
      <c r="F35" s="1">
        <v>0</v>
      </c>
      <c r="G35" s="1">
        <v>0</v>
      </c>
      <c r="H35" s="1">
        <v>0</v>
      </c>
      <c r="I35" s="1">
        <f>IF(H35 + I34 &lt; 0, H35 + I34, 0)</f>
        <v>0</v>
      </c>
      <c r="J35" s="1">
        <v>0</v>
      </c>
      <c r="K35" s="1">
        <f>IF(J35 + K34 &lt; 0, J35 + K34, 0)</f>
        <v>0</v>
      </c>
      <c r="L35" s="1">
        <v>0</v>
      </c>
      <c r="M35" s="1">
        <f>IF(L35 + M34 &lt; 0, L35 + M34, 0)</f>
        <v>0</v>
      </c>
      <c r="N35" s="1">
        <v>0</v>
      </c>
      <c r="O35" s="1">
        <f>IF(N35 + O34 &lt; 0, N35 + O34, 0)</f>
        <v>0</v>
      </c>
      <c r="P35" s="1">
        <v>2373842.466151791</v>
      </c>
      <c r="Q35" s="1">
        <f>IF(P35 + Q34 &lt; 0, P35 + Q34, 0)</f>
        <v>0</v>
      </c>
    </row>
    <row r="36" spans="1:17" s="1" customFormat="1">
      <c r="A36" s="3">
        <v>45341</v>
      </c>
      <c r="B36" s="1" t="s">
        <v>22</v>
      </c>
      <c r="C36" s="1">
        <v>9</v>
      </c>
      <c r="D36" s="1">
        <v>7</v>
      </c>
      <c r="E36" s="1">
        <v>0</v>
      </c>
      <c r="F36" s="1">
        <v>0</v>
      </c>
      <c r="G36" s="1">
        <v>0</v>
      </c>
      <c r="H36" s="1">
        <v>0</v>
      </c>
      <c r="I36" s="1">
        <f>IF(H36 + I35 &lt; 0, H36 + I35, 0)</f>
        <v>0</v>
      </c>
      <c r="J36" s="1">
        <v>0</v>
      </c>
      <c r="K36" s="1">
        <f>IF(J36 + K35 &lt; 0, J36 + K35, 0)</f>
        <v>0</v>
      </c>
      <c r="L36" s="1">
        <v>0</v>
      </c>
      <c r="M36" s="1">
        <f>IF(L36 + M35 &lt; 0, L36 + M35, 0)</f>
        <v>0</v>
      </c>
      <c r="N36" s="1">
        <v>0</v>
      </c>
      <c r="O36" s="1">
        <f>IF(N36 + O35 &lt; 0, N36 + O35, 0)</f>
        <v>0</v>
      </c>
      <c r="P36" s="1">
        <v>0</v>
      </c>
      <c r="Q36" s="1">
        <f>IF(P36 + Q35 &lt; 0, P36 + Q35, 0)</f>
        <v>0</v>
      </c>
    </row>
    <row r="37" spans="1:17" s="1" customFormat="1">
      <c r="A37" s="3">
        <v>45342</v>
      </c>
      <c r="B37" s="1" t="s">
        <v>23</v>
      </c>
      <c r="C37" s="1">
        <v>8</v>
      </c>
      <c r="D37" s="1">
        <v>6</v>
      </c>
      <c r="E37" s="1">
        <v>0</v>
      </c>
      <c r="F37" s="1">
        <v>0</v>
      </c>
      <c r="G37" s="1">
        <v>0</v>
      </c>
      <c r="H37" s="1">
        <v>0</v>
      </c>
      <c r="I37" s="1">
        <f>IF(H37 + I36 &lt; 0, H37 + I36, 0)</f>
        <v>0</v>
      </c>
      <c r="J37" s="1">
        <v>0</v>
      </c>
      <c r="K37" s="1">
        <f>IF(J37 + K36 &lt; 0, J37 + K36, 0)</f>
        <v>0</v>
      </c>
      <c r="L37" s="1">
        <v>0</v>
      </c>
      <c r="M37" s="1">
        <f>IF(L37 + M36 &lt; 0, L37 + M36, 0)</f>
        <v>0</v>
      </c>
      <c r="N37" s="1">
        <v>0</v>
      </c>
      <c r="O37" s="1">
        <f>IF(N37 + O36 &lt; 0, N37 + O36, 0)</f>
        <v>0</v>
      </c>
      <c r="P37" s="1">
        <v>0</v>
      </c>
      <c r="Q37" s="1">
        <f>IF(P37 + Q36 &lt; 0, P37 + Q36, 0)</f>
        <v>0</v>
      </c>
    </row>
    <row r="38" spans="1:17" s="1" customFormat="1">
      <c r="A38" s="3">
        <v>45343</v>
      </c>
      <c r="B38" s="1" t="s">
        <v>24</v>
      </c>
      <c r="C38" s="1">
        <v>7</v>
      </c>
      <c r="D38" s="1">
        <v>5</v>
      </c>
      <c r="E38" s="1">
        <v>0</v>
      </c>
      <c r="F38" s="1">
        <v>0</v>
      </c>
      <c r="G38" s="1">
        <v>0</v>
      </c>
      <c r="H38" s="1">
        <v>0</v>
      </c>
      <c r="I38" s="1">
        <f>IF(H38 + I37 &lt; 0, H38 + I37, 0)</f>
        <v>0</v>
      </c>
      <c r="J38" s="1">
        <v>0</v>
      </c>
      <c r="K38" s="1">
        <f>IF(J38 + K37 &lt; 0, J38 + K37, 0)</f>
        <v>0</v>
      </c>
      <c r="L38" s="1">
        <v>0</v>
      </c>
      <c r="M38" s="1">
        <f>IF(L38 + M37 &lt; 0, L38 + M37, 0)</f>
        <v>0</v>
      </c>
      <c r="N38" s="1">
        <v>0</v>
      </c>
      <c r="O38" s="1">
        <f>IF(N38 + O37 &lt; 0, N38 + O37, 0)</f>
        <v>0</v>
      </c>
      <c r="P38" s="1">
        <v>0</v>
      </c>
      <c r="Q38" s="1">
        <f>IF(P38 + Q37 &lt; 0, P38 + Q37, 0)</f>
        <v>0</v>
      </c>
    </row>
    <row r="39" spans="1:17" s="1" customFormat="1">
      <c r="A39" s="3">
        <v>45344</v>
      </c>
      <c r="B39" s="1" t="s">
        <v>25</v>
      </c>
      <c r="C39" s="1">
        <v>6</v>
      </c>
      <c r="D39" s="1">
        <v>4</v>
      </c>
      <c r="E39" s="1">
        <v>0</v>
      </c>
      <c r="F39" s="1">
        <v>0</v>
      </c>
      <c r="G39" s="1">
        <v>0</v>
      </c>
      <c r="H39" s="1">
        <v>0</v>
      </c>
      <c r="I39" s="1">
        <f>IF(H39 + I38 &lt; 0, H39 + I38, 0)</f>
        <v>0</v>
      </c>
      <c r="J39" s="1">
        <v>0</v>
      </c>
      <c r="K39" s="1">
        <f>IF(J39 + K38 &lt; 0, J39 + K38, 0)</f>
        <v>0</v>
      </c>
      <c r="L39" s="1">
        <v>1181539.810717977</v>
      </c>
      <c r="M39" s="1">
        <f>IF(L39 + M38 &lt; 0, L39 + M38, 0)</f>
        <v>0</v>
      </c>
      <c r="N39" s="1">
        <v>0</v>
      </c>
      <c r="O39" s="1">
        <f>IF(N39 + O38 &lt; 0, N39 + O38, 0)</f>
        <v>0</v>
      </c>
      <c r="P39" s="1">
        <v>0</v>
      </c>
      <c r="Q39" s="1">
        <f>IF(P39 + Q38 &lt; 0, P39 + Q38, 0)</f>
        <v>0</v>
      </c>
    </row>
    <row r="40" spans="1:17" s="1" customFormat="1">
      <c r="A40" s="3">
        <v>45345</v>
      </c>
      <c r="B40" s="1" t="s">
        <v>26</v>
      </c>
      <c r="C40" s="1">
        <v>5</v>
      </c>
      <c r="D40" s="1">
        <v>3</v>
      </c>
      <c r="E40" s="1">
        <v>0</v>
      </c>
      <c r="F40" s="1">
        <v>0</v>
      </c>
      <c r="G40" s="1">
        <v>0</v>
      </c>
      <c r="H40" s="1">
        <v>0</v>
      </c>
      <c r="I40" s="1">
        <f>IF(H40 + I39 &lt; 0, H40 + I39, 0)</f>
        <v>0</v>
      </c>
      <c r="J40" s="1">
        <v>0</v>
      </c>
      <c r="K40" s="1">
        <f>IF(J40 + K39 &lt; 0, J40 + K39, 0)</f>
        <v>0</v>
      </c>
      <c r="L40" s="1">
        <v>0</v>
      </c>
      <c r="M40" s="1">
        <f>IF(L40 + M39 &lt; 0, L40 + M39, 0)</f>
        <v>0</v>
      </c>
      <c r="N40" s="1">
        <v>0</v>
      </c>
      <c r="O40" s="1">
        <f>IF(N40 + O39 &lt; 0, N40 + O39, 0)</f>
        <v>0</v>
      </c>
      <c r="P40" s="1">
        <v>2243935.243913411</v>
      </c>
      <c r="Q40" s="1">
        <f>IF(P40 + Q39 &lt; 0, P40 + Q39, 0)</f>
        <v>0</v>
      </c>
    </row>
    <row r="41" spans="1:17" s="1" customFormat="1">
      <c r="A41" s="3">
        <v>45348</v>
      </c>
      <c r="B41" s="1" t="s">
        <v>22</v>
      </c>
      <c r="C41" s="1">
        <v>4</v>
      </c>
      <c r="D41" s="1">
        <v>2</v>
      </c>
      <c r="E41" s="1">
        <v>0</v>
      </c>
      <c r="F41" s="1">
        <v>0</v>
      </c>
      <c r="G41" s="1">
        <v>0</v>
      </c>
      <c r="H41" s="1">
        <v>0</v>
      </c>
      <c r="I41" s="1">
        <f>IF(H41 + I40 &lt; 0, H41 + I40, 0)</f>
        <v>0</v>
      </c>
      <c r="J41" s="1">
        <v>0</v>
      </c>
      <c r="K41" s="1">
        <f>IF(J41 + K40 &lt; 0, J41 + K40, 0)</f>
        <v>0</v>
      </c>
      <c r="L41" s="1">
        <v>0</v>
      </c>
      <c r="M41" s="1">
        <f>IF(L41 + M40 &lt; 0, L41 + M40, 0)</f>
        <v>0</v>
      </c>
      <c r="N41" s="1">
        <v>0</v>
      </c>
      <c r="O41" s="1">
        <f>IF(N41 + O40 &lt; 0, N41 + O40, 0)</f>
        <v>0</v>
      </c>
      <c r="P41" s="1">
        <v>0</v>
      </c>
      <c r="Q41" s="1">
        <f>IF(P41 + Q40 &lt; 0, P41 + Q40, 0)</f>
        <v>0</v>
      </c>
    </row>
    <row r="42" spans="1:17" s="1" customFormat="1">
      <c r="A42" s="3">
        <v>45349</v>
      </c>
      <c r="B42" s="1" t="s">
        <v>23</v>
      </c>
      <c r="C42" s="1">
        <v>3</v>
      </c>
      <c r="D42" s="1">
        <v>1</v>
      </c>
      <c r="E42" s="1">
        <v>0</v>
      </c>
      <c r="F42" s="1">
        <v>0</v>
      </c>
      <c r="G42" s="1">
        <v>0</v>
      </c>
      <c r="H42" s="1">
        <v>0</v>
      </c>
      <c r="I42" s="1">
        <f>IF(H42 + I41 &lt; 0, H42 + I41, 0)</f>
        <v>0</v>
      </c>
      <c r="J42" s="1">
        <v>0</v>
      </c>
      <c r="K42" s="1">
        <f>IF(J42 + K41 &lt; 0, J42 + K41, 0)</f>
        <v>0</v>
      </c>
      <c r="L42" s="1">
        <v>0</v>
      </c>
      <c r="M42" s="1">
        <f>IF(L42 + M41 &lt; 0, L42 + M41, 0)</f>
        <v>0</v>
      </c>
      <c r="N42" s="1">
        <v>0</v>
      </c>
      <c r="O42" s="1">
        <f>IF(N42 + O41 &lt; 0, N42 + O41, 0)</f>
        <v>0</v>
      </c>
      <c r="P42" s="1">
        <v>0</v>
      </c>
      <c r="Q42" s="1">
        <f>IF(P42 + Q41 &lt; 0, P42 + Q41, 0)</f>
        <v>0</v>
      </c>
    </row>
    <row r="43" spans="1:17" s="1" customFormat="1">
      <c r="A43" s="3">
        <v>45350</v>
      </c>
      <c r="B43" s="1" t="s">
        <v>24</v>
      </c>
      <c r="C43" s="1">
        <v>2</v>
      </c>
      <c r="D43" s="1">
        <v>18</v>
      </c>
      <c r="E43" s="1">
        <v>0</v>
      </c>
      <c r="F43" s="1">
        <v>0</v>
      </c>
      <c r="G43" s="1">
        <v>0</v>
      </c>
      <c r="H43" s="1">
        <v>0</v>
      </c>
      <c r="I43" s="1">
        <f>IF(H43 + I42 &lt; 0, H43 + I42, 0)</f>
        <v>0</v>
      </c>
      <c r="J43" s="1">
        <v>0</v>
      </c>
      <c r="K43" s="1">
        <f>IF(J43 + K42 &lt; 0, J43 + K42, 0)</f>
        <v>0</v>
      </c>
      <c r="L43" s="1">
        <v>0</v>
      </c>
      <c r="M43" s="1">
        <f>IF(L43 + M42 &lt; 0, L43 + M42, 0)</f>
        <v>0</v>
      </c>
      <c r="N43" s="1">
        <v>0</v>
      </c>
      <c r="O43" s="1">
        <f>IF(N43 + O42 &lt; 0, N43 + O42, 0)</f>
        <v>0</v>
      </c>
      <c r="P43" s="1">
        <v>0</v>
      </c>
      <c r="Q43" s="1">
        <f>IF(P43 + Q42 &lt; 0, P43 + Q42, 0)</f>
        <v>0</v>
      </c>
    </row>
    <row r="44" spans="1:17" s="1" customFormat="1">
      <c r="A44" s="3">
        <v>45351</v>
      </c>
      <c r="B44" s="1" t="s">
        <v>25</v>
      </c>
      <c r="C44" s="1">
        <v>1</v>
      </c>
      <c r="D44" s="1">
        <v>17</v>
      </c>
      <c r="E44" s="1">
        <v>0</v>
      </c>
      <c r="F44" s="1">
        <v>0</v>
      </c>
      <c r="G44" s="1">
        <v>0</v>
      </c>
      <c r="H44" s="1">
        <v>0</v>
      </c>
      <c r="I44" s="1">
        <f>IF(H44 + I43 &lt; 0, H44 + I43, 0)</f>
        <v>0</v>
      </c>
      <c r="J44" s="1">
        <v>0</v>
      </c>
      <c r="K44" s="1">
        <f>IF(J44 + K43 &lt; 0, J44 + K43, 0)</f>
        <v>0</v>
      </c>
      <c r="L44" s="1">
        <v>2074324.8433587</v>
      </c>
      <c r="M44" s="1">
        <f>IF(L44 + M43 &lt; 0, L44 + M43, 0)</f>
        <v>0</v>
      </c>
      <c r="N44" s="1">
        <v>0</v>
      </c>
      <c r="O44" s="1">
        <f>IF(N44 + O43 &lt; 0, N44 + O43, 0)</f>
        <v>0</v>
      </c>
      <c r="P44" s="1">
        <v>0</v>
      </c>
      <c r="Q44" s="1">
        <f>IF(P44 + Q43 &lt; 0, P44 + Q43, 0)</f>
        <v>0</v>
      </c>
    </row>
    <row r="45" spans="1:17" s="1" customFormat="1">
      <c r="A45" s="3">
        <v>45352</v>
      </c>
      <c r="B45" s="1" t="s">
        <v>26</v>
      </c>
      <c r="C45" s="1">
        <v>17</v>
      </c>
      <c r="D45" s="1">
        <v>16</v>
      </c>
      <c r="E45" s="1">
        <v>0</v>
      </c>
      <c r="F45" s="1">
        <v>0</v>
      </c>
      <c r="G45" s="1">
        <v>0</v>
      </c>
      <c r="H45" s="1">
        <v>0</v>
      </c>
      <c r="I45" s="1">
        <f>IF(H45 + I44 &lt; 0, H45 + I44, 0)</f>
        <v>0</v>
      </c>
      <c r="J45" s="1">
        <v>0</v>
      </c>
      <c r="K45" s="1">
        <f>IF(J45 + K44 &lt; 0, J45 + K44, 0)</f>
        <v>0</v>
      </c>
      <c r="L45" s="1">
        <v>0</v>
      </c>
      <c r="M45" s="1">
        <f>IF(L45 + M44 &lt; 0, L45 + M44, 0)</f>
        <v>0</v>
      </c>
      <c r="N45" s="1">
        <v>0</v>
      </c>
      <c r="O45" s="1">
        <f>IF(N45 + O44 &lt; 0, N45 + O44, 0)</f>
        <v>0</v>
      </c>
      <c r="P45" s="1">
        <v>248849.8843431395</v>
      </c>
      <c r="Q45" s="1">
        <f>IF(P45 + Q44 &lt; 0, P45 + Q44, 0)</f>
        <v>0</v>
      </c>
    </row>
    <row r="46" spans="1:17" s="1" customFormat="1">
      <c r="A46" s="3">
        <v>45355</v>
      </c>
      <c r="B46" s="1" t="s">
        <v>22</v>
      </c>
      <c r="C46" s="1">
        <v>16</v>
      </c>
      <c r="D46" s="1">
        <v>15</v>
      </c>
      <c r="E46" s="1">
        <v>0</v>
      </c>
      <c r="F46" s="1">
        <v>0</v>
      </c>
      <c r="G46" s="1">
        <v>0</v>
      </c>
      <c r="H46" s="1">
        <v>0</v>
      </c>
      <c r="I46" s="1">
        <f>IF(H46 + I45 &lt; 0, H46 + I45, 0)</f>
        <v>0</v>
      </c>
      <c r="J46" s="1">
        <v>0</v>
      </c>
      <c r="K46" s="1">
        <f>IF(J46 + K45 &lt; 0, J46 + K45, 0)</f>
        <v>0</v>
      </c>
      <c r="L46" s="1">
        <v>0</v>
      </c>
      <c r="M46" s="1">
        <f>IF(L46 + M45 &lt; 0, L46 + M45, 0)</f>
        <v>0</v>
      </c>
      <c r="N46" s="1">
        <v>0</v>
      </c>
      <c r="O46" s="1">
        <f>IF(N46 + O45 &lt; 0, N46 + O45, 0)</f>
        <v>0</v>
      </c>
      <c r="P46" s="1">
        <v>0</v>
      </c>
      <c r="Q46" s="1">
        <f>IF(P46 + Q45 &lt; 0, P46 + Q45, 0)</f>
        <v>0</v>
      </c>
    </row>
    <row r="47" spans="1:17" s="1" customFormat="1">
      <c r="A47" s="3">
        <v>45356</v>
      </c>
      <c r="B47" s="1" t="s">
        <v>23</v>
      </c>
      <c r="C47" s="1">
        <v>15</v>
      </c>
      <c r="D47" s="1">
        <v>14</v>
      </c>
      <c r="E47" s="1">
        <v>0</v>
      </c>
      <c r="F47" s="1">
        <v>0</v>
      </c>
      <c r="G47" s="1">
        <v>0</v>
      </c>
      <c r="H47" s="1">
        <v>0</v>
      </c>
      <c r="I47" s="1">
        <f>IF(H47 + I46 &lt; 0, H47 + I46, 0)</f>
        <v>0</v>
      </c>
      <c r="J47" s="1">
        <v>0</v>
      </c>
      <c r="K47" s="1">
        <f>IF(J47 + K46 &lt; 0, J47 + K46, 0)</f>
        <v>0</v>
      </c>
      <c r="L47" s="1">
        <v>0</v>
      </c>
      <c r="M47" s="1">
        <f>IF(L47 + M46 &lt; 0, L47 + M46, 0)</f>
        <v>0</v>
      </c>
      <c r="N47" s="1">
        <v>0</v>
      </c>
      <c r="O47" s="1">
        <f>IF(N47 + O46 &lt; 0, N47 + O46, 0)</f>
        <v>0</v>
      </c>
      <c r="P47" s="1">
        <v>0</v>
      </c>
      <c r="Q47" s="1">
        <f>IF(P47 + Q46 &lt; 0, P47 + Q46, 0)</f>
        <v>0</v>
      </c>
    </row>
    <row r="48" spans="1:17" s="1" customFormat="1">
      <c r="A48" s="3">
        <v>45357</v>
      </c>
      <c r="B48" s="1" t="s">
        <v>24</v>
      </c>
      <c r="C48" s="1">
        <v>14</v>
      </c>
      <c r="D48" s="1">
        <v>13</v>
      </c>
      <c r="E48" s="1">
        <v>0</v>
      </c>
      <c r="F48" s="1">
        <v>0</v>
      </c>
      <c r="G48" s="1">
        <v>0</v>
      </c>
      <c r="H48" s="1">
        <v>0</v>
      </c>
      <c r="I48" s="1">
        <f>IF(H48 + I47 &lt; 0, H48 + I47, 0)</f>
        <v>0</v>
      </c>
      <c r="J48" s="1">
        <v>0</v>
      </c>
      <c r="K48" s="1">
        <f>IF(J48 + K47 &lt; 0, J48 + K47, 0)</f>
        <v>0</v>
      </c>
      <c r="L48" s="1">
        <v>0</v>
      </c>
      <c r="M48" s="1">
        <f>IF(L48 + M47 &lt; 0, L48 + M47, 0)</f>
        <v>0</v>
      </c>
      <c r="N48" s="1">
        <v>0</v>
      </c>
      <c r="O48" s="1">
        <f>IF(N48 + O47 &lt; 0, N48 + O47, 0)</f>
        <v>0</v>
      </c>
      <c r="P48" s="1">
        <v>0</v>
      </c>
      <c r="Q48" s="1">
        <f>IF(P48 + Q47 &lt; 0, P48 + Q47, 0)</f>
        <v>0</v>
      </c>
    </row>
    <row r="49" spans="1:17" s="1" customFormat="1">
      <c r="A49" s="3">
        <v>45358</v>
      </c>
      <c r="B49" s="1" t="s">
        <v>25</v>
      </c>
      <c r="C49" s="1">
        <v>13</v>
      </c>
      <c r="D49" s="1">
        <v>12</v>
      </c>
      <c r="E49" s="1">
        <v>0</v>
      </c>
      <c r="F49" s="1">
        <v>0</v>
      </c>
      <c r="G49" s="1">
        <v>0</v>
      </c>
      <c r="H49" s="1">
        <v>0</v>
      </c>
      <c r="I49" s="1">
        <f>IF(H49 + I48 &lt; 0, H49 + I48, 0)</f>
        <v>0</v>
      </c>
      <c r="J49" s="1">
        <v>0</v>
      </c>
      <c r="K49" s="1">
        <f>IF(J49 + K48 &lt; 0, J49 + K48, 0)</f>
        <v>0</v>
      </c>
      <c r="L49" s="1">
        <v>2103584.346058691</v>
      </c>
      <c r="M49" s="1">
        <f>IF(L49 + M48 &lt; 0, L49 + M48, 0)</f>
        <v>0</v>
      </c>
      <c r="N49" s="1">
        <v>0</v>
      </c>
      <c r="O49" s="1">
        <f>IF(N49 + O48 &lt; 0, N49 + O48, 0)</f>
        <v>0</v>
      </c>
      <c r="P49" s="1">
        <v>2625242.359455949</v>
      </c>
      <c r="Q49" s="1">
        <f>IF(P49 + Q48 &lt; 0, P49 + Q48, 0)</f>
        <v>0</v>
      </c>
    </row>
    <row r="50" spans="1:17" s="1" customFormat="1">
      <c r="A50" s="3">
        <v>45362</v>
      </c>
      <c r="B50" s="1" t="s">
        <v>22</v>
      </c>
      <c r="C50" s="1">
        <v>12</v>
      </c>
      <c r="D50" s="1">
        <v>11</v>
      </c>
      <c r="E50" s="1">
        <v>0</v>
      </c>
      <c r="F50" s="1">
        <v>0</v>
      </c>
      <c r="G50" s="1">
        <v>0</v>
      </c>
      <c r="H50" s="1">
        <v>0</v>
      </c>
      <c r="I50" s="1">
        <f>IF(H50 + I49 &lt; 0, H50 + I49, 0)</f>
        <v>0</v>
      </c>
      <c r="J50" s="1">
        <v>0</v>
      </c>
      <c r="K50" s="1">
        <f>IF(J50 + K49 &lt; 0, J50 + K49, 0)</f>
        <v>0</v>
      </c>
      <c r="L50" s="1">
        <v>0</v>
      </c>
      <c r="M50" s="1">
        <f>IF(L50 + M49 &lt; 0, L50 + M49, 0)</f>
        <v>0</v>
      </c>
      <c r="N50" s="1">
        <v>0</v>
      </c>
      <c r="O50" s="1">
        <f>IF(N50 + O49 &lt; 0, N50 + O49, 0)</f>
        <v>0</v>
      </c>
      <c r="P50" s="1">
        <v>0</v>
      </c>
      <c r="Q50" s="1">
        <f>IF(P50 + Q49 &lt; 0, P50 + Q49, 0)</f>
        <v>0</v>
      </c>
    </row>
    <row r="51" spans="1:17" s="1" customFormat="1">
      <c r="A51" s="3">
        <v>45363</v>
      </c>
      <c r="B51" s="1" t="s">
        <v>23</v>
      </c>
      <c r="C51" s="1">
        <v>11</v>
      </c>
      <c r="D51" s="1">
        <v>10</v>
      </c>
      <c r="E51" s="1">
        <v>0</v>
      </c>
      <c r="F51" s="1">
        <v>0</v>
      </c>
      <c r="G51" s="1">
        <v>0</v>
      </c>
      <c r="H51" s="1">
        <v>0</v>
      </c>
      <c r="I51" s="1">
        <f>IF(H51 + I50 &lt; 0, H51 + I50, 0)</f>
        <v>0</v>
      </c>
      <c r="J51" s="1">
        <v>0</v>
      </c>
      <c r="K51" s="1">
        <f>IF(J51 + K50 &lt; 0, J51 + K50, 0)</f>
        <v>0</v>
      </c>
      <c r="L51" s="1">
        <v>0</v>
      </c>
      <c r="M51" s="1">
        <f>IF(L51 + M50 &lt; 0, L51 + M50, 0)</f>
        <v>0</v>
      </c>
      <c r="N51" s="1">
        <v>0</v>
      </c>
      <c r="O51" s="1">
        <f>IF(N51 + O50 &lt; 0, N51 + O50, 0)</f>
        <v>0</v>
      </c>
      <c r="P51" s="1">
        <v>0</v>
      </c>
      <c r="Q51" s="1">
        <f>IF(P51 + Q50 &lt; 0, P51 + Q50, 0)</f>
        <v>0</v>
      </c>
    </row>
    <row r="52" spans="1:17" s="1" customFormat="1">
      <c r="A52" s="3">
        <v>45364</v>
      </c>
      <c r="B52" s="1" t="s">
        <v>24</v>
      </c>
      <c r="C52" s="1">
        <v>10</v>
      </c>
      <c r="D52" s="1">
        <v>9</v>
      </c>
      <c r="E52" s="1">
        <v>0</v>
      </c>
      <c r="F52" s="1">
        <v>0</v>
      </c>
      <c r="G52" s="1">
        <v>0</v>
      </c>
      <c r="H52" s="1">
        <v>0</v>
      </c>
      <c r="I52" s="1">
        <f>IF(H52 + I51 &lt; 0, H52 + I51, 0)</f>
        <v>0</v>
      </c>
      <c r="J52" s="1">
        <v>0</v>
      </c>
      <c r="K52" s="1">
        <f>IF(J52 + K51 &lt; 0, J52 + K51, 0)</f>
        <v>0</v>
      </c>
      <c r="L52" s="1">
        <v>0</v>
      </c>
      <c r="M52" s="1">
        <f>IF(L52 + M51 &lt; 0, L52 + M51, 0)</f>
        <v>0</v>
      </c>
      <c r="N52" s="1">
        <v>0</v>
      </c>
      <c r="O52" s="1">
        <f>IF(N52 + O51 &lt; 0, N52 + O51, 0)</f>
        <v>0</v>
      </c>
      <c r="P52" s="1">
        <v>0</v>
      </c>
      <c r="Q52" s="1">
        <f>IF(P52 + Q51 &lt; 0, P52 + Q51, 0)</f>
        <v>0</v>
      </c>
    </row>
    <row r="53" spans="1:17" s="1" customFormat="1">
      <c r="A53" s="3">
        <v>45365</v>
      </c>
      <c r="B53" s="1" t="s">
        <v>25</v>
      </c>
      <c r="C53" s="1">
        <v>9</v>
      </c>
      <c r="D53" s="1">
        <v>8</v>
      </c>
      <c r="E53" s="1">
        <v>0</v>
      </c>
      <c r="F53" s="1">
        <v>0</v>
      </c>
      <c r="G53" s="1">
        <v>0</v>
      </c>
      <c r="H53" s="1">
        <v>0</v>
      </c>
      <c r="I53" s="1">
        <f>IF(H53 + I52 &lt; 0, H53 + I52, 0)</f>
        <v>0</v>
      </c>
      <c r="J53" s="1">
        <v>0</v>
      </c>
      <c r="K53" s="1">
        <f>IF(J53 + K52 &lt; 0, J53 + K52, 0)</f>
        <v>0</v>
      </c>
      <c r="L53" s="1">
        <v>-1490107.178923887</v>
      </c>
      <c r="M53" s="1">
        <f>IF(L53 + M52 &lt; 0, L53 + M52, 0)</f>
        <v>0</v>
      </c>
      <c r="N53" s="1">
        <v>0</v>
      </c>
      <c r="O53" s="1">
        <f>IF(N53 + O52 &lt; 0, N53 + O52, 0)</f>
        <v>0</v>
      </c>
      <c r="P53" s="1">
        <v>0</v>
      </c>
      <c r="Q53" s="1">
        <f>IF(P53 + Q52 &lt; 0, P53 + Q52, 0)</f>
        <v>0</v>
      </c>
    </row>
    <row r="54" spans="1:17" s="1" customFormat="1">
      <c r="A54" s="3">
        <v>45366</v>
      </c>
      <c r="B54" s="1" t="s">
        <v>26</v>
      </c>
      <c r="C54" s="1">
        <v>8</v>
      </c>
      <c r="D54" s="1">
        <v>7</v>
      </c>
      <c r="E54" s="1">
        <v>0</v>
      </c>
      <c r="F54" s="1">
        <v>0</v>
      </c>
      <c r="G54" s="1">
        <v>0</v>
      </c>
      <c r="H54" s="1">
        <v>0</v>
      </c>
      <c r="I54" s="1">
        <f>IF(H54 + I53 &lt; 0, H54 + I53, 0)</f>
        <v>0</v>
      </c>
      <c r="J54" s="1">
        <v>0</v>
      </c>
      <c r="K54" s="1">
        <f>IF(J54 + K53 &lt; 0, J54 + K53, 0)</f>
        <v>0</v>
      </c>
      <c r="L54" s="1">
        <v>0</v>
      </c>
      <c r="M54" s="1">
        <f>IF(L54 + M53 &lt; 0, L54 + M53, 0)</f>
        <v>0</v>
      </c>
      <c r="N54" s="1">
        <v>0</v>
      </c>
      <c r="O54" s="1">
        <f>IF(N54 + O53 &lt; 0, N54 + O53, 0)</f>
        <v>0</v>
      </c>
      <c r="P54" s="1">
        <v>1854222.266329095</v>
      </c>
      <c r="Q54" s="1">
        <f>IF(P54 + Q53 &lt; 0, P54 + Q53, 0)</f>
        <v>0</v>
      </c>
    </row>
    <row r="55" spans="1:17" s="1" customFormat="1">
      <c r="A55" s="3">
        <v>45369</v>
      </c>
      <c r="B55" s="1" t="s">
        <v>22</v>
      </c>
      <c r="C55" s="1">
        <v>7</v>
      </c>
      <c r="D55" s="1">
        <v>6</v>
      </c>
      <c r="E55" s="1">
        <v>0</v>
      </c>
      <c r="F55" s="1">
        <v>0</v>
      </c>
      <c r="G55" s="1">
        <v>0</v>
      </c>
      <c r="H55" s="1">
        <v>0</v>
      </c>
      <c r="I55" s="1">
        <f>IF(H55 + I54 &lt; 0, H55 + I54, 0)</f>
        <v>0</v>
      </c>
      <c r="J55" s="1">
        <v>0</v>
      </c>
      <c r="K55" s="1">
        <f>IF(J55 + K54 &lt; 0, J55 + K54, 0)</f>
        <v>0</v>
      </c>
      <c r="L55" s="1">
        <v>0</v>
      </c>
      <c r="M55" s="1">
        <f>IF(L55 + M54 &lt; 0, L55 + M54, 0)</f>
        <v>0</v>
      </c>
      <c r="N55" s="1">
        <v>0</v>
      </c>
      <c r="O55" s="1">
        <f>IF(N55 + O54 &lt; 0, N55 + O54, 0)</f>
        <v>0</v>
      </c>
      <c r="P55" s="1">
        <v>0</v>
      </c>
      <c r="Q55" s="1">
        <f>IF(P55 + Q54 &lt; 0, P55 + Q54, 0)</f>
        <v>0</v>
      </c>
    </row>
    <row r="56" spans="1:17" s="1" customFormat="1">
      <c r="A56" s="3">
        <v>45370</v>
      </c>
      <c r="B56" s="1" t="s">
        <v>23</v>
      </c>
      <c r="C56" s="1">
        <v>6</v>
      </c>
      <c r="D56" s="1">
        <v>5</v>
      </c>
      <c r="E56" s="1">
        <v>0</v>
      </c>
      <c r="F56" s="1">
        <v>0</v>
      </c>
      <c r="G56" s="1">
        <v>0</v>
      </c>
      <c r="H56" s="1">
        <v>0</v>
      </c>
      <c r="I56" s="1">
        <f>IF(H56 + I55 &lt; 0, H56 + I55, 0)</f>
        <v>0</v>
      </c>
      <c r="J56" s="1">
        <v>0</v>
      </c>
      <c r="K56" s="1">
        <f>IF(J56 + K55 &lt; 0, J56 + K55, 0)</f>
        <v>0</v>
      </c>
      <c r="L56" s="1">
        <v>0</v>
      </c>
      <c r="M56" s="1">
        <f>IF(L56 + M55 &lt; 0, L56 + M55, 0)</f>
        <v>0</v>
      </c>
      <c r="N56" s="1">
        <v>0</v>
      </c>
      <c r="O56" s="1">
        <f>IF(N56 + O55 &lt; 0, N56 + O55, 0)</f>
        <v>0</v>
      </c>
      <c r="P56" s="1">
        <v>0</v>
      </c>
      <c r="Q56" s="1">
        <f>IF(P56 + Q55 &lt; 0, P56 + Q55, 0)</f>
        <v>0</v>
      </c>
    </row>
    <row r="57" spans="1:17" s="1" customFormat="1">
      <c r="A57" s="3">
        <v>45371</v>
      </c>
      <c r="B57" s="1" t="s">
        <v>24</v>
      </c>
      <c r="C57" s="1">
        <v>5</v>
      </c>
      <c r="D57" s="1">
        <v>4</v>
      </c>
      <c r="E57" s="1">
        <v>0</v>
      </c>
      <c r="F57" s="1">
        <v>0</v>
      </c>
      <c r="G57" s="1">
        <v>0</v>
      </c>
      <c r="H57" s="1">
        <v>0</v>
      </c>
      <c r="I57" s="1">
        <f>IF(H57 + I56 &lt; 0, H57 + I56, 0)</f>
        <v>0</v>
      </c>
      <c r="J57" s="1">
        <v>0</v>
      </c>
      <c r="K57" s="1">
        <f>IF(J57 + K56 &lt; 0, J57 + K56, 0)</f>
        <v>0</v>
      </c>
      <c r="L57" s="1">
        <v>0</v>
      </c>
      <c r="M57" s="1">
        <f>IF(L57 + M56 &lt; 0, L57 + M56, 0)</f>
        <v>0</v>
      </c>
      <c r="N57" s="1">
        <v>0</v>
      </c>
      <c r="O57" s="1">
        <f>IF(N57 + O56 &lt; 0, N57 + O56, 0)</f>
        <v>0</v>
      </c>
      <c r="P57" s="1">
        <v>0</v>
      </c>
      <c r="Q57" s="1">
        <f>IF(P57 + Q56 &lt; 0, P57 + Q56, 0)</f>
        <v>0</v>
      </c>
    </row>
    <row r="58" spans="1:17" s="1" customFormat="1">
      <c r="A58" s="3">
        <v>45372</v>
      </c>
      <c r="B58" s="1" t="s">
        <v>25</v>
      </c>
      <c r="C58" s="1">
        <v>4</v>
      </c>
      <c r="D58" s="1">
        <v>3</v>
      </c>
      <c r="E58" s="1">
        <v>0</v>
      </c>
      <c r="F58" s="1">
        <v>0</v>
      </c>
      <c r="G58" s="1">
        <v>0</v>
      </c>
      <c r="H58" s="1">
        <v>0</v>
      </c>
      <c r="I58" s="1">
        <f>IF(H58 + I57 &lt; 0, H58 + I57, 0)</f>
        <v>0</v>
      </c>
      <c r="J58" s="1">
        <v>0</v>
      </c>
      <c r="K58" s="1">
        <f>IF(J58 + K57 &lt; 0, J58 + K57, 0)</f>
        <v>0</v>
      </c>
      <c r="L58" s="1">
        <v>1510181.434031056</v>
      </c>
      <c r="M58" s="1">
        <f>IF(L58 + M57 &lt; 0, L58 + M57, 0)</f>
        <v>0</v>
      </c>
      <c r="N58" s="1">
        <v>0</v>
      </c>
      <c r="O58" s="1">
        <f>IF(N58 + O57 &lt; 0, N58 + O57, 0)</f>
        <v>0</v>
      </c>
      <c r="P58" s="1">
        <v>0</v>
      </c>
      <c r="Q58" s="1">
        <f>IF(P58 + Q57 &lt; 0, P58 + Q57, 0)</f>
        <v>0</v>
      </c>
    </row>
    <row r="59" spans="1:17" s="1" customFormat="1">
      <c r="A59" s="3">
        <v>45373</v>
      </c>
      <c r="B59" s="1" t="s">
        <v>26</v>
      </c>
      <c r="C59" s="1">
        <v>3</v>
      </c>
      <c r="D59" s="1">
        <v>2</v>
      </c>
      <c r="E59" s="1">
        <v>0</v>
      </c>
      <c r="F59" s="1">
        <v>0</v>
      </c>
      <c r="G59" s="1">
        <v>0</v>
      </c>
      <c r="H59" s="1">
        <v>0</v>
      </c>
      <c r="I59" s="1">
        <f>IF(H59 + I58 &lt; 0, H59 + I58, 0)</f>
        <v>0</v>
      </c>
      <c r="J59" s="1">
        <v>0</v>
      </c>
      <c r="K59" s="1">
        <f>IF(J59 + K58 &lt; 0, J59 + K58, 0)</f>
        <v>0</v>
      </c>
      <c r="L59" s="1">
        <v>0</v>
      </c>
      <c r="M59" s="1">
        <f>IF(L59 + M58 &lt; 0, L59 + M58, 0)</f>
        <v>0</v>
      </c>
      <c r="N59" s="1">
        <v>0</v>
      </c>
      <c r="O59" s="1">
        <f>IF(N59 + O58 &lt; 0, N59 + O58, 0)</f>
        <v>0</v>
      </c>
      <c r="P59" s="1">
        <v>-145472.4765609987</v>
      </c>
      <c r="Q59" s="1">
        <f>IF(P59 + Q58 &lt; 0, P59 + Q58, 0)</f>
        <v>0</v>
      </c>
    </row>
    <row r="60" spans="1:17" s="1" customFormat="1">
      <c r="A60" s="3">
        <v>45377</v>
      </c>
      <c r="B60" s="1" t="s">
        <v>23</v>
      </c>
      <c r="C60" s="1">
        <v>2</v>
      </c>
      <c r="D60" s="1">
        <v>1</v>
      </c>
      <c r="E60" s="1">
        <v>0</v>
      </c>
      <c r="F60" s="1">
        <v>0</v>
      </c>
      <c r="G60" s="1">
        <v>0</v>
      </c>
      <c r="H60" s="1">
        <v>0</v>
      </c>
      <c r="I60" s="1">
        <f>IF(H60 + I59 &lt; 0, H60 + I59, 0)</f>
        <v>0</v>
      </c>
      <c r="J60" s="1">
        <v>0</v>
      </c>
      <c r="K60" s="1">
        <f>IF(J60 + K59 &lt; 0, J60 + K59, 0)</f>
        <v>0</v>
      </c>
      <c r="L60" s="1">
        <v>0</v>
      </c>
      <c r="M60" s="1">
        <f>IF(L60 + M59 &lt; 0, L60 + M59, 0)</f>
        <v>0</v>
      </c>
      <c r="N60" s="1">
        <v>0</v>
      </c>
      <c r="O60" s="1">
        <f>IF(N60 + O59 &lt; 0, N60 + O59, 0)</f>
        <v>0</v>
      </c>
      <c r="P60" s="1">
        <v>0</v>
      </c>
      <c r="Q60" s="1">
        <f>IF(P60 + Q59 &lt; 0, P60 + Q59, 0)</f>
        <v>0</v>
      </c>
    </row>
    <row r="61" spans="1:17" s="1" customFormat="1">
      <c r="A61" s="3">
        <v>45378</v>
      </c>
      <c r="B61" s="1" t="s">
        <v>24</v>
      </c>
      <c r="C61" s="1">
        <v>1</v>
      </c>
      <c r="D61" s="1">
        <v>22</v>
      </c>
      <c r="E61" s="1">
        <v>0</v>
      </c>
      <c r="F61" s="1">
        <v>0</v>
      </c>
      <c r="G61" s="1">
        <v>0</v>
      </c>
      <c r="H61" s="1">
        <v>0</v>
      </c>
      <c r="I61" s="1">
        <f>IF(H61 + I60 &lt; 0, H61 + I60, 0)</f>
        <v>0</v>
      </c>
      <c r="J61" s="1">
        <v>0</v>
      </c>
      <c r="K61" s="1">
        <f>IF(J61 + K60 &lt; 0, J61 + K60, 0)</f>
        <v>0</v>
      </c>
      <c r="L61" s="1">
        <v>0</v>
      </c>
      <c r="M61" s="1">
        <f>IF(L61 + M60 &lt; 0, L61 + M60, 0)</f>
        <v>0</v>
      </c>
      <c r="N61" s="1">
        <v>0</v>
      </c>
      <c r="O61" s="1">
        <f>IF(N61 + O60 &lt; 0, N61 + O60, 0)</f>
        <v>0</v>
      </c>
      <c r="P61" s="1">
        <v>0</v>
      </c>
      <c r="Q61" s="1">
        <f>IF(P61 + Q60 &lt; 0, P61 + Q60, 0)</f>
        <v>0</v>
      </c>
    </row>
    <row r="62" spans="1:17" s="1" customFormat="1">
      <c r="A62" s="3">
        <v>45379</v>
      </c>
      <c r="B62" s="1" t="s">
        <v>25</v>
      </c>
      <c r="C62" s="1">
        <v>21</v>
      </c>
      <c r="D62" s="1">
        <v>21</v>
      </c>
      <c r="E62" s="1">
        <v>0</v>
      </c>
      <c r="F62" s="1">
        <v>0</v>
      </c>
      <c r="G62" s="1">
        <v>0</v>
      </c>
      <c r="H62" s="1">
        <v>0</v>
      </c>
      <c r="I62" s="1">
        <f>IF(H62 + I61 &lt; 0, H62 + I61, 0)</f>
        <v>0</v>
      </c>
      <c r="J62" s="1">
        <v>0</v>
      </c>
      <c r="K62" s="1">
        <f>IF(J62 + K61 &lt; 0, J62 + K61, 0)</f>
        <v>0</v>
      </c>
      <c r="L62" s="1">
        <v>804169.7190017316</v>
      </c>
      <c r="M62" s="1">
        <f>IF(L62 + M61 &lt; 0, L62 + M61, 0)</f>
        <v>0</v>
      </c>
      <c r="N62" s="1">
        <v>0</v>
      </c>
      <c r="O62" s="1">
        <f>IF(N62 + O61 &lt; 0, N62 + O61, 0)</f>
        <v>0</v>
      </c>
      <c r="P62" s="1">
        <v>364213.3436018046</v>
      </c>
      <c r="Q62" s="1">
        <f>IF(P62 + Q61 &lt; 0, P62 + Q61, 0)</f>
        <v>0</v>
      </c>
    </row>
    <row r="63" spans="1:17" s="1" customFormat="1">
      <c r="A63" s="3">
        <v>45383</v>
      </c>
      <c r="B63" s="1" t="s">
        <v>22</v>
      </c>
      <c r="C63" s="1">
        <v>20</v>
      </c>
      <c r="D63" s="1">
        <v>20</v>
      </c>
      <c r="E63" s="1">
        <v>0</v>
      </c>
      <c r="F63" s="1">
        <v>0</v>
      </c>
      <c r="G63" s="1">
        <v>0</v>
      </c>
      <c r="H63" s="1">
        <v>0</v>
      </c>
      <c r="I63" s="1">
        <f>IF(H63 + I62 &lt; 0, H63 + I62, 0)</f>
        <v>0</v>
      </c>
      <c r="J63" s="1">
        <v>0</v>
      </c>
      <c r="K63" s="1">
        <f>IF(J63 + K62 &lt; 0, J63 + K62, 0)</f>
        <v>0</v>
      </c>
      <c r="L63" s="1">
        <v>0</v>
      </c>
      <c r="M63" s="1">
        <f>IF(L63 + M62 &lt; 0, L63 + M62, 0)</f>
        <v>0</v>
      </c>
      <c r="N63" s="1">
        <v>0</v>
      </c>
      <c r="O63" s="1">
        <f>IF(N63 + O62 &lt; 0, N63 + O62, 0)</f>
        <v>0</v>
      </c>
      <c r="P63" s="1">
        <v>0</v>
      </c>
      <c r="Q63" s="1">
        <f>IF(P63 + Q62 &lt; 0, P63 + Q62, 0)</f>
        <v>0</v>
      </c>
    </row>
    <row r="64" spans="1:17" s="1" customFormat="1">
      <c r="A64" s="3">
        <v>45384</v>
      </c>
      <c r="B64" s="1" t="s">
        <v>23</v>
      </c>
      <c r="C64" s="1">
        <v>19</v>
      </c>
      <c r="D64" s="1">
        <v>19</v>
      </c>
      <c r="E64" s="1">
        <v>0</v>
      </c>
      <c r="F64" s="1">
        <v>0</v>
      </c>
      <c r="G64" s="1">
        <v>0</v>
      </c>
      <c r="H64" s="1">
        <v>0</v>
      </c>
      <c r="I64" s="1">
        <f>IF(H64 + I63 &lt; 0, H64 + I63, 0)</f>
        <v>0</v>
      </c>
      <c r="J64" s="1">
        <v>0</v>
      </c>
      <c r="K64" s="1">
        <f>IF(J64 + K63 &lt; 0, J64 + K63, 0)</f>
        <v>0</v>
      </c>
      <c r="L64" s="1">
        <v>0</v>
      </c>
      <c r="M64" s="1">
        <f>IF(L64 + M63 &lt; 0, L64 + M63, 0)</f>
        <v>0</v>
      </c>
      <c r="N64" s="1">
        <v>0</v>
      </c>
      <c r="O64" s="1">
        <f>IF(N64 + O63 &lt; 0, N64 + O63, 0)</f>
        <v>0</v>
      </c>
      <c r="P64" s="1">
        <v>0</v>
      </c>
      <c r="Q64" s="1">
        <f>IF(P64 + Q63 &lt; 0, P64 + Q63, 0)</f>
        <v>0</v>
      </c>
    </row>
    <row r="65" spans="1:17" s="1" customFormat="1">
      <c r="A65" s="3">
        <v>45385</v>
      </c>
      <c r="B65" s="1" t="s">
        <v>24</v>
      </c>
      <c r="C65" s="1">
        <v>18</v>
      </c>
      <c r="D65" s="1">
        <v>18</v>
      </c>
      <c r="E65" s="1">
        <v>0</v>
      </c>
      <c r="F65" s="1">
        <v>0</v>
      </c>
      <c r="G65" s="1">
        <v>0</v>
      </c>
      <c r="H65" s="1">
        <v>0</v>
      </c>
      <c r="I65" s="1">
        <f>IF(H65 + I64 &lt; 0, H65 + I64, 0)</f>
        <v>0</v>
      </c>
      <c r="J65" s="1">
        <v>0</v>
      </c>
      <c r="K65" s="1">
        <f>IF(J65 + K64 &lt; 0, J65 + K64, 0)</f>
        <v>0</v>
      </c>
      <c r="L65" s="1">
        <v>0</v>
      </c>
      <c r="M65" s="1">
        <f>IF(L65 + M64 &lt; 0, L65 + M64, 0)</f>
        <v>0</v>
      </c>
      <c r="N65" s="1">
        <v>0</v>
      </c>
      <c r="O65" s="1">
        <f>IF(N65 + O64 &lt; 0, N65 + O64, 0)</f>
        <v>0</v>
      </c>
      <c r="P65" s="1">
        <v>0</v>
      </c>
      <c r="Q65" s="1">
        <f>IF(P65 + Q64 &lt; 0, P65 + Q64, 0)</f>
        <v>0</v>
      </c>
    </row>
    <row r="66" spans="1:17" s="1" customFormat="1">
      <c r="A66" s="3">
        <v>45386</v>
      </c>
      <c r="B66" s="1" t="s">
        <v>25</v>
      </c>
      <c r="C66" s="1">
        <v>17</v>
      </c>
      <c r="D66" s="1">
        <v>17</v>
      </c>
      <c r="E66" s="1">
        <v>0</v>
      </c>
      <c r="F66" s="1">
        <v>0</v>
      </c>
      <c r="G66" s="1">
        <v>0</v>
      </c>
      <c r="H66" s="1">
        <v>0</v>
      </c>
      <c r="I66" s="1">
        <f>IF(H66 + I65 &lt; 0, H66 + I65, 0)</f>
        <v>0</v>
      </c>
      <c r="J66" s="1">
        <v>0</v>
      </c>
      <c r="K66" s="1">
        <f>IF(J66 + K65 &lt; 0, J66 + K65, 0)</f>
        <v>0</v>
      </c>
      <c r="L66" s="1">
        <v>-1232277.434553538</v>
      </c>
      <c r="M66" s="1">
        <f>IF(L66 + M65 &lt; 0, L66 + M65, 0)</f>
        <v>0</v>
      </c>
      <c r="N66" s="1">
        <v>0</v>
      </c>
      <c r="O66" s="1">
        <f>IF(N66 + O65 &lt; 0, N66 + O65, 0)</f>
        <v>0</v>
      </c>
      <c r="P66" s="1">
        <v>0</v>
      </c>
      <c r="Q66" s="1">
        <f>IF(P66 + Q65 &lt; 0, P66 + Q65, 0)</f>
        <v>0</v>
      </c>
    </row>
    <row r="67" spans="1:17" s="1" customFormat="1">
      <c r="A67" s="3">
        <v>45387</v>
      </c>
      <c r="B67" s="1" t="s">
        <v>26</v>
      </c>
      <c r="C67" s="1">
        <v>16</v>
      </c>
      <c r="D67" s="1">
        <v>16</v>
      </c>
      <c r="E67" s="1">
        <v>0</v>
      </c>
      <c r="F67" s="1">
        <v>0</v>
      </c>
      <c r="G67" s="1">
        <v>0</v>
      </c>
      <c r="H67" s="1">
        <v>0</v>
      </c>
      <c r="I67" s="1">
        <f>IF(H67 + I66 &lt; 0, H67 + I66, 0)</f>
        <v>0</v>
      </c>
      <c r="J67" s="1">
        <v>0</v>
      </c>
      <c r="K67" s="1">
        <f>IF(J67 + K66 &lt; 0, J67 + K66, 0)</f>
        <v>0</v>
      </c>
      <c r="L67" s="1">
        <v>0</v>
      </c>
      <c r="M67" s="1">
        <f>IF(L67 + M66 &lt; 0, L67 + M66, 0)</f>
        <v>0</v>
      </c>
      <c r="N67" s="1">
        <v>0</v>
      </c>
      <c r="O67" s="1">
        <f>IF(N67 + O66 &lt; 0, N67 + O66, 0)</f>
        <v>0</v>
      </c>
      <c r="P67" s="1">
        <v>2128805.054421148</v>
      </c>
      <c r="Q67" s="1">
        <f>IF(P67 + Q66 &lt; 0, P67 + Q66, 0)</f>
        <v>0</v>
      </c>
    </row>
    <row r="68" spans="1:17" s="1" customFormat="1">
      <c r="A68" s="3">
        <v>45390</v>
      </c>
      <c r="B68" s="1" t="s">
        <v>22</v>
      </c>
      <c r="C68" s="1">
        <v>15</v>
      </c>
      <c r="D68" s="1">
        <v>15</v>
      </c>
      <c r="E68" s="1">
        <v>0</v>
      </c>
      <c r="F68" s="1">
        <v>0</v>
      </c>
      <c r="G68" s="1">
        <v>0</v>
      </c>
      <c r="H68" s="1">
        <v>0</v>
      </c>
      <c r="I68" s="1">
        <f>IF(H68 + I67 &lt; 0, H68 + I67, 0)</f>
        <v>0</v>
      </c>
      <c r="J68" s="1">
        <v>0</v>
      </c>
      <c r="K68" s="1">
        <f>IF(J68 + K67 &lt; 0, J68 + K67, 0)</f>
        <v>0</v>
      </c>
      <c r="L68" s="1">
        <v>0</v>
      </c>
      <c r="M68" s="1">
        <f>IF(L68 + M67 &lt; 0, L68 + M67, 0)</f>
        <v>0</v>
      </c>
      <c r="N68" s="1">
        <v>0</v>
      </c>
      <c r="O68" s="1">
        <f>IF(N68 + O67 &lt; 0, N68 + O67, 0)</f>
        <v>0</v>
      </c>
      <c r="P68" s="1">
        <v>0</v>
      </c>
      <c r="Q68" s="1">
        <f>IF(P68 + Q67 &lt; 0, P68 + Q67, 0)</f>
        <v>0</v>
      </c>
    </row>
    <row r="69" spans="1:17" s="1" customFormat="1">
      <c r="A69" s="3">
        <v>45391</v>
      </c>
      <c r="B69" s="1" t="s">
        <v>23</v>
      </c>
      <c r="C69" s="1">
        <v>14</v>
      </c>
      <c r="D69" s="1">
        <v>14</v>
      </c>
      <c r="E69" s="1">
        <v>0</v>
      </c>
      <c r="F69" s="1">
        <v>0</v>
      </c>
      <c r="G69" s="1">
        <v>0</v>
      </c>
      <c r="H69" s="1">
        <v>0</v>
      </c>
      <c r="I69" s="1">
        <f>IF(H69 + I68 &lt; 0, H69 + I68, 0)</f>
        <v>0</v>
      </c>
      <c r="J69" s="1">
        <v>0</v>
      </c>
      <c r="K69" s="1">
        <f>IF(J69 + K68 &lt; 0, J69 + K68, 0)</f>
        <v>0</v>
      </c>
      <c r="L69" s="1">
        <v>0</v>
      </c>
      <c r="M69" s="1">
        <f>IF(L69 + M68 &lt; 0, L69 + M68, 0)</f>
        <v>0</v>
      </c>
      <c r="N69" s="1">
        <v>0</v>
      </c>
      <c r="O69" s="1">
        <f>IF(N69 + O68 &lt; 0, N69 + O68, 0)</f>
        <v>0</v>
      </c>
      <c r="P69" s="1">
        <v>0</v>
      </c>
      <c r="Q69" s="1">
        <f>IF(P69 + Q68 &lt; 0, P69 + Q68, 0)</f>
        <v>0</v>
      </c>
    </row>
    <row r="70" spans="1:17" s="1" customFormat="1">
      <c r="A70" s="3">
        <v>45392</v>
      </c>
      <c r="B70" s="1" t="s">
        <v>24</v>
      </c>
      <c r="C70" s="1">
        <v>13</v>
      </c>
      <c r="D70" s="1">
        <v>13</v>
      </c>
      <c r="E70" s="1">
        <v>0</v>
      </c>
      <c r="F70" s="1">
        <v>0</v>
      </c>
      <c r="G70" s="1">
        <v>0</v>
      </c>
      <c r="H70" s="1">
        <v>0</v>
      </c>
      <c r="I70" s="1">
        <f>IF(H70 + I69 &lt; 0, H70 + I69, 0)</f>
        <v>0</v>
      </c>
      <c r="J70" s="1">
        <v>0</v>
      </c>
      <c r="K70" s="1">
        <f>IF(J70 + K69 &lt; 0, J70 + K69, 0)</f>
        <v>0</v>
      </c>
      <c r="L70" s="1">
        <v>1650437.535551014</v>
      </c>
      <c r="M70" s="1">
        <f>IF(L70 + M69 &lt; 0, L70 + M69, 0)</f>
        <v>0</v>
      </c>
      <c r="N70" s="1">
        <v>0</v>
      </c>
      <c r="O70" s="1">
        <f>IF(N70 + O69 &lt; 0, N70 + O69, 0)</f>
        <v>0</v>
      </c>
      <c r="P70" s="1">
        <v>0</v>
      </c>
      <c r="Q70" s="1">
        <f>IF(P70 + Q69 &lt; 0, P70 + Q69, 0)</f>
        <v>0</v>
      </c>
    </row>
    <row r="71" spans="1:17" s="1" customFormat="1">
      <c r="A71" s="3">
        <v>45394</v>
      </c>
      <c r="B71" s="1" t="s">
        <v>26</v>
      </c>
      <c r="C71" s="1">
        <v>12</v>
      </c>
      <c r="D71" s="1">
        <v>12</v>
      </c>
      <c r="E71" s="1">
        <v>0</v>
      </c>
      <c r="F71" s="1">
        <v>0</v>
      </c>
      <c r="G71" s="1">
        <v>0</v>
      </c>
      <c r="H71" s="1">
        <v>0</v>
      </c>
      <c r="I71" s="1">
        <f>IF(H71 + I70 &lt; 0, H71 + I70, 0)</f>
        <v>0</v>
      </c>
      <c r="J71" s="1">
        <v>0</v>
      </c>
      <c r="K71" s="1">
        <f>IF(J71 + K70 &lt; 0, J71 + K70, 0)</f>
        <v>0</v>
      </c>
      <c r="L71" s="1">
        <v>0</v>
      </c>
      <c r="M71" s="1">
        <f>IF(L71 + M70 &lt; 0, L71 + M70, 0)</f>
        <v>0</v>
      </c>
      <c r="N71" s="1">
        <v>0</v>
      </c>
      <c r="O71" s="1">
        <f>IF(N71 + O70 &lt; 0, N71 + O70, 0)</f>
        <v>0</v>
      </c>
      <c r="P71" s="1">
        <v>1014353.863669927</v>
      </c>
      <c r="Q71" s="1">
        <f>IF(P71 + Q70 &lt; 0, P71 + Q70, 0)</f>
        <v>0</v>
      </c>
    </row>
    <row r="72" spans="1:17" s="1" customFormat="1">
      <c r="A72" s="3">
        <v>45397</v>
      </c>
      <c r="B72" s="1" t="s">
        <v>22</v>
      </c>
      <c r="C72" s="1">
        <v>11</v>
      </c>
      <c r="D72" s="1">
        <v>11</v>
      </c>
      <c r="E72" s="1">
        <v>0</v>
      </c>
      <c r="F72" s="1">
        <v>0</v>
      </c>
      <c r="G72" s="1">
        <v>0</v>
      </c>
      <c r="H72" s="1">
        <v>0</v>
      </c>
      <c r="I72" s="1">
        <f>IF(H72 + I71 &lt; 0, H72 + I71, 0)</f>
        <v>0</v>
      </c>
      <c r="J72" s="1">
        <v>0</v>
      </c>
      <c r="K72" s="1">
        <f>IF(J72 + K71 &lt; 0, J72 + K71, 0)</f>
        <v>0</v>
      </c>
      <c r="L72" s="1">
        <v>0</v>
      </c>
      <c r="M72" s="1">
        <f>IF(L72 + M71 &lt; 0, L72 + M71, 0)</f>
        <v>0</v>
      </c>
      <c r="N72" s="1">
        <v>0</v>
      </c>
      <c r="O72" s="1">
        <f>IF(N72 + O71 &lt; 0, N72 + O71, 0)</f>
        <v>0</v>
      </c>
      <c r="P72" s="1">
        <v>0</v>
      </c>
      <c r="Q72" s="1">
        <f>IF(P72 + Q71 &lt; 0, P72 + Q71, 0)</f>
        <v>0</v>
      </c>
    </row>
    <row r="73" spans="1:17" s="1" customFormat="1">
      <c r="A73" s="3">
        <v>45398</v>
      </c>
      <c r="B73" s="1" t="s">
        <v>23</v>
      </c>
      <c r="C73" s="1">
        <v>10</v>
      </c>
      <c r="D73" s="1">
        <v>10</v>
      </c>
      <c r="E73" s="1">
        <v>0</v>
      </c>
      <c r="F73" s="1">
        <v>0</v>
      </c>
      <c r="G73" s="1">
        <v>0</v>
      </c>
      <c r="H73" s="1">
        <v>0</v>
      </c>
      <c r="I73" s="1">
        <f>IF(H73 + I72 &lt; 0, H73 + I72, 0)</f>
        <v>0</v>
      </c>
      <c r="J73" s="1">
        <v>0</v>
      </c>
      <c r="K73" s="1">
        <f>IF(J73 + K72 &lt; 0, J73 + K72, 0)</f>
        <v>0</v>
      </c>
      <c r="L73" s="1">
        <v>0</v>
      </c>
      <c r="M73" s="1">
        <f>IF(L73 + M72 &lt; 0, L73 + M72, 0)</f>
        <v>0</v>
      </c>
      <c r="N73" s="1">
        <v>0</v>
      </c>
      <c r="O73" s="1">
        <f>IF(N73 + O72 &lt; 0, N73 + O72, 0)</f>
        <v>0</v>
      </c>
      <c r="P73" s="1">
        <v>0</v>
      </c>
      <c r="Q73" s="1">
        <f>IF(P73 + Q72 &lt; 0, P73 + Q72, 0)</f>
        <v>0</v>
      </c>
    </row>
    <row r="74" spans="1:17" s="1" customFormat="1">
      <c r="A74" s="3">
        <v>45400</v>
      </c>
      <c r="B74" s="1" t="s">
        <v>25</v>
      </c>
      <c r="C74" s="1">
        <v>9</v>
      </c>
      <c r="D74" s="1">
        <v>9</v>
      </c>
      <c r="E74" s="1">
        <v>0</v>
      </c>
      <c r="F74" s="1">
        <v>0</v>
      </c>
      <c r="G74" s="1">
        <v>0</v>
      </c>
      <c r="H74" s="1">
        <v>0</v>
      </c>
      <c r="I74" s="1">
        <f>IF(H74 + I73 &lt; 0, H74 + I73, 0)</f>
        <v>0</v>
      </c>
      <c r="J74" s="1">
        <v>0</v>
      </c>
      <c r="K74" s="1">
        <f>IF(J74 + K73 &lt; 0, J74 + K73, 0)</f>
        <v>0</v>
      </c>
      <c r="L74" s="1">
        <v>-4630822.015574136</v>
      </c>
      <c r="M74" s="1">
        <f>IF(L74 + M73 &lt; 0, L74 + M73, 0)</f>
        <v>0</v>
      </c>
      <c r="N74" s="1">
        <v>0</v>
      </c>
      <c r="O74" s="1">
        <f>IF(N74 + O73 &lt; 0, N74 + O73, 0)</f>
        <v>0</v>
      </c>
      <c r="P74" s="1">
        <v>0</v>
      </c>
      <c r="Q74" s="1">
        <f>IF(P74 + Q73 &lt; 0, P74 + Q73, 0)</f>
        <v>0</v>
      </c>
    </row>
    <row r="75" spans="1:17" s="1" customFormat="1">
      <c r="A75" s="3">
        <v>45401</v>
      </c>
      <c r="B75" s="1" t="s">
        <v>26</v>
      </c>
      <c r="C75" s="1">
        <v>8</v>
      </c>
      <c r="D75" s="1">
        <v>8</v>
      </c>
      <c r="E75" s="1">
        <v>0</v>
      </c>
      <c r="F75" s="1">
        <v>0</v>
      </c>
      <c r="G75" s="1">
        <v>0</v>
      </c>
      <c r="H75" s="1">
        <v>0</v>
      </c>
      <c r="I75" s="1">
        <f>IF(H75 + I74 &lt; 0, H75 + I74, 0)</f>
        <v>0</v>
      </c>
      <c r="J75" s="1">
        <v>0</v>
      </c>
      <c r="K75" s="1">
        <f>IF(J75 + K74 &lt; 0, J75 + K74, 0)</f>
        <v>0</v>
      </c>
      <c r="L75" s="1">
        <v>0</v>
      </c>
      <c r="M75" s="1">
        <f>IF(L75 + M74 &lt; 0, L75 + M74, 0)</f>
        <v>0</v>
      </c>
      <c r="N75" s="1">
        <v>0</v>
      </c>
      <c r="O75" s="1">
        <f>IF(N75 + O74 &lt; 0, N75 + O74, 0)</f>
        <v>0</v>
      </c>
      <c r="P75" s="1">
        <v>-2209556.059873274</v>
      </c>
      <c r="Q75" s="1">
        <f>IF(P75 + Q74 &lt; 0, P75 + Q74, 0)</f>
        <v>0</v>
      </c>
    </row>
    <row r="76" spans="1:17" s="1" customFormat="1">
      <c r="A76" s="3">
        <v>45404</v>
      </c>
      <c r="B76" s="1" t="s">
        <v>22</v>
      </c>
      <c r="C76" s="1">
        <v>7</v>
      </c>
      <c r="D76" s="1">
        <v>7</v>
      </c>
      <c r="E76" s="1">
        <v>0</v>
      </c>
      <c r="F76" s="1">
        <v>0</v>
      </c>
      <c r="G76" s="1">
        <v>0</v>
      </c>
      <c r="H76" s="1">
        <v>0</v>
      </c>
      <c r="I76" s="1">
        <f>IF(H76 + I75 &lt; 0, H76 + I75, 0)</f>
        <v>0</v>
      </c>
      <c r="J76" s="1">
        <v>0</v>
      </c>
      <c r="K76" s="1">
        <f>IF(J76 + K75 &lt; 0, J76 + K75, 0)</f>
        <v>0</v>
      </c>
      <c r="L76" s="1">
        <v>0</v>
      </c>
      <c r="M76" s="1">
        <f>IF(L76 + M75 &lt; 0, L76 + M75, 0)</f>
        <v>0</v>
      </c>
      <c r="N76" s="1">
        <v>0</v>
      </c>
      <c r="O76" s="1">
        <f>IF(N76 + O75 &lt; 0, N76 + O75, 0)</f>
        <v>0</v>
      </c>
      <c r="P76" s="1">
        <v>0</v>
      </c>
      <c r="Q76" s="1">
        <f>IF(P76 + Q75 &lt; 0, P76 + Q75, 0)</f>
        <v>0</v>
      </c>
    </row>
    <row r="77" spans="1:17" s="1" customFormat="1">
      <c r="A77" s="3">
        <v>45405</v>
      </c>
      <c r="B77" s="1" t="s">
        <v>23</v>
      </c>
      <c r="C77" s="1">
        <v>6</v>
      </c>
      <c r="D77" s="1">
        <v>6</v>
      </c>
      <c r="E77" s="1">
        <v>0</v>
      </c>
      <c r="F77" s="1">
        <v>0</v>
      </c>
      <c r="G77" s="1">
        <v>0</v>
      </c>
      <c r="H77" s="1">
        <v>0</v>
      </c>
      <c r="I77" s="1">
        <f>IF(H77 + I76 &lt; 0, H77 + I76, 0)</f>
        <v>0</v>
      </c>
      <c r="J77" s="1">
        <v>0</v>
      </c>
      <c r="K77" s="1">
        <f>IF(J77 + K76 &lt; 0, J77 + K76, 0)</f>
        <v>0</v>
      </c>
      <c r="L77" s="1">
        <v>0</v>
      </c>
      <c r="M77" s="1">
        <f>IF(L77 + M76 &lt; 0, L77 + M76, 0)</f>
        <v>0</v>
      </c>
      <c r="N77" s="1">
        <v>0</v>
      </c>
      <c r="O77" s="1">
        <f>IF(N77 + O76 &lt; 0, N77 + O76, 0)</f>
        <v>0</v>
      </c>
      <c r="P77" s="1">
        <v>0</v>
      </c>
      <c r="Q77" s="1">
        <f>IF(P77 + Q76 &lt; 0, P77 + Q76, 0)</f>
        <v>0</v>
      </c>
    </row>
    <row r="78" spans="1:17" s="1" customFormat="1">
      <c r="A78" s="3">
        <v>45406</v>
      </c>
      <c r="B78" s="1" t="s">
        <v>24</v>
      </c>
      <c r="C78" s="1">
        <v>5</v>
      </c>
      <c r="D78" s="1">
        <v>5</v>
      </c>
      <c r="E78" s="1">
        <v>0</v>
      </c>
      <c r="F78" s="1">
        <v>0</v>
      </c>
      <c r="G78" s="1">
        <v>0</v>
      </c>
      <c r="H78" s="1">
        <v>0</v>
      </c>
      <c r="I78" s="1">
        <f>IF(H78 + I77 &lt; 0, H78 + I77, 0)</f>
        <v>0</v>
      </c>
      <c r="J78" s="1">
        <v>0</v>
      </c>
      <c r="K78" s="1">
        <f>IF(J78 + K77 &lt; 0, J78 + K77, 0)</f>
        <v>0</v>
      </c>
      <c r="L78" s="1">
        <v>0</v>
      </c>
      <c r="M78" s="1">
        <f>IF(L78 + M77 &lt; 0, L78 + M77, 0)</f>
        <v>0</v>
      </c>
      <c r="N78" s="1">
        <v>0</v>
      </c>
      <c r="O78" s="1">
        <f>IF(N78 + O77 &lt; 0, N78 + O77, 0)</f>
        <v>0</v>
      </c>
      <c r="P78" s="1">
        <v>0</v>
      </c>
      <c r="Q78" s="1">
        <f>IF(P78 + Q77 &lt; 0, P78 + Q77, 0)</f>
        <v>0</v>
      </c>
    </row>
    <row r="79" spans="1:17" s="1" customFormat="1">
      <c r="A79" s="3">
        <v>45407</v>
      </c>
      <c r="B79" s="1" t="s">
        <v>25</v>
      </c>
      <c r="C79" s="1">
        <v>4</v>
      </c>
      <c r="D79" s="1">
        <v>4</v>
      </c>
      <c r="E79" s="1">
        <v>0</v>
      </c>
      <c r="F79" s="1">
        <v>0</v>
      </c>
      <c r="G79" s="1">
        <v>0</v>
      </c>
      <c r="H79" s="1">
        <v>0</v>
      </c>
      <c r="I79" s="1">
        <f>IF(H79 + I78 &lt; 0, H79 + I78, 0)</f>
        <v>0</v>
      </c>
      <c r="J79" s="1">
        <v>0</v>
      </c>
      <c r="K79" s="1">
        <f>IF(J79 + K78 &lt; 0, J79 + K78, 0)</f>
        <v>0</v>
      </c>
      <c r="L79" s="1">
        <v>-143113.1521758689</v>
      </c>
      <c r="M79" s="1">
        <f>IF(L79 + M78 &lt; 0, L79 + M78, 0)</f>
        <v>0</v>
      </c>
      <c r="N79" s="1">
        <v>0</v>
      </c>
      <c r="O79" s="1">
        <f>IF(N79 + O78 &lt; 0, N79 + O78, 0)</f>
        <v>0</v>
      </c>
      <c r="P79" s="1">
        <v>0</v>
      </c>
      <c r="Q79" s="1">
        <f>IF(P79 + Q78 &lt; 0, P79 + Q78, 0)</f>
        <v>0</v>
      </c>
    </row>
    <row r="80" spans="1:17" s="1" customFormat="1">
      <c r="A80" s="3">
        <v>45408</v>
      </c>
      <c r="B80" s="1" t="s">
        <v>26</v>
      </c>
      <c r="C80" s="1">
        <v>3</v>
      </c>
      <c r="D80" s="1">
        <v>3</v>
      </c>
      <c r="E80" s="1">
        <v>0</v>
      </c>
      <c r="F80" s="1">
        <v>0</v>
      </c>
      <c r="G80" s="1">
        <v>0</v>
      </c>
      <c r="H80" s="1">
        <v>0</v>
      </c>
      <c r="I80" s="1">
        <f>IF(H80 + I79 &lt; 0, H80 + I79, 0)</f>
        <v>0</v>
      </c>
      <c r="J80" s="1">
        <v>0</v>
      </c>
      <c r="K80" s="1">
        <f>IF(J80 + K79 &lt; 0, J80 + K79, 0)</f>
        <v>0</v>
      </c>
      <c r="L80" s="1">
        <v>0</v>
      </c>
      <c r="M80" s="1">
        <f>IF(L80 + M79 &lt; 0, L80 + M79, 0)</f>
        <v>0</v>
      </c>
      <c r="N80" s="1">
        <v>0</v>
      </c>
      <c r="O80" s="1">
        <f>IF(N80 + O79 &lt; 0, N80 + O79, 0)</f>
        <v>0</v>
      </c>
      <c r="P80" s="1">
        <v>1820656.788113103</v>
      </c>
      <c r="Q80" s="1">
        <f>IF(P80 + Q79 &lt; 0, P80 + Q79, 0)</f>
        <v>0</v>
      </c>
    </row>
    <row r="81" spans="1:17" s="1" customFormat="1">
      <c r="A81" s="3">
        <v>45411</v>
      </c>
      <c r="B81" s="1" t="s">
        <v>22</v>
      </c>
      <c r="C81" s="1">
        <v>2</v>
      </c>
      <c r="D81" s="1">
        <v>2</v>
      </c>
      <c r="E81" s="1">
        <v>0</v>
      </c>
      <c r="F81" s="1">
        <v>0</v>
      </c>
      <c r="G81" s="1">
        <v>0</v>
      </c>
      <c r="H81" s="1">
        <v>0</v>
      </c>
      <c r="I81" s="1">
        <f>IF(H81 + I80 &lt; 0, H81 + I80, 0)</f>
        <v>0</v>
      </c>
      <c r="J81" s="1">
        <v>0</v>
      </c>
      <c r="K81" s="1">
        <f>IF(J81 + K80 &lt; 0, J81 + K80, 0)</f>
        <v>0</v>
      </c>
      <c r="L81" s="1">
        <v>0</v>
      </c>
      <c r="M81" s="1">
        <f>IF(L81 + M80 &lt; 0, L81 + M80, 0)</f>
        <v>0</v>
      </c>
      <c r="N81" s="1">
        <v>0</v>
      </c>
      <c r="O81" s="1">
        <f>IF(N81 + O80 &lt; 0, N81 + O80, 0)</f>
        <v>0</v>
      </c>
      <c r="P81" s="1">
        <v>0</v>
      </c>
      <c r="Q81" s="1">
        <f>IF(P81 + Q80 &lt; 0, P81 + Q80, 0)</f>
        <v>0</v>
      </c>
    </row>
    <row r="82" spans="1:17" s="1" customFormat="1">
      <c r="A82" s="3">
        <v>45412</v>
      </c>
      <c r="B82" s="1" t="s">
        <v>23</v>
      </c>
      <c r="C82" s="1">
        <v>1</v>
      </c>
      <c r="D82" s="1">
        <v>1</v>
      </c>
      <c r="E82" s="1">
        <v>0</v>
      </c>
      <c r="F82" s="1">
        <v>0</v>
      </c>
      <c r="G82" s="1">
        <v>0</v>
      </c>
      <c r="H82" s="1">
        <v>0</v>
      </c>
      <c r="I82" s="1">
        <f>IF(H82 + I81 &lt; 0, H82 + I81, 0)</f>
        <v>0</v>
      </c>
      <c r="J82" s="1">
        <v>0</v>
      </c>
      <c r="K82" s="1">
        <f>IF(J82 + K81 &lt; 0, J82 + K81, 0)</f>
        <v>0</v>
      </c>
      <c r="L82" s="1">
        <v>0</v>
      </c>
      <c r="M82" s="1">
        <f>IF(L82 + M81 &lt; 0, L82 + M81, 0)</f>
        <v>0</v>
      </c>
      <c r="N82" s="1">
        <v>0</v>
      </c>
      <c r="O82" s="1">
        <f>IF(N82 + O81 &lt; 0, N82 + O81, 0)</f>
        <v>0</v>
      </c>
      <c r="P82" s="1">
        <v>0</v>
      </c>
      <c r="Q82" s="1">
        <f>IF(P82 + Q81 &lt; 0, P82 + Q81, 0)</f>
        <v>0</v>
      </c>
    </row>
    <row r="83" spans="1:17" s="1" customFormat="1">
      <c r="A83" s="3">
        <v>45414</v>
      </c>
      <c r="B83" s="1" t="s">
        <v>25</v>
      </c>
      <c r="C83" s="1">
        <v>19</v>
      </c>
      <c r="D83" s="1">
        <v>18</v>
      </c>
      <c r="E83" s="1">
        <v>0</v>
      </c>
      <c r="F83" s="1">
        <v>0</v>
      </c>
      <c r="G83" s="1">
        <v>0</v>
      </c>
      <c r="H83" s="1">
        <v>0</v>
      </c>
      <c r="I83" s="1">
        <f>IF(H83 + I82 &lt; 0, H83 + I82, 0)</f>
        <v>0</v>
      </c>
      <c r="J83" s="1">
        <v>0</v>
      </c>
      <c r="K83" s="1">
        <f>IF(J83 + K82 &lt; 0, J83 + K82, 0)</f>
        <v>0</v>
      </c>
      <c r="L83" s="1">
        <v>1601740.291557175</v>
      </c>
      <c r="M83" s="1">
        <f>IF(L83 + M82 &lt; 0, L83 + M82, 0)</f>
        <v>0</v>
      </c>
      <c r="N83" s="1">
        <v>0</v>
      </c>
      <c r="O83" s="1">
        <f>IF(N83 + O82 &lt; 0, N83 + O82, 0)</f>
        <v>0</v>
      </c>
      <c r="P83" s="1">
        <v>0</v>
      </c>
      <c r="Q83" s="1">
        <f>IF(P83 + Q82 &lt; 0, P83 + Q82, 0)</f>
        <v>0</v>
      </c>
    </row>
    <row r="84" spans="1:17" s="1" customFormat="1">
      <c r="A84" s="3">
        <v>45415</v>
      </c>
      <c r="B84" s="1" t="s">
        <v>26</v>
      </c>
      <c r="C84" s="1">
        <v>18</v>
      </c>
      <c r="D84" s="1">
        <v>17</v>
      </c>
      <c r="E84" s="1">
        <v>0</v>
      </c>
      <c r="F84" s="1">
        <v>0</v>
      </c>
      <c r="G84" s="1">
        <v>0</v>
      </c>
      <c r="H84" s="1">
        <v>0</v>
      </c>
      <c r="I84" s="1">
        <f>IF(H84 + I83 &lt; 0, H84 + I83, 0)</f>
        <v>0</v>
      </c>
      <c r="J84" s="1">
        <v>0</v>
      </c>
      <c r="K84" s="1">
        <f>IF(J84 + K83 &lt; 0, J84 + K83, 0)</f>
        <v>0</v>
      </c>
      <c r="L84" s="1">
        <v>0</v>
      </c>
      <c r="M84" s="1">
        <f>IF(L84 + M83 &lt; 0, L84 + M83, 0)</f>
        <v>0</v>
      </c>
      <c r="N84" s="1">
        <v>0</v>
      </c>
      <c r="O84" s="1">
        <f>IF(N84 + O83 &lt; 0, N84 + O83, 0)</f>
        <v>0</v>
      </c>
      <c r="P84" s="1">
        <v>211869.0363131108</v>
      </c>
      <c r="Q84" s="1">
        <f>IF(P84 + Q83 &lt; 0, P84 + Q83, 0)</f>
        <v>0</v>
      </c>
    </row>
    <row r="85" spans="1:17" s="1" customFormat="1">
      <c r="A85" s="3">
        <v>45418</v>
      </c>
      <c r="B85" s="1" t="s">
        <v>22</v>
      </c>
      <c r="C85" s="1">
        <v>17</v>
      </c>
      <c r="D85" s="1">
        <v>16</v>
      </c>
      <c r="E85" s="1">
        <v>0</v>
      </c>
      <c r="F85" s="1">
        <v>0</v>
      </c>
      <c r="G85" s="1">
        <v>0</v>
      </c>
      <c r="H85" s="1">
        <v>0</v>
      </c>
      <c r="I85" s="1">
        <f>IF(H85 + I84 &lt; 0, H85 + I84, 0)</f>
        <v>0</v>
      </c>
      <c r="J85" s="1">
        <v>0</v>
      </c>
      <c r="K85" s="1">
        <f>IF(J85 + K84 &lt; 0, J85 + K84, 0)</f>
        <v>0</v>
      </c>
      <c r="L85" s="1">
        <v>0</v>
      </c>
      <c r="M85" s="1">
        <f>IF(L85 + M84 &lt; 0, L85 + M84, 0)</f>
        <v>0</v>
      </c>
      <c r="N85" s="1">
        <v>0</v>
      </c>
      <c r="O85" s="1">
        <f>IF(N85 + O84 &lt; 0, N85 + O84, 0)</f>
        <v>0</v>
      </c>
      <c r="P85" s="1">
        <v>0</v>
      </c>
      <c r="Q85" s="1">
        <f>IF(P85 + Q84 &lt; 0, P85 + Q84, 0)</f>
        <v>0</v>
      </c>
    </row>
    <row r="86" spans="1:17" s="1" customFormat="1">
      <c r="A86" s="3">
        <v>45419</v>
      </c>
      <c r="B86" s="1" t="s">
        <v>23</v>
      </c>
      <c r="C86" s="1">
        <v>16</v>
      </c>
      <c r="D86" s="1">
        <v>15</v>
      </c>
      <c r="E86" s="1">
        <v>0</v>
      </c>
      <c r="F86" s="1">
        <v>0</v>
      </c>
      <c r="G86" s="1">
        <v>0</v>
      </c>
      <c r="H86" s="1">
        <v>0</v>
      </c>
      <c r="I86" s="1">
        <f>IF(H86 + I85 &lt; 0, H86 + I85, 0)</f>
        <v>0</v>
      </c>
      <c r="J86" s="1">
        <v>0</v>
      </c>
      <c r="K86" s="1">
        <f>IF(J86 + K85 &lt; 0, J86 + K85, 0)</f>
        <v>0</v>
      </c>
      <c r="L86" s="1">
        <v>0</v>
      </c>
      <c r="M86" s="1">
        <f>IF(L86 + M85 &lt; 0, L86 + M85, 0)</f>
        <v>0</v>
      </c>
      <c r="N86" s="1">
        <v>0</v>
      </c>
      <c r="O86" s="1">
        <f>IF(N86 + O85 &lt; 0, N86 + O85, 0)</f>
        <v>0</v>
      </c>
      <c r="P86" s="1">
        <v>0</v>
      </c>
      <c r="Q86" s="1">
        <f>IF(P86 + Q85 &lt; 0, P86 + Q85, 0)</f>
        <v>0</v>
      </c>
    </row>
    <row r="87" spans="1:17" s="1" customFormat="1">
      <c r="A87" s="3">
        <v>45420</v>
      </c>
      <c r="B87" s="1" t="s">
        <v>24</v>
      </c>
      <c r="C87" s="1">
        <v>15</v>
      </c>
      <c r="D87" s="1">
        <v>14</v>
      </c>
      <c r="E87" s="1">
        <v>0</v>
      </c>
      <c r="F87" s="1">
        <v>0</v>
      </c>
      <c r="G87" s="1">
        <v>0</v>
      </c>
      <c r="H87" s="1">
        <v>0</v>
      </c>
      <c r="I87" s="1">
        <f>IF(H87 + I86 &lt; 0, H87 + I86, 0)</f>
        <v>0</v>
      </c>
      <c r="J87" s="1">
        <v>0</v>
      </c>
      <c r="K87" s="1">
        <f>IF(J87 + K86 &lt; 0, J87 + K86, 0)</f>
        <v>0</v>
      </c>
      <c r="L87" s="1">
        <v>0</v>
      </c>
      <c r="M87" s="1">
        <f>IF(L87 + M86 &lt; 0, L87 + M86, 0)</f>
        <v>0</v>
      </c>
      <c r="N87" s="1">
        <v>0</v>
      </c>
      <c r="O87" s="1">
        <f>IF(N87 + O86 &lt; 0, N87 + O86, 0)</f>
        <v>0</v>
      </c>
      <c r="P87" s="1">
        <v>0</v>
      </c>
      <c r="Q87" s="1">
        <f>IF(P87 + Q86 &lt; 0, P87 + Q86, 0)</f>
        <v>0</v>
      </c>
    </row>
    <row r="88" spans="1:17" s="1" customFormat="1">
      <c r="A88" s="3">
        <v>45421</v>
      </c>
      <c r="B88" s="1" t="s">
        <v>25</v>
      </c>
      <c r="C88" s="1">
        <v>14</v>
      </c>
      <c r="D88" s="1">
        <v>13</v>
      </c>
      <c r="E88" s="1">
        <v>0</v>
      </c>
      <c r="F88" s="1">
        <v>0</v>
      </c>
      <c r="G88" s="1">
        <v>0</v>
      </c>
      <c r="H88" s="1">
        <v>0</v>
      </c>
      <c r="I88" s="1">
        <f>IF(H88 + I87 &lt; 0, H88 + I87, 0)</f>
        <v>0</v>
      </c>
      <c r="J88" s="1">
        <v>0</v>
      </c>
      <c r="K88" s="1">
        <f>IF(J88 + K87 &lt; 0, J88 + K87, 0)</f>
        <v>0</v>
      </c>
      <c r="L88" s="1">
        <v>-170889.4396194325</v>
      </c>
      <c r="M88" s="1">
        <f>IF(L88 + M87 &lt; 0, L88 + M87, 0)</f>
        <v>0</v>
      </c>
      <c r="N88" s="1">
        <v>0</v>
      </c>
      <c r="O88" s="1">
        <f>IF(N88 + O87 &lt; 0, N88 + O87, 0)</f>
        <v>0</v>
      </c>
      <c r="P88" s="1">
        <v>0</v>
      </c>
      <c r="Q88" s="1">
        <f>IF(P88 + Q87 &lt; 0, P88 + Q87, 0)</f>
        <v>0</v>
      </c>
    </row>
    <row r="89" spans="1:17" s="1" customFormat="1">
      <c r="A89" s="3">
        <v>45422</v>
      </c>
      <c r="B89" s="1" t="s">
        <v>26</v>
      </c>
      <c r="C89" s="1">
        <v>13</v>
      </c>
      <c r="D89" s="1">
        <v>12</v>
      </c>
      <c r="E89" s="1">
        <v>0</v>
      </c>
      <c r="F89" s="1">
        <v>0</v>
      </c>
      <c r="G89" s="1">
        <v>0</v>
      </c>
      <c r="H89" s="1">
        <v>0</v>
      </c>
      <c r="I89" s="1">
        <f>IF(H89 + I88 &lt; 0, H89 + I88, 0)</f>
        <v>0</v>
      </c>
      <c r="J89" s="1">
        <v>0</v>
      </c>
      <c r="K89" s="1">
        <f>IF(J89 + K88 &lt; 0, J89 + K88, 0)</f>
        <v>0</v>
      </c>
      <c r="L89" s="1">
        <v>0</v>
      </c>
      <c r="M89" s="1">
        <f>IF(L89 + M88 &lt; 0, L89 + M88, 0)</f>
        <v>0</v>
      </c>
      <c r="N89" s="1">
        <v>0</v>
      </c>
      <c r="O89" s="1">
        <f>IF(N89 + O88 &lt; 0, N89 + O88, 0)</f>
        <v>0</v>
      </c>
      <c r="P89" s="1">
        <v>1309683.299414976</v>
      </c>
      <c r="Q89" s="1">
        <f>IF(P89 + Q88 &lt; 0, P89 + Q88, 0)</f>
        <v>0</v>
      </c>
    </row>
    <row r="90" spans="1:17" s="1" customFormat="1">
      <c r="A90" s="3">
        <v>45425</v>
      </c>
      <c r="B90" s="1" t="s">
        <v>22</v>
      </c>
      <c r="C90" s="1">
        <v>12</v>
      </c>
      <c r="D90" s="1">
        <v>11</v>
      </c>
      <c r="E90" s="1">
        <v>0</v>
      </c>
      <c r="F90" s="1">
        <v>0</v>
      </c>
      <c r="G90" s="1">
        <v>0</v>
      </c>
      <c r="H90" s="1">
        <v>0</v>
      </c>
      <c r="I90" s="1">
        <f>IF(H90 + I89 &lt; 0, H90 + I89, 0)</f>
        <v>0</v>
      </c>
      <c r="J90" s="1">
        <v>0</v>
      </c>
      <c r="K90" s="1">
        <f>IF(J90 + K89 &lt; 0, J90 + K89, 0)</f>
        <v>0</v>
      </c>
      <c r="L90" s="1">
        <v>0</v>
      </c>
      <c r="M90" s="1">
        <f>IF(L90 + M89 &lt; 0, L90 + M89, 0)</f>
        <v>0</v>
      </c>
      <c r="N90" s="1">
        <v>0</v>
      </c>
      <c r="O90" s="1">
        <f>IF(N90 + O89 &lt; 0, N90 + O89, 0)</f>
        <v>0</v>
      </c>
      <c r="P90" s="1">
        <v>0</v>
      </c>
      <c r="Q90" s="1">
        <f>IF(P90 + Q89 &lt; 0, P90 + Q89, 0)</f>
        <v>0</v>
      </c>
    </row>
    <row r="91" spans="1:17" s="1" customFormat="1">
      <c r="A91" s="3">
        <v>45426</v>
      </c>
      <c r="B91" s="1" t="s">
        <v>23</v>
      </c>
      <c r="C91" s="1">
        <v>11</v>
      </c>
      <c r="D91" s="1">
        <v>10</v>
      </c>
      <c r="E91" s="1">
        <v>0</v>
      </c>
      <c r="F91" s="1">
        <v>0</v>
      </c>
      <c r="G91" s="1">
        <v>0</v>
      </c>
      <c r="H91" s="1">
        <v>0</v>
      </c>
      <c r="I91" s="1">
        <f>IF(H91 + I90 &lt; 0, H91 + I90, 0)</f>
        <v>0</v>
      </c>
      <c r="J91" s="1">
        <v>0</v>
      </c>
      <c r="K91" s="1">
        <f>IF(J91 + K90 &lt; 0, J91 + K90, 0)</f>
        <v>0</v>
      </c>
      <c r="L91" s="1">
        <v>0</v>
      </c>
      <c r="M91" s="1">
        <f>IF(L91 + M90 &lt; 0, L91 + M90, 0)</f>
        <v>0</v>
      </c>
      <c r="N91" s="1">
        <v>0</v>
      </c>
      <c r="O91" s="1">
        <f>IF(N91 + O90 &lt; 0, N91 + O90, 0)</f>
        <v>0</v>
      </c>
      <c r="P91" s="1">
        <v>0</v>
      </c>
      <c r="Q91" s="1">
        <f>IF(P91 + Q90 &lt; 0, P91 + Q90, 0)</f>
        <v>0</v>
      </c>
    </row>
    <row r="92" spans="1:17" s="1" customFormat="1">
      <c r="A92" s="3">
        <v>45427</v>
      </c>
      <c r="B92" s="1" t="s">
        <v>24</v>
      </c>
      <c r="C92" s="1">
        <v>10</v>
      </c>
      <c r="D92" s="1">
        <v>9</v>
      </c>
      <c r="E92" s="1">
        <v>0</v>
      </c>
      <c r="F92" s="1">
        <v>0</v>
      </c>
      <c r="G92" s="1">
        <v>0</v>
      </c>
      <c r="H92" s="1">
        <v>0</v>
      </c>
      <c r="I92" s="1">
        <f>IF(H92 + I91 &lt; 0, H92 + I91, 0)</f>
        <v>0</v>
      </c>
      <c r="J92" s="1">
        <v>0</v>
      </c>
      <c r="K92" s="1">
        <f>IF(J92 + K91 &lt; 0, J92 + K91, 0)</f>
        <v>0</v>
      </c>
      <c r="L92" s="1">
        <v>0</v>
      </c>
      <c r="M92" s="1">
        <f>IF(L92 + M91 &lt; 0, L92 + M91, 0)</f>
        <v>0</v>
      </c>
      <c r="N92" s="1">
        <v>0</v>
      </c>
      <c r="O92" s="1">
        <f>IF(N92 + O91 &lt; 0, N92 + O91, 0)</f>
        <v>0</v>
      </c>
      <c r="P92" s="1">
        <v>0</v>
      </c>
      <c r="Q92" s="1">
        <f>IF(P92 + Q91 &lt; 0, P92 + Q91, 0)</f>
        <v>0</v>
      </c>
    </row>
    <row r="93" spans="1:17" s="1" customFormat="1">
      <c r="A93" s="3">
        <v>45428</v>
      </c>
      <c r="B93" s="1" t="s">
        <v>25</v>
      </c>
      <c r="C93" s="1">
        <v>9</v>
      </c>
      <c r="D93" s="1">
        <v>8</v>
      </c>
      <c r="E93" s="1">
        <v>0</v>
      </c>
      <c r="F93" s="1">
        <v>0</v>
      </c>
      <c r="G93" s="1">
        <v>0</v>
      </c>
      <c r="H93" s="1">
        <v>0</v>
      </c>
      <c r="I93" s="1">
        <f>IF(H93 + I92 &lt; 0, H93 + I92, 0)</f>
        <v>0</v>
      </c>
      <c r="J93" s="1">
        <v>0</v>
      </c>
      <c r="K93" s="1">
        <f>IF(J93 + K92 &lt; 0, J93 + K92, 0)</f>
        <v>0</v>
      </c>
      <c r="L93" s="1">
        <v>-229094.7504177426</v>
      </c>
      <c r="M93" s="1">
        <f>IF(L93 + M92 &lt; 0, L93 + M92, 0)</f>
        <v>0</v>
      </c>
      <c r="N93" s="1">
        <v>0</v>
      </c>
      <c r="O93" s="1">
        <f>IF(N93 + O92 &lt; 0, N93 + O92, 0)</f>
        <v>0</v>
      </c>
      <c r="P93" s="1">
        <v>0</v>
      </c>
      <c r="Q93" s="1">
        <f>IF(P93 + Q92 &lt; 0, P93 + Q92, 0)</f>
        <v>0</v>
      </c>
    </row>
    <row r="94" spans="1:17" s="1" customFormat="1">
      <c r="A94" s="3">
        <v>45429</v>
      </c>
      <c r="B94" s="1" t="s">
        <v>26</v>
      </c>
      <c r="C94" s="1">
        <v>8</v>
      </c>
      <c r="D94" s="1">
        <v>7</v>
      </c>
      <c r="E94" s="1">
        <v>0</v>
      </c>
      <c r="F94" s="1">
        <v>0</v>
      </c>
      <c r="G94" s="1">
        <v>0</v>
      </c>
      <c r="H94" s="1">
        <v>0</v>
      </c>
      <c r="I94" s="1">
        <f>IF(H94 + I93 &lt; 0, H94 + I93, 0)</f>
        <v>0</v>
      </c>
      <c r="J94" s="1">
        <v>0</v>
      </c>
      <c r="K94" s="1">
        <f>IF(J94 + K93 &lt; 0, J94 + K93, 0)</f>
        <v>0</v>
      </c>
      <c r="L94" s="1">
        <v>0</v>
      </c>
      <c r="M94" s="1">
        <f>IF(L94 + M93 &lt; 0, L94 + M93, 0)</f>
        <v>0</v>
      </c>
      <c r="N94" s="1">
        <v>0</v>
      </c>
      <c r="O94" s="1">
        <f>IF(N94 + O93 &lt; 0, N94 + O93, 0)</f>
        <v>0</v>
      </c>
      <c r="P94" s="1">
        <v>1957478.43812729</v>
      </c>
      <c r="Q94" s="1">
        <f>IF(P94 + Q93 &lt; 0, P94 + Q93, 0)</f>
        <v>0</v>
      </c>
    </row>
    <row r="95" spans="1:17" s="1" customFormat="1">
      <c r="A95" s="3">
        <v>45433</v>
      </c>
      <c r="B95" s="1" t="s">
        <v>23</v>
      </c>
      <c r="C95" s="1">
        <v>7</v>
      </c>
      <c r="D95" s="1">
        <v>6</v>
      </c>
      <c r="E95" s="1">
        <v>0</v>
      </c>
      <c r="F95" s="1">
        <v>0</v>
      </c>
      <c r="G95" s="1">
        <v>0</v>
      </c>
      <c r="H95" s="1">
        <v>0</v>
      </c>
      <c r="I95" s="1">
        <f>IF(H95 + I94 &lt; 0, H95 + I94, 0)</f>
        <v>0</v>
      </c>
      <c r="J95" s="1">
        <v>0</v>
      </c>
      <c r="K95" s="1">
        <f>IF(J95 + K94 &lt; 0, J95 + K94, 0)</f>
        <v>0</v>
      </c>
      <c r="L95" s="1">
        <v>0</v>
      </c>
      <c r="M95" s="1">
        <f>IF(L95 + M94 &lt; 0, L95 + M94, 0)</f>
        <v>0</v>
      </c>
      <c r="N95" s="1">
        <v>0</v>
      </c>
      <c r="O95" s="1">
        <f>IF(N95 + O94 &lt; 0, N95 + O94, 0)</f>
        <v>0</v>
      </c>
      <c r="P95" s="1">
        <v>0</v>
      </c>
      <c r="Q95" s="1">
        <f>IF(P95 + Q94 &lt; 0, P95 + Q94, 0)</f>
        <v>0</v>
      </c>
    </row>
    <row r="96" spans="1:17" s="1" customFormat="1">
      <c r="A96" s="3">
        <v>45434</v>
      </c>
      <c r="B96" s="1" t="s">
        <v>24</v>
      </c>
      <c r="C96" s="1">
        <v>6</v>
      </c>
      <c r="D96" s="1">
        <v>5</v>
      </c>
      <c r="E96" s="1">
        <v>0</v>
      </c>
      <c r="F96" s="1">
        <v>0</v>
      </c>
      <c r="G96" s="1">
        <v>0</v>
      </c>
      <c r="H96" s="1">
        <v>0</v>
      </c>
      <c r="I96" s="1">
        <f>IF(H96 + I95 &lt; 0, H96 + I95, 0)</f>
        <v>0</v>
      </c>
      <c r="J96" s="1">
        <v>0</v>
      </c>
      <c r="K96" s="1">
        <f>IF(J96 + K95 &lt; 0, J96 + K95, 0)</f>
        <v>0</v>
      </c>
      <c r="L96" s="1">
        <v>0</v>
      </c>
      <c r="M96" s="1">
        <f>IF(L96 + M95 &lt; 0, L96 + M95, 0)</f>
        <v>0</v>
      </c>
      <c r="N96" s="1">
        <v>0</v>
      </c>
      <c r="O96" s="1">
        <f>IF(N96 + O95 &lt; 0, N96 + O95, 0)</f>
        <v>0</v>
      </c>
      <c r="P96" s="1">
        <v>0</v>
      </c>
      <c r="Q96" s="1">
        <f>IF(P96 + Q95 &lt; 0, P96 + Q95, 0)</f>
        <v>0</v>
      </c>
    </row>
    <row r="97" spans="1:17" s="1" customFormat="1">
      <c r="A97" s="3">
        <v>45435</v>
      </c>
      <c r="B97" s="1" t="s">
        <v>25</v>
      </c>
      <c r="C97" s="1">
        <v>5</v>
      </c>
      <c r="D97" s="1">
        <v>4</v>
      </c>
      <c r="E97" s="1">
        <v>0</v>
      </c>
      <c r="F97" s="1">
        <v>0</v>
      </c>
      <c r="G97" s="1">
        <v>0</v>
      </c>
      <c r="H97" s="1">
        <v>0</v>
      </c>
      <c r="I97" s="1">
        <f>IF(H97 + I96 &lt; 0, H97 + I96, 0)</f>
        <v>0</v>
      </c>
      <c r="J97" s="1">
        <v>0</v>
      </c>
      <c r="K97" s="1">
        <f>IF(J97 + K96 &lt; 0, J97 + K96, 0)</f>
        <v>0</v>
      </c>
      <c r="L97" s="1">
        <v>425478.1358754912</v>
      </c>
      <c r="M97" s="1">
        <f>IF(L97 + M96 &lt; 0, L97 + M96, 0)</f>
        <v>0</v>
      </c>
      <c r="N97" s="1">
        <v>0</v>
      </c>
      <c r="O97" s="1">
        <f>IF(N97 + O96 &lt; 0, N97 + O96, 0)</f>
        <v>0</v>
      </c>
      <c r="P97" s="1">
        <v>0</v>
      </c>
      <c r="Q97" s="1">
        <f>IF(P97 + Q96 &lt; 0, P97 + Q96, 0)</f>
        <v>0</v>
      </c>
    </row>
    <row r="98" spans="1:17" s="1" customFormat="1">
      <c r="A98" s="3">
        <v>45436</v>
      </c>
      <c r="B98" s="1" t="s">
        <v>26</v>
      </c>
      <c r="C98" s="1">
        <v>4</v>
      </c>
      <c r="D98" s="1">
        <v>3</v>
      </c>
      <c r="E98" s="1">
        <v>0</v>
      </c>
      <c r="F98" s="1">
        <v>0</v>
      </c>
      <c r="G98" s="1">
        <v>0</v>
      </c>
      <c r="H98" s="1">
        <v>0</v>
      </c>
      <c r="I98" s="1">
        <f>IF(H98 + I97 &lt; 0, H98 + I97, 0)</f>
        <v>0</v>
      </c>
      <c r="J98" s="1">
        <v>0</v>
      </c>
      <c r="K98" s="1">
        <f>IF(J98 + K97 &lt; 0, J98 + K97, 0)</f>
        <v>0</v>
      </c>
      <c r="L98" s="1">
        <v>0</v>
      </c>
      <c r="M98" s="1">
        <f>IF(L98 + M97 &lt; 0, L98 + M97, 0)</f>
        <v>0</v>
      </c>
      <c r="N98" s="1">
        <v>0</v>
      </c>
      <c r="O98" s="1">
        <f>IF(N98 + O97 &lt; 0, N98 + O97, 0)</f>
        <v>0</v>
      </c>
      <c r="P98" s="1">
        <v>876149.8849243632</v>
      </c>
      <c r="Q98" s="1">
        <f>IF(P98 + Q97 &lt; 0, P98 + Q97, 0)</f>
        <v>0</v>
      </c>
    </row>
    <row r="99" spans="1:17" s="1" customFormat="1">
      <c r="A99" s="3">
        <v>45439</v>
      </c>
      <c r="B99" s="1" t="s">
        <v>22</v>
      </c>
      <c r="C99" s="1">
        <v>3</v>
      </c>
      <c r="D99" s="1">
        <v>2</v>
      </c>
      <c r="E99" s="1">
        <v>0</v>
      </c>
      <c r="F99" s="1">
        <v>0</v>
      </c>
      <c r="G99" s="1">
        <v>0</v>
      </c>
      <c r="H99" s="1">
        <v>0</v>
      </c>
      <c r="I99" s="1">
        <f>IF(H99 + I98 &lt; 0, H99 + I98, 0)</f>
        <v>0</v>
      </c>
      <c r="J99" s="1">
        <v>0</v>
      </c>
      <c r="K99" s="1">
        <f>IF(J99 + K98 &lt; 0, J99 + K98, 0)</f>
        <v>0</v>
      </c>
      <c r="L99" s="1">
        <v>0</v>
      </c>
      <c r="M99" s="1">
        <f>IF(L99 + M98 &lt; 0, L99 + M98, 0)</f>
        <v>0</v>
      </c>
      <c r="N99" s="1">
        <v>0</v>
      </c>
      <c r="O99" s="1">
        <f>IF(N99 + O98 &lt; 0, N99 + O98, 0)</f>
        <v>0</v>
      </c>
      <c r="P99" s="1">
        <v>0</v>
      </c>
      <c r="Q99" s="1">
        <f>IF(P99 + Q98 &lt; 0, P99 + Q98, 0)</f>
        <v>0</v>
      </c>
    </row>
    <row r="100" spans="1:17" s="1" customFormat="1">
      <c r="A100" s="3">
        <v>45440</v>
      </c>
      <c r="B100" s="1" t="s">
        <v>23</v>
      </c>
      <c r="C100" s="1">
        <v>2</v>
      </c>
      <c r="D100" s="1">
        <v>1</v>
      </c>
      <c r="E100" s="1">
        <v>0</v>
      </c>
      <c r="F100" s="1">
        <v>0</v>
      </c>
      <c r="G100" s="1">
        <v>0</v>
      </c>
      <c r="H100" s="1">
        <v>0</v>
      </c>
      <c r="I100" s="1">
        <f>IF(H100 + I99 &lt; 0, H100 + I99, 0)</f>
        <v>0</v>
      </c>
      <c r="J100" s="1">
        <v>0</v>
      </c>
      <c r="K100" s="1">
        <f>IF(J100 + K99 &lt; 0, J100 + K99, 0)</f>
        <v>0</v>
      </c>
      <c r="L100" s="1">
        <v>0</v>
      </c>
      <c r="M100" s="1">
        <f>IF(L100 + M99 &lt; 0, L100 + M99, 0)</f>
        <v>0</v>
      </c>
      <c r="N100" s="1">
        <v>0</v>
      </c>
      <c r="O100" s="1">
        <f>IF(N100 + O99 &lt; 0, N100 + O99, 0)</f>
        <v>0</v>
      </c>
      <c r="P100" s="1">
        <v>0</v>
      </c>
      <c r="Q100" s="1">
        <f>IF(P100 + Q99 &lt; 0, P100 + Q99, 0)</f>
        <v>0</v>
      </c>
    </row>
    <row r="101" spans="1:17" s="1" customFormat="1">
      <c r="A101" s="3">
        <v>45441</v>
      </c>
      <c r="B101" s="1" t="s">
        <v>24</v>
      </c>
      <c r="C101" s="1">
        <v>1</v>
      </c>
      <c r="D101" s="1">
        <v>19</v>
      </c>
      <c r="E101" s="1">
        <v>0</v>
      </c>
      <c r="F101" s="1">
        <v>0</v>
      </c>
      <c r="G101" s="1">
        <v>0</v>
      </c>
      <c r="H101" s="1">
        <v>0</v>
      </c>
      <c r="I101" s="1">
        <f>IF(H101 + I100 &lt; 0, H101 + I100, 0)</f>
        <v>0</v>
      </c>
      <c r="J101" s="1">
        <v>0</v>
      </c>
      <c r="K101" s="1">
        <f>IF(J101 + K100 &lt; 0, J101 + K100, 0)</f>
        <v>0</v>
      </c>
      <c r="L101" s="1">
        <v>0</v>
      </c>
      <c r="M101" s="1">
        <f>IF(L101 + M100 &lt; 0, L101 + M100, 0)</f>
        <v>0</v>
      </c>
      <c r="N101" s="1">
        <v>0</v>
      </c>
      <c r="O101" s="1">
        <f>IF(N101 + O100 &lt; 0, N101 + O100, 0)</f>
        <v>0</v>
      </c>
      <c r="P101" s="1">
        <v>0</v>
      </c>
      <c r="Q101" s="1">
        <f>IF(P101 + Q100 &lt; 0, P101 + Q100, 0)</f>
        <v>0</v>
      </c>
    </row>
    <row r="102" spans="1:17" s="1" customFormat="1">
      <c r="A102" s="3">
        <v>45442</v>
      </c>
      <c r="B102" s="1" t="s">
        <v>25</v>
      </c>
      <c r="C102" s="1">
        <v>19</v>
      </c>
      <c r="D102" s="1">
        <v>18</v>
      </c>
      <c r="E102" s="1">
        <v>0</v>
      </c>
      <c r="F102" s="1">
        <v>0</v>
      </c>
      <c r="G102" s="1">
        <v>0</v>
      </c>
      <c r="H102" s="1">
        <v>0</v>
      </c>
      <c r="I102" s="1">
        <f>IF(H102 + I101 &lt; 0, H102 + I101, 0)</f>
        <v>0</v>
      </c>
      <c r="J102" s="1">
        <v>0</v>
      </c>
      <c r="K102" s="1">
        <f>IF(J102 + K101 &lt; 0, J102 + K101, 0)</f>
        <v>0</v>
      </c>
      <c r="L102" s="1">
        <v>257052.200004249</v>
      </c>
      <c r="M102" s="1">
        <f>IF(L102 + M101 &lt; 0, L102 + M101, 0)</f>
        <v>0</v>
      </c>
      <c r="N102" s="1">
        <v>0</v>
      </c>
      <c r="O102" s="1">
        <f>IF(N102 + O101 &lt; 0, N102 + O101, 0)</f>
        <v>0</v>
      </c>
      <c r="P102" s="1">
        <v>0</v>
      </c>
      <c r="Q102" s="1">
        <f>IF(P102 + Q101 &lt; 0, P102 + Q101, 0)</f>
        <v>0</v>
      </c>
    </row>
    <row r="103" spans="1:17" s="1" customFormat="1">
      <c r="A103" s="3">
        <v>45443</v>
      </c>
      <c r="B103" s="1" t="s">
        <v>26</v>
      </c>
      <c r="C103" s="1">
        <v>18</v>
      </c>
      <c r="D103" s="1">
        <v>17</v>
      </c>
      <c r="E103" s="1">
        <v>0</v>
      </c>
      <c r="F103" s="1">
        <v>0</v>
      </c>
      <c r="G103" s="1">
        <v>0</v>
      </c>
      <c r="H103" s="1">
        <v>0</v>
      </c>
      <c r="I103" s="1">
        <f>IF(H103 + I102 &lt; 0, H103 + I102, 0)</f>
        <v>0</v>
      </c>
      <c r="J103" s="1">
        <v>0</v>
      </c>
      <c r="K103" s="1">
        <f>IF(J103 + K102 &lt; 0, J103 + K102, 0)</f>
        <v>0</v>
      </c>
      <c r="L103" s="1">
        <v>0</v>
      </c>
      <c r="M103" s="1">
        <f>IF(L103 + M102 &lt; 0, L103 + M102, 0)</f>
        <v>0</v>
      </c>
      <c r="N103" s="1">
        <v>0</v>
      </c>
      <c r="O103" s="1">
        <f>IF(N103 + O102 &lt; 0, N103 + O102, 0)</f>
        <v>0</v>
      </c>
      <c r="P103" s="1">
        <v>94294.01725827449</v>
      </c>
      <c r="Q103" s="1">
        <f>IF(P103 + Q102 &lt; 0, P103 + Q102, 0)</f>
        <v>0</v>
      </c>
    </row>
    <row r="104" spans="1:17" s="1" customFormat="1">
      <c r="A104" s="3">
        <v>45446</v>
      </c>
      <c r="B104" s="1" t="s">
        <v>22</v>
      </c>
      <c r="C104" s="1">
        <v>17</v>
      </c>
      <c r="D104" s="1">
        <v>16</v>
      </c>
      <c r="E104" s="1">
        <v>0</v>
      </c>
      <c r="F104" s="1">
        <v>0</v>
      </c>
      <c r="G104" s="1">
        <v>0</v>
      </c>
      <c r="H104" s="1">
        <v>0</v>
      </c>
      <c r="I104" s="1">
        <f>IF(H104 + I103 &lt; 0, H104 + I103, 0)</f>
        <v>0</v>
      </c>
      <c r="J104" s="1">
        <v>0</v>
      </c>
      <c r="K104" s="1">
        <f>IF(J104 + K103 &lt; 0, J104 + K103, 0)</f>
        <v>0</v>
      </c>
      <c r="L104" s="1">
        <v>0</v>
      </c>
      <c r="M104" s="1">
        <f>IF(L104 + M103 &lt; 0, L104 + M103, 0)</f>
        <v>0</v>
      </c>
      <c r="N104" s="1">
        <v>0</v>
      </c>
      <c r="O104" s="1">
        <f>IF(N104 + O103 &lt; 0, N104 + O103, 0)</f>
        <v>0</v>
      </c>
      <c r="P104" s="1">
        <v>0</v>
      </c>
      <c r="Q104" s="1">
        <f>IF(P104 + Q103 &lt; 0, P104 + Q103, 0)</f>
        <v>0</v>
      </c>
    </row>
    <row r="105" spans="1:17" s="1" customFormat="1">
      <c r="A105" s="3">
        <v>45447</v>
      </c>
      <c r="B105" s="1" t="s">
        <v>23</v>
      </c>
      <c r="C105" s="1">
        <v>16</v>
      </c>
      <c r="D105" s="1">
        <v>15</v>
      </c>
      <c r="E105" s="1">
        <v>0</v>
      </c>
      <c r="F105" s="1">
        <v>0</v>
      </c>
      <c r="G105" s="1">
        <v>0</v>
      </c>
      <c r="H105" s="1">
        <v>0</v>
      </c>
      <c r="I105" s="1">
        <f>IF(H105 + I104 &lt; 0, H105 + I104, 0)</f>
        <v>0</v>
      </c>
      <c r="J105" s="1">
        <v>0</v>
      </c>
      <c r="K105" s="1">
        <f>IF(J105 + K104 &lt; 0, J105 + K104, 0)</f>
        <v>0</v>
      </c>
      <c r="L105" s="1">
        <v>0</v>
      </c>
      <c r="M105" s="1">
        <f>IF(L105 + M104 &lt; 0, L105 + M104, 0)</f>
        <v>0</v>
      </c>
      <c r="N105" s="1">
        <v>0</v>
      </c>
      <c r="O105" s="1">
        <f>IF(N105 + O104 &lt; 0, N105 + O104, 0)</f>
        <v>0</v>
      </c>
      <c r="P105" s="1">
        <v>0</v>
      </c>
      <c r="Q105" s="1">
        <f>IF(P105 + Q104 &lt; 0, P105 + Q104, 0)</f>
        <v>0</v>
      </c>
    </row>
    <row r="106" spans="1:17" s="1" customFormat="1">
      <c r="A106" s="3">
        <v>45448</v>
      </c>
      <c r="B106" s="1" t="s">
        <v>24</v>
      </c>
      <c r="C106" s="1">
        <v>15</v>
      </c>
      <c r="D106" s="1">
        <v>14</v>
      </c>
      <c r="E106" s="1">
        <v>0</v>
      </c>
      <c r="F106" s="1">
        <v>0</v>
      </c>
      <c r="G106" s="1">
        <v>0</v>
      </c>
      <c r="H106" s="1">
        <v>0</v>
      </c>
      <c r="I106" s="1">
        <f>IF(H106 + I105 &lt; 0, H106 + I105, 0)</f>
        <v>0</v>
      </c>
      <c r="J106" s="1">
        <v>0</v>
      </c>
      <c r="K106" s="1">
        <f>IF(J106 + K105 &lt; 0, J106 + K105, 0)</f>
        <v>0</v>
      </c>
      <c r="L106" s="1">
        <v>0</v>
      </c>
      <c r="M106" s="1">
        <f>IF(L106 + M105 &lt; 0, L106 + M105, 0)</f>
        <v>0</v>
      </c>
      <c r="N106" s="1">
        <v>0</v>
      </c>
      <c r="O106" s="1">
        <f>IF(N106 + O105 &lt; 0, N106 + O105, 0)</f>
        <v>0</v>
      </c>
      <c r="P106" s="1">
        <v>0</v>
      </c>
      <c r="Q106" s="1">
        <f>IF(P106 + Q105 &lt; 0, P106 + Q105, 0)</f>
        <v>0</v>
      </c>
    </row>
    <row r="107" spans="1:17" s="1" customFormat="1">
      <c r="A107" s="3">
        <v>45449</v>
      </c>
      <c r="B107" s="1" t="s">
        <v>25</v>
      </c>
      <c r="C107" s="1">
        <v>14</v>
      </c>
      <c r="D107" s="1">
        <v>13</v>
      </c>
      <c r="E107" s="1">
        <v>0</v>
      </c>
      <c r="F107" s="1">
        <v>0</v>
      </c>
      <c r="G107" s="1">
        <v>0</v>
      </c>
      <c r="H107" s="1">
        <v>0</v>
      </c>
      <c r="I107" s="1">
        <f>IF(H107 + I106 &lt; 0, H107 + I106, 0)</f>
        <v>0</v>
      </c>
      <c r="J107" s="1">
        <v>0</v>
      </c>
      <c r="K107" s="1">
        <f>IF(J107 + K106 &lt; 0, J107 + K106, 0)</f>
        <v>0</v>
      </c>
      <c r="L107" s="1">
        <v>-2954857.531154785</v>
      </c>
      <c r="M107" s="1">
        <f>IF(L107 + M106 &lt; 0, L107 + M106, 0)</f>
        <v>0</v>
      </c>
      <c r="N107" s="1">
        <v>0</v>
      </c>
      <c r="O107" s="1">
        <f>IF(N107 + O106 &lt; 0, N107 + O106, 0)</f>
        <v>0</v>
      </c>
      <c r="P107" s="1">
        <v>0</v>
      </c>
      <c r="Q107" s="1">
        <f>IF(P107 + Q106 &lt; 0, P107 + Q106, 0)</f>
        <v>0</v>
      </c>
    </row>
    <row r="108" spans="1:17" s="1" customFormat="1">
      <c r="A108" s="3">
        <v>45450</v>
      </c>
      <c r="B108" s="1" t="s">
        <v>26</v>
      </c>
      <c r="C108" s="1">
        <v>13</v>
      </c>
      <c r="D108" s="1">
        <v>12</v>
      </c>
      <c r="E108" s="1">
        <v>0</v>
      </c>
      <c r="F108" s="1">
        <v>0</v>
      </c>
      <c r="G108" s="1">
        <v>0</v>
      </c>
      <c r="H108" s="1">
        <v>0</v>
      </c>
      <c r="I108" s="1">
        <f>IF(H108 + I107 &lt; 0, H108 + I107, 0)</f>
        <v>0</v>
      </c>
      <c r="J108" s="1">
        <v>0</v>
      </c>
      <c r="K108" s="1">
        <f>IF(J108 + K107 &lt; 0, J108 + K107, 0)</f>
        <v>0</v>
      </c>
      <c r="L108" s="1">
        <v>0</v>
      </c>
      <c r="M108" s="1">
        <f>IF(L108 + M107 &lt; 0, L108 + M107, 0)</f>
        <v>0</v>
      </c>
      <c r="N108" s="1">
        <v>0</v>
      </c>
      <c r="O108" s="1">
        <f>IF(N108 + O107 &lt; 0, N108 + O107, 0)</f>
        <v>0</v>
      </c>
      <c r="P108" s="1">
        <v>-1748618.899739594</v>
      </c>
      <c r="Q108" s="1">
        <f>IF(P108 + Q107 &lt; 0, P108 + Q107, 0)</f>
        <v>0</v>
      </c>
    </row>
    <row r="109" spans="1:17" s="1" customFormat="1">
      <c r="A109" s="3">
        <v>45453</v>
      </c>
      <c r="B109" s="1" t="s">
        <v>22</v>
      </c>
      <c r="C109" s="1">
        <v>12</v>
      </c>
      <c r="D109" s="1">
        <v>11</v>
      </c>
      <c r="E109" s="1">
        <v>0</v>
      </c>
      <c r="F109" s="1">
        <v>0</v>
      </c>
      <c r="G109" s="1">
        <v>0</v>
      </c>
      <c r="H109" s="1">
        <v>0</v>
      </c>
      <c r="I109" s="1">
        <f>IF(H109 + I108 &lt; 0, H109 + I108, 0)</f>
        <v>0</v>
      </c>
      <c r="J109" s="1">
        <v>0</v>
      </c>
      <c r="K109" s="1">
        <f>IF(J109 + K108 &lt; 0, J109 + K108, 0)</f>
        <v>0</v>
      </c>
      <c r="L109" s="1">
        <v>0</v>
      </c>
      <c r="M109" s="1">
        <f>IF(L109 + M108 &lt; 0, L109 + M108, 0)</f>
        <v>0</v>
      </c>
      <c r="N109" s="1">
        <v>0</v>
      </c>
      <c r="O109" s="1">
        <f>IF(N109 + O108 &lt; 0, N109 + O108, 0)</f>
        <v>0</v>
      </c>
      <c r="P109" s="1">
        <v>0</v>
      </c>
      <c r="Q109" s="1">
        <f>IF(P109 + Q108 &lt; 0, P109 + Q108, 0)</f>
        <v>0</v>
      </c>
    </row>
    <row r="110" spans="1:17" s="1" customFormat="1">
      <c r="A110" s="3">
        <v>45454</v>
      </c>
      <c r="B110" s="1" t="s">
        <v>23</v>
      </c>
      <c r="C110" s="1">
        <v>11</v>
      </c>
      <c r="D110" s="1">
        <v>10</v>
      </c>
      <c r="E110" s="1">
        <v>0</v>
      </c>
      <c r="F110" s="1">
        <v>0</v>
      </c>
      <c r="G110" s="1">
        <v>0</v>
      </c>
      <c r="H110" s="1">
        <v>0</v>
      </c>
      <c r="I110" s="1">
        <f>IF(H110 + I109 &lt; 0, H110 + I109, 0)</f>
        <v>0</v>
      </c>
      <c r="J110" s="1">
        <v>0</v>
      </c>
      <c r="K110" s="1">
        <f>IF(J110 + K109 &lt; 0, J110 + K109, 0)</f>
        <v>0</v>
      </c>
      <c r="L110" s="1">
        <v>0</v>
      </c>
      <c r="M110" s="1">
        <f>IF(L110 + M109 &lt; 0, L110 + M109, 0)</f>
        <v>0</v>
      </c>
      <c r="N110" s="1">
        <v>0</v>
      </c>
      <c r="O110" s="1">
        <f>IF(N110 + O109 &lt; 0, N110 + O109, 0)</f>
        <v>0</v>
      </c>
      <c r="P110" s="1">
        <v>0</v>
      </c>
      <c r="Q110" s="1">
        <f>IF(P110 + Q109 &lt; 0, P110 + Q109, 0)</f>
        <v>0</v>
      </c>
    </row>
    <row r="111" spans="1:17" s="1" customFormat="1">
      <c r="A111" s="3">
        <v>45455</v>
      </c>
      <c r="B111" s="1" t="s">
        <v>24</v>
      </c>
      <c r="C111" s="1">
        <v>10</v>
      </c>
      <c r="D111" s="1">
        <v>9</v>
      </c>
      <c r="E111" s="1">
        <v>0</v>
      </c>
      <c r="F111" s="1">
        <v>0</v>
      </c>
      <c r="G111" s="1">
        <v>0</v>
      </c>
      <c r="H111" s="1">
        <v>0</v>
      </c>
      <c r="I111" s="1">
        <f>IF(H111 + I110 &lt; 0, H111 + I110, 0)</f>
        <v>0</v>
      </c>
      <c r="J111" s="1">
        <v>0</v>
      </c>
      <c r="K111" s="1">
        <f>IF(J111 + K110 &lt; 0, J111 + K110, 0)</f>
        <v>0</v>
      </c>
      <c r="L111" s="1">
        <v>0</v>
      </c>
      <c r="M111" s="1">
        <f>IF(L111 + M110 &lt; 0, L111 + M110, 0)</f>
        <v>0</v>
      </c>
      <c r="N111" s="1">
        <v>0</v>
      </c>
      <c r="O111" s="1">
        <f>IF(N111 + O110 &lt; 0, N111 + O110, 0)</f>
        <v>0</v>
      </c>
      <c r="P111" s="1">
        <v>0</v>
      </c>
      <c r="Q111" s="1">
        <f>IF(P111 + Q110 &lt; 0, P111 + Q110, 0)</f>
        <v>0</v>
      </c>
    </row>
    <row r="112" spans="1:17" s="1" customFormat="1">
      <c r="A112" s="3">
        <v>45456</v>
      </c>
      <c r="B112" s="1" t="s">
        <v>25</v>
      </c>
      <c r="C112" s="1">
        <v>9</v>
      </c>
      <c r="D112" s="1">
        <v>8</v>
      </c>
      <c r="E112" s="1">
        <v>0</v>
      </c>
      <c r="F112" s="1">
        <v>0</v>
      </c>
      <c r="G112" s="1">
        <v>0</v>
      </c>
      <c r="H112" s="1">
        <v>0</v>
      </c>
      <c r="I112" s="1">
        <f>IF(H112 + I111 &lt; 0, H112 + I111, 0)</f>
        <v>0</v>
      </c>
      <c r="J112" s="1">
        <v>0</v>
      </c>
      <c r="K112" s="1">
        <f>IF(J112 + K111 &lt; 0, J112 + K111, 0)</f>
        <v>0</v>
      </c>
      <c r="L112" s="1">
        <v>3022471.601129649</v>
      </c>
      <c r="M112" s="1">
        <f>IF(L112 + M111 &lt; 0, L112 + M111, 0)</f>
        <v>0</v>
      </c>
      <c r="N112" s="1">
        <v>0</v>
      </c>
      <c r="O112" s="1">
        <f>IF(N112 + O111 &lt; 0, N112 + O111, 0)</f>
        <v>0</v>
      </c>
      <c r="P112" s="1">
        <v>0</v>
      </c>
      <c r="Q112" s="1">
        <f>IF(P112 + Q111 &lt; 0, P112 + Q111, 0)</f>
        <v>0</v>
      </c>
    </row>
    <row r="113" spans="1:17" s="1" customFormat="1">
      <c r="A113" s="3">
        <v>45457</v>
      </c>
      <c r="B113" s="1" t="s">
        <v>26</v>
      </c>
      <c r="C113" s="1">
        <v>8</v>
      </c>
      <c r="D113" s="1">
        <v>7</v>
      </c>
      <c r="E113" s="1">
        <v>0</v>
      </c>
      <c r="F113" s="1">
        <v>0</v>
      </c>
      <c r="G113" s="1">
        <v>0</v>
      </c>
      <c r="H113" s="1">
        <v>0</v>
      </c>
      <c r="I113" s="1">
        <f>IF(H113 + I112 &lt; 0, H113 + I112, 0)</f>
        <v>0</v>
      </c>
      <c r="J113" s="1">
        <v>0</v>
      </c>
      <c r="K113" s="1">
        <f>IF(J113 + K112 &lt; 0, J113 + K112, 0)</f>
        <v>0</v>
      </c>
      <c r="L113" s="1">
        <v>0</v>
      </c>
      <c r="M113" s="1">
        <f>IF(L113 + M112 &lt; 0, L113 + M112, 0)</f>
        <v>0</v>
      </c>
      <c r="N113" s="1">
        <v>0</v>
      </c>
      <c r="O113" s="1">
        <f>IF(N113 + O112 &lt; 0, N113 + O112, 0)</f>
        <v>0</v>
      </c>
      <c r="P113" s="1">
        <v>3037413.030349711</v>
      </c>
      <c r="Q113" s="1">
        <f>IF(P113 + Q112 &lt; 0, P113 + Q112, 0)</f>
        <v>0</v>
      </c>
    </row>
    <row r="114" spans="1:17" s="1" customFormat="1">
      <c r="A114" s="3">
        <v>45461</v>
      </c>
      <c r="B114" s="1" t="s">
        <v>23</v>
      </c>
      <c r="C114" s="1">
        <v>7</v>
      </c>
      <c r="D114" s="1">
        <v>6</v>
      </c>
      <c r="E114" s="1">
        <v>0</v>
      </c>
      <c r="F114" s="1">
        <v>0</v>
      </c>
      <c r="G114" s="1">
        <v>0</v>
      </c>
      <c r="H114" s="1">
        <v>0</v>
      </c>
      <c r="I114" s="1">
        <f>IF(H114 + I113 &lt; 0, H114 + I113, 0)</f>
        <v>0</v>
      </c>
      <c r="J114" s="1">
        <v>0</v>
      </c>
      <c r="K114" s="1">
        <f>IF(J114 + K113 &lt; 0, J114 + K113, 0)</f>
        <v>0</v>
      </c>
      <c r="L114" s="1">
        <v>0</v>
      </c>
      <c r="M114" s="1">
        <f>IF(L114 + M113 &lt; 0, L114 + M113, 0)</f>
        <v>0</v>
      </c>
      <c r="N114" s="1">
        <v>0</v>
      </c>
      <c r="O114" s="1">
        <f>IF(N114 + O113 &lt; 0, N114 + O113, 0)</f>
        <v>0</v>
      </c>
      <c r="P114" s="1">
        <v>0</v>
      </c>
      <c r="Q114" s="1">
        <f>IF(P114 + Q113 &lt; 0, P114 + Q113, 0)</f>
        <v>0</v>
      </c>
    </row>
    <row r="115" spans="1:17" s="1" customFormat="1">
      <c r="A115" s="3">
        <v>45462</v>
      </c>
      <c r="B115" s="1" t="s">
        <v>24</v>
      </c>
      <c r="C115" s="1">
        <v>6</v>
      </c>
      <c r="D115" s="1">
        <v>5</v>
      </c>
      <c r="E115" s="1">
        <v>0</v>
      </c>
      <c r="F115" s="1">
        <v>0</v>
      </c>
      <c r="G115" s="1">
        <v>0</v>
      </c>
      <c r="H115" s="1">
        <v>0</v>
      </c>
      <c r="I115" s="1">
        <f>IF(H115 + I114 &lt; 0, H115 + I114, 0)</f>
        <v>0</v>
      </c>
      <c r="J115" s="1">
        <v>0</v>
      </c>
      <c r="K115" s="1">
        <f>IF(J115 + K114 &lt; 0, J115 + K114, 0)</f>
        <v>0</v>
      </c>
      <c r="L115" s="1">
        <v>0</v>
      </c>
      <c r="M115" s="1">
        <f>IF(L115 + M114 &lt; 0, L115 + M114, 0)</f>
        <v>0</v>
      </c>
      <c r="N115" s="1">
        <v>0</v>
      </c>
      <c r="O115" s="1">
        <f>IF(N115 + O114 &lt; 0, N115 + O114, 0)</f>
        <v>0</v>
      </c>
      <c r="P115" s="1">
        <v>0</v>
      </c>
      <c r="Q115" s="1">
        <f>IF(P115 + Q114 &lt; 0, P115 + Q114, 0)</f>
        <v>0</v>
      </c>
    </row>
    <row r="116" spans="1:17" s="1" customFormat="1">
      <c r="A116" s="3">
        <v>45463</v>
      </c>
      <c r="B116" s="1" t="s">
        <v>25</v>
      </c>
      <c r="C116" s="1">
        <v>5</v>
      </c>
      <c r="D116" s="1">
        <v>4</v>
      </c>
      <c r="E116" s="1">
        <v>0</v>
      </c>
      <c r="F116" s="1">
        <v>0</v>
      </c>
      <c r="G116" s="1">
        <v>0</v>
      </c>
      <c r="H116" s="1">
        <v>0</v>
      </c>
      <c r="I116" s="1">
        <f>IF(H116 + I115 &lt; 0, H116 + I115, 0)</f>
        <v>0</v>
      </c>
      <c r="J116" s="1">
        <v>0</v>
      </c>
      <c r="K116" s="1">
        <f>IF(J116 + K115 &lt; 0, J116 + K115, 0)</f>
        <v>0</v>
      </c>
      <c r="L116" s="1">
        <v>1001668.915806012</v>
      </c>
      <c r="M116" s="1">
        <f>IF(L116 + M115 &lt; 0, L116 + M115, 0)</f>
        <v>0</v>
      </c>
      <c r="N116" s="1">
        <v>0</v>
      </c>
      <c r="O116" s="1">
        <f>IF(N116 + O115 &lt; 0, N116 + O115, 0)</f>
        <v>0</v>
      </c>
      <c r="P116" s="1">
        <v>0</v>
      </c>
      <c r="Q116" s="1">
        <f>IF(P116 + Q115 &lt; 0, P116 + Q115, 0)</f>
        <v>0</v>
      </c>
    </row>
    <row r="117" spans="1:17" s="1" customFormat="1">
      <c r="A117" s="3">
        <v>45464</v>
      </c>
      <c r="B117" s="1" t="s">
        <v>26</v>
      </c>
      <c r="C117" s="1">
        <v>4</v>
      </c>
      <c r="D117" s="1">
        <v>3</v>
      </c>
      <c r="E117" s="1">
        <v>0</v>
      </c>
      <c r="F117" s="1">
        <v>0</v>
      </c>
      <c r="G117" s="1">
        <v>0</v>
      </c>
      <c r="H117" s="1">
        <v>0</v>
      </c>
      <c r="I117" s="1">
        <f>IF(H117 + I116 &lt; 0, H117 + I116, 0)</f>
        <v>0</v>
      </c>
      <c r="J117" s="1">
        <v>0</v>
      </c>
      <c r="K117" s="1">
        <f>IF(J117 + K116 &lt; 0, J117 + K116, 0)</f>
        <v>0</v>
      </c>
      <c r="L117" s="1">
        <v>0</v>
      </c>
      <c r="M117" s="1">
        <f>IF(L117 + M116 &lt; 0, L117 + M116, 0)</f>
        <v>0</v>
      </c>
      <c r="N117" s="1">
        <v>0</v>
      </c>
      <c r="O117" s="1">
        <f>IF(N117 + O116 &lt; 0, N117 + O116, 0)</f>
        <v>0</v>
      </c>
      <c r="P117" s="1">
        <v>567005.7941481634</v>
      </c>
      <c r="Q117" s="1">
        <f>IF(P117 + Q116 &lt; 0, P117 + Q116, 0)</f>
        <v>0</v>
      </c>
    </row>
    <row r="118" spans="1:17" s="1" customFormat="1">
      <c r="A118" s="3">
        <v>45467</v>
      </c>
      <c r="B118" s="1" t="s">
        <v>22</v>
      </c>
      <c r="C118" s="1">
        <v>3</v>
      </c>
      <c r="D118" s="1">
        <v>2</v>
      </c>
      <c r="E118" s="1">
        <v>0</v>
      </c>
      <c r="F118" s="1">
        <v>0</v>
      </c>
      <c r="G118" s="1">
        <v>0</v>
      </c>
      <c r="H118" s="1">
        <v>0</v>
      </c>
      <c r="I118" s="1">
        <f>IF(H118 + I117 &lt; 0, H118 + I117, 0)</f>
        <v>0</v>
      </c>
      <c r="J118" s="1">
        <v>0</v>
      </c>
      <c r="K118" s="1">
        <f>IF(J118 + K117 &lt; 0, J118 + K117, 0)</f>
        <v>0</v>
      </c>
      <c r="L118" s="1">
        <v>0</v>
      </c>
      <c r="M118" s="1">
        <f>IF(L118 + M117 &lt; 0, L118 + M117, 0)</f>
        <v>0</v>
      </c>
      <c r="N118" s="1">
        <v>0</v>
      </c>
      <c r="O118" s="1">
        <f>IF(N118 + O117 &lt; 0, N118 + O117, 0)</f>
        <v>0</v>
      </c>
      <c r="P118" s="1">
        <v>0</v>
      </c>
      <c r="Q118" s="1">
        <f>IF(P118 + Q117 &lt; 0, P118 + Q117, 0)</f>
        <v>0</v>
      </c>
    </row>
    <row r="119" spans="1:17" s="1" customFormat="1">
      <c r="A119" s="3">
        <v>45468</v>
      </c>
      <c r="B119" s="1" t="s">
        <v>23</v>
      </c>
      <c r="C119" s="1">
        <v>2</v>
      </c>
      <c r="D119" s="1">
        <v>1</v>
      </c>
      <c r="E119" s="1">
        <v>0</v>
      </c>
      <c r="F119" s="1">
        <v>0</v>
      </c>
      <c r="G119" s="1">
        <v>0</v>
      </c>
      <c r="H119" s="1">
        <v>0</v>
      </c>
      <c r="I119" s="1">
        <f>IF(H119 + I118 &lt; 0, H119 + I118, 0)</f>
        <v>0</v>
      </c>
      <c r="J119" s="1">
        <v>0</v>
      </c>
      <c r="K119" s="1">
        <f>IF(J119 + K118 &lt; 0, J119 + K118, 0)</f>
        <v>0</v>
      </c>
      <c r="L119" s="1">
        <v>0</v>
      </c>
      <c r="M119" s="1">
        <f>IF(L119 + M118 &lt; 0, L119 + M118, 0)</f>
        <v>0</v>
      </c>
      <c r="N119" s="1">
        <v>0</v>
      </c>
      <c r="O119" s="1">
        <f>IF(N119 + O118 &lt; 0, N119 + O118, 0)</f>
        <v>0</v>
      </c>
      <c r="P119" s="1">
        <v>0</v>
      </c>
      <c r="Q119" s="1">
        <f>IF(P119 + Q118 &lt; 0, P119 + Q118, 0)</f>
        <v>0</v>
      </c>
    </row>
    <row r="120" spans="1:17" s="1" customFormat="1">
      <c r="A120" s="3">
        <v>45469</v>
      </c>
      <c r="B120" s="1" t="s">
        <v>24</v>
      </c>
      <c r="C120" s="1">
        <v>1</v>
      </c>
      <c r="D120" s="1">
        <v>24</v>
      </c>
      <c r="E120" s="1">
        <v>0</v>
      </c>
      <c r="F120" s="1">
        <v>0</v>
      </c>
      <c r="G120" s="1">
        <v>0</v>
      </c>
      <c r="H120" s="1">
        <v>0</v>
      </c>
      <c r="I120" s="1">
        <f>IF(H120 + I119 &lt; 0, H120 + I119, 0)</f>
        <v>0</v>
      </c>
      <c r="J120" s="1">
        <v>0</v>
      </c>
      <c r="K120" s="1">
        <f>IF(J120 + K119 &lt; 0, J120 + K119, 0)</f>
        <v>0</v>
      </c>
      <c r="L120" s="1">
        <v>0</v>
      </c>
      <c r="M120" s="1">
        <f>IF(L120 + M119 &lt; 0, L120 + M119, 0)</f>
        <v>0</v>
      </c>
      <c r="N120" s="1">
        <v>0</v>
      </c>
      <c r="O120" s="1">
        <f>IF(N120 + O119 &lt; 0, N120 + O119, 0)</f>
        <v>0</v>
      </c>
      <c r="P120" s="1">
        <v>0</v>
      </c>
      <c r="Q120" s="1">
        <f>IF(P120 + Q119 &lt; 0, P120 + Q119, 0)</f>
        <v>0</v>
      </c>
    </row>
    <row r="121" spans="1:17" s="1" customFormat="1">
      <c r="A121" s="3">
        <v>45470</v>
      </c>
      <c r="B121" s="1" t="s">
        <v>25</v>
      </c>
      <c r="C121" s="1">
        <v>24</v>
      </c>
      <c r="D121" s="1">
        <v>23</v>
      </c>
      <c r="E121" s="1">
        <v>0</v>
      </c>
      <c r="F121" s="1">
        <v>0</v>
      </c>
      <c r="G121" s="1">
        <v>0</v>
      </c>
      <c r="H121" s="1">
        <v>0</v>
      </c>
      <c r="I121" s="1">
        <f>IF(H121 + I120 &lt; 0, H121 + I120, 0)</f>
        <v>0</v>
      </c>
      <c r="J121" s="1">
        <v>0</v>
      </c>
      <c r="K121" s="1">
        <f>IF(J121 + K120 &lt; 0, J121 + K120, 0)</f>
        <v>0</v>
      </c>
      <c r="L121" s="1">
        <v>-1096419.652170376</v>
      </c>
      <c r="M121" s="1">
        <f>IF(L121 + M120 &lt; 0, L121 + M120, 0)</f>
        <v>0</v>
      </c>
      <c r="N121" s="1">
        <v>0</v>
      </c>
      <c r="O121" s="1">
        <f>IF(N121 + O120 &lt; 0, N121 + O120, 0)</f>
        <v>0</v>
      </c>
      <c r="P121" s="1">
        <v>0</v>
      </c>
      <c r="Q121" s="1">
        <f>IF(P121 + Q120 &lt; 0, P121 + Q120, 0)</f>
        <v>0</v>
      </c>
    </row>
    <row r="122" spans="1:17" s="1" customFormat="1">
      <c r="A122" s="3">
        <v>45471</v>
      </c>
      <c r="B122" s="1" t="s">
        <v>26</v>
      </c>
      <c r="C122" s="1">
        <v>23</v>
      </c>
      <c r="D122" s="1">
        <v>22</v>
      </c>
      <c r="E122" s="1">
        <v>0</v>
      </c>
      <c r="F122" s="1">
        <v>0</v>
      </c>
      <c r="G122" s="1">
        <v>0</v>
      </c>
      <c r="H122" s="1">
        <v>0</v>
      </c>
      <c r="I122" s="1">
        <f>IF(H122 + I121 &lt; 0, H122 + I121, 0)</f>
        <v>0</v>
      </c>
      <c r="J122" s="1">
        <v>0</v>
      </c>
      <c r="K122" s="1">
        <f>IF(J122 + K121 &lt; 0, J122 + K121, 0)</f>
        <v>0</v>
      </c>
      <c r="L122" s="1">
        <v>0</v>
      </c>
      <c r="M122" s="1">
        <f>IF(L122 + M121 &lt; 0, L122 + M121, 0)</f>
        <v>0</v>
      </c>
      <c r="N122" s="1">
        <v>0</v>
      </c>
      <c r="O122" s="1">
        <f>IF(N122 + O121 &lt; 0, N122 + O121, 0)</f>
        <v>0</v>
      </c>
      <c r="P122" s="1">
        <v>-52776.53599424404</v>
      </c>
      <c r="Q122" s="1">
        <f>IF(P122 + Q121 &lt; 0, P122 + Q121, 0)</f>
        <v>0</v>
      </c>
    </row>
    <row r="123" spans="1:17" s="1" customFormat="1">
      <c r="A123" s="3">
        <v>45474</v>
      </c>
      <c r="B123" s="1" t="s">
        <v>22</v>
      </c>
      <c r="C123" s="1">
        <v>22</v>
      </c>
      <c r="D123" s="1">
        <v>21</v>
      </c>
      <c r="E123" s="1">
        <v>0</v>
      </c>
      <c r="F123" s="1">
        <v>0</v>
      </c>
      <c r="G123" s="1">
        <v>0</v>
      </c>
      <c r="H123" s="1">
        <v>0</v>
      </c>
      <c r="I123" s="1">
        <f>IF(H123 + I122 &lt; 0, H123 + I122, 0)</f>
        <v>0</v>
      </c>
      <c r="J123" s="1">
        <v>0</v>
      </c>
      <c r="K123" s="1">
        <f>IF(J123 + K122 &lt; 0, J123 + K122, 0)</f>
        <v>0</v>
      </c>
      <c r="L123" s="1">
        <v>0</v>
      </c>
      <c r="M123" s="1">
        <f>IF(L123 + M122 &lt; 0, L123 + M122, 0)</f>
        <v>0</v>
      </c>
      <c r="N123" s="1">
        <v>0</v>
      </c>
      <c r="O123" s="1">
        <f>IF(N123 + O122 &lt; 0, N123 + O122, 0)</f>
        <v>0</v>
      </c>
      <c r="P123" s="1">
        <v>0</v>
      </c>
      <c r="Q123" s="1">
        <f>IF(P123 + Q122 &lt; 0, P123 + Q122, 0)</f>
        <v>0</v>
      </c>
    </row>
    <row r="124" spans="1:17" s="1" customFormat="1">
      <c r="A124" s="3">
        <v>45475</v>
      </c>
      <c r="B124" s="1" t="s">
        <v>23</v>
      </c>
      <c r="C124" s="1">
        <v>21</v>
      </c>
      <c r="D124" s="1">
        <v>20</v>
      </c>
      <c r="E124" s="1">
        <v>0</v>
      </c>
      <c r="F124" s="1">
        <v>0</v>
      </c>
      <c r="G124" s="1">
        <v>0</v>
      </c>
      <c r="H124" s="1">
        <v>0</v>
      </c>
      <c r="I124" s="1">
        <f>IF(H124 + I123 &lt; 0, H124 + I123, 0)</f>
        <v>0</v>
      </c>
      <c r="J124" s="1">
        <v>0</v>
      </c>
      <c r="K124" s="1">
        <f>IF(J124 + K123 &lt; 0, J124 + K123, 0)</f>
        <v>0</v>
      </c>
      <c r="L124" s="1">
        <v>0</v>
      </c>
      <c r="M124" s="1">
        <f>IF(L124 + M123 &lt; 0, L124 + M123, 0)</f>
        <v>0</v>
      </c>
      <c r="N124" s="1">
        <v>0</v>
      </c>
      <c r="O124" s="1">
        <f>IF(N124 + O123 &lt; 0, N124 + O123, 0)</f>
        <v>0</v>
      </c>
      <c r="P124" s="1">
        <v>0</v>
      </c>
      <c r="Q124" s="1">
        <f>IF(P124 + Q123 &lt; 0, P124 + Q123, 0)</f>
        <v>0</v>
      </c>
    </row>
    <row r="125" spans="1:17" s="1" customFormat="1">
      <c r="A125" s="3">
        <v>45476</v>
      </c>
      <c r="B125" s="1" t="s">
        <v>24</v>
      </c>
      <c r="C125" s="1">
        <v>20</v>
      </c>
      <c r="D125" s="1">
        <v>19</v>
      </c>
      <c r="E125" s="1">
        <v>0</v>
      </c>
      <c r="F125" s="1">
        <v>0</v>
      </c>
      <c r="G125" s="1">
        <v>0</v>
      </c>
      <c r="H125" s="1">
        <v>0</v>
      </c>
      <c r="I125" s="1">
        <f>IF(H125 + I124 &lt; 0, H125 + I124, 0)</f>
        <v>0</v>
      </c>
      <c r="J125" s="1">
        <v>0</v>
      </c>
      <c r="K125" s="1">
        <f>IF(J125 + K124 &lt; 0, J125 + K124, 0)</f>
        <v>0</v>
      </c>
      <c r="L125" s="1">
        <v>0</v>
      </c>
      <c r="M125" s="1">
        <f>IF(L125 + M124 &lt; 0, L125 + M124, 0)</f>
        <v>0</v>
      </c>
      <c r="N125" s="1">
        <v>0</v>
      </c>
      <c r="O125" s="1">
        <f>IF(N125 + O124 &lt; 0, N125 + O124, 0)</f>
        <v>0</v>
      </c>
      <c r="P125" s="1">
        <v>0</v>
      </c>
      <c r="Q125" s="1">
        <f>IF(P125 + Q124 &lt; 0, P125 + Q124, 0)</f>
        <v>0</v>
      </c>
    </row>
    <row r="126" spans="1:17" s="1" customFormat="1">
      <c r="A126" s="3">
        <v>45477</v>
      </c>
      <c r="B126" s="1" t="s">
        <v>25</v>
      </c>
      <c r="C126" s="1">
        <v>19</v>
      </c>
      <c r="D126" s="1">
        <v>18</v>
      </c>
      <c r="E126" s="1">
        <v>0</v>
      </c>
      <c r="F126" s="1">
        <v>0</v>
      </c>
      <c r="G126" s="1">
        <v>0</v>
      </c>
      <c r="H126" s="1">
        <v>0</v>
      </c>
      <c r="I126" s="1">
        <f>IF(H126 + I125 &lt; 0, H126 + I125, 0)</f>
        <v>0</v>
      </c>
      <c r="J126" s="1">
        <v>0</v>
      </c>
      <c r="K126" s="1">
        <f>IF(J126 + K125 &lt; 0, J126 + K125, 0)</f>
        <v>0</v>
      </c>
      <c r="L126" s="1">
        <v>2060497.719016102</v>
      </c>
      <c r="M126" s="1">
        <f>IF(L126 + M125 &lt; 0, L126 + M125, 0)</f>
        <v>0</v>
      </c>
      <c r="N126" s="1">
        <v>0</v>
      </c>
      <c r="O126" s="1">
        <f>IF(N126 + O125 &lt; 0, N126 + O125, 0)</f>
        <v>0</v>
      </c>
      <c r="P126" s="1">
        <v>0</v>
      </c>
      <c r="Q126" s="1">
        <f>IF(P126 + Q125 &lt; 0, P126 + Q125, 0)</f>
        <v>0</v>
      </c>
    </row>
    <row r="127" spans="1:17" s="1" customFormat="1">
      <c r="A127" s="3">
        <v>45478</v>
      </c>
      <c r="B127" s="1" t="s">
        <v>26</v>
      </c>
      <c r="C127" s="1">
        <v>18</v>
      </c>
      <c r="D127" s="1">
        <v>17</v>
      </c>
      <c r="E127" s="1">
        <v>0</v>
      </c>
      <c r="F127" s="1">
        <v>0</v>
      </c>
      <c r="G127" s="1">
        <v>0</v>
      </c>
      <c r="H127" s="1">
        <v>0</v>
      </c>
      <c r="I127" s="1">
        <f>IF(H127 + I126 &lt; 0, H127 + I126, 0)</f>
        <v>0</v>
      </c>
      <c r="J127" s="1">
        <v>0</v>
      </c>
      <c r="K127" s="1">
        <f>IF(J127 + K126 &lt; 0, J127 + K126, 0)</f>
        <v>0</v>
      </c>
      <c r="L127" s="1">
        <v>0</v>
      </c>
      <c r="M127" s="1">
        <f>IF(L127 + M126 &lt; 0, L127 + M126, 0)</f>
        <v>0</v>
      </c>
      <c r="N127" s="1">
        <v>0</v>
      </c>
      <c r="O127" s="1">
        <f>IF(N127 + O126 &lt; 0, N127 + O126, 0)</f>
        <v>0</v>
      </c>
      <c r="P127" s="1">
        <v>1416824.209754843</v>
      </c>
      <c r="Q127" s="1">
        <f>IF(P127 + Q126 &lt; 0, P127 + Q126, 0)</f>
        <v>0</v>
      </c>
    </row>
    <row r="128" spans="1:17" s="1" customFormat="1">
      <c r="A128" s="3">
        <v>45481</v>
      </c>
      <c r="B128" s="1" t="s">
        <v>22</v>
      </c>
      <c r="C128" s="1">
        <v>17</v>
      </c>
      <c r="D128" s="1">
        <v>16</v>
      </c>
      <c r="E128" s="1">
        <v>0</v>
      </c>
      <c r="F128" s="1">
        <v>0</v>
      </c>
      <c r="G128" s="1">
        <v>0</v>
      </c>
      <c r="H128" s="1">
        <v>0</v>
      </c>
      <c r="I128" s="1">
        <f>IF(H128 + I127 &lt; 0, H128 + I127, 0)</f>
        <v>0</v>
      </c>
      <c r="J128" s="1">
        <v>0</v>
      </c>
      <c r="K128" s="1">
        <f>IF(J128 + K127 &lt; 0, J128 + K127, 0)</f>
        <v>0</v>
      </c>
      <c r="L128" s="1">
        <v>0</v>
      </c>
      <c r="M128" s="1">
        <f>IF(L128 + M127 &lt; 0, L128 + M127, 0)</f>
        <v>0</v>
      </c>
      <c r="N128" s="1">
        <v>0</v>
      </c>
      <c r="O128" s="1">
        <f>IF(N128 + O127 &lt; 0, N128 + O127, 0)</f>
        <v>0</v>
      </c>
      <c r="P128" s="1">
        <v>0</v>
      </c>
      <c r="Q128" s="1">
        <f>IF(P128 + Q127 &lt; 0, P128 + Q127, 0)</f>
        <v>0</v>
      </c>
    </row>
    <row r="129" spans="1:17" s="1" customFormat="1">
      <c r="A129" s="3">
        <v>45482</v>
      </c>
      <c r="B129" s="1" t="s">
        <v>23</v>
      </c>
      <c r="C129" s="1">
        <v>16</v>
      </c>
      <c r="D129" s="1">
        <v>15</v>
      </c>
      <c r="E129" s="1">
        <v>0</v>
      </c>
      <c r="F129" s="1">
        <v>0</v>
      </c>
      <c r="G129" s="1">
        <v>0</v>
      </c>
      <c r="H129" s="1">
        <v>0</v>
      </c>
      <c r="I129" s="1">
        <f>IF(H129 + I128 &lt; 0, H129 + I128, 0)</f>
        <v>0</v>
      </c>
      <c r="J129" s="1">
        <v>0</v>
      </c>
      <c r="K129" s="1">
        <f>IF(J129 + K128 &lt; 0, J129 + K128, 0)</f>
        <v>0</v>
      </c>
      <c r="L129" s="1">
        <v>0</v>
      </c>
      <c r="M129" s="1">
        <f>IF(L129 + M128 &lt; 0, L129 + M128, 0)</f>
        <v>0</v>
      </c>
      <c r="N129" s="1">
        <v>0</v>
      </c>
      <c r="O129" s="1">
        <f>IF(N129 + O128 &lt; 0, N129 + O128, 0)</f>
        <v>0</v>
      </c>
      <c r="P129" s="1">
        <v>0</v>
      </c>
      <c r="Q129" s="1">
        <f>IF(P129 + Q128 &lt; 0, P129 + Q128, 0)</f>
        <v>0</v>
      </c>
    </row>
    <row r="130" spans="1:17" s="1" customFormat="1">
      <c r="A130" s="3">
        <v>45483</v>
      </c>
      <c r="B130" s="1" t="s">
        <v>24</v>
      </c>
      <c r="C130" s="1">
        <v>15</v>
      </c>
      <c r="D130" s="1">
        <v>14</v>
      </c>
      <c r="E130" s="1">
        <v>0</v>
      </c>
      <c r="F130" s="1">
        <v>0</v>
      </c>
      <c r="G130" s="1">
        <v>0</v>
      </c>
      <c r="H130" s="1">
        <v>0</v>
      </c>
      <c r="I130" s="1">
        <f>IF(H130 + I129 &lt; 0, H130 + I129, 0)</f>
        <v>0</v>
      </c>
      <c r="J130" s="1">
        <v>0</v>
      </c>
      <c r="K130" s="1">
        <f>IF(J130 + K129 &lt; 0, J130 + K129, 0)</f>
        <v>0</v>
      </c>
      <c r="L130" s="1">
        <v>0</v>
      </c>
      <c r="M130" s="1">
        <f>IF(L130 + M129 &lt; 0, L130 + M129, 0)</f>
        <v>0</v>
      </c>
      <c r="N130" s="1">
        <v>0</v>
      </c>
      <c r="O130" s="1">
        <f>IF(N130 + O129 &lt; 0, N130 + O129, 0)</f>
        <v>0</v>
      </c>
      <c r="P130" s="1">
        <v>0</v>
      </c>
      <c r="Q130" s="1">
        <f>IF(P130 + Q129 &lt; 0, P130 + Q129, 0)</f>
        <v>0</v>
      </c>
    </row>
    <row r="131" spans="1:17" s="1" customFormat="1">
      <c r="A131" s="3">
        <v>45484</v>
      </c>
      <c r="B131" s="1" t="s">
        <v>25</v>
      </c>
      <c r="C131" s="1">
        <v>14</v>
      </c>
      <c r="D131" s="1">
        <v>13</v>
      </c>
      <c r="E131" s="1">
        <v>0</v>
      </c>
      <c r="F131" s="1">
        <v>0</v>
      </c>
      <c r="G131" s="1">
        <v>0</v>
      </c>
      <c r="H131" s="1">
        <v>0</v>
      </c>
      <c r="I131" s="1">
        <f>IF(H131 + I130 &lt; 0, H131 + I130, 0)</f>
        <v>0</v>
      </c>
      <c r="J131" s="1">
        <v>0</v>
      </c>
      <c r="K131" s="1">
        <f>IF(J131 + K130 &lt; 0, J131 + K130, 0)</f>
        <v>0</v>
      </c>
      <c r="L131" s="1">
        <v>1480441.059540574</v>
      </c>
      <c r="M131" s="1">
        <f>IF(L131 + M130 &lt; 0, L131 + M130, 0)</f>
        <v>0</v>
      </c>
      <c r="N131" s="1">
        <v>0</v>
      </c>
      <c r="O131" s="1">
        <f>IF(N131 + O130 &lt; 0, N131 + O130, 0)</f>
        <v>0</v>
      </c>
      <c r="P131" s="1">
        <v>0</v>
      </c>
      <c r="Q131" s="1">
        <f>IF(P131 + Q130 &lt; 0, P131 + Q130, 0)</f>
        <v>0</v>
      </c>
    </row>
    <row r="132" spans="1:17" s="1" customFormat="1">
      <c r="A132" s="3">
        <v>45485</v>
      </c>
      <c r="B132" s="1" t="s">
        <v>26</v>
      </c>
      <c r="C132" s="1">
        <v>13</v>
      </c>
      <c r="D132" s="1">
        <v>12</v>
      </c>
      <c r="E132" s="1">
        <v>0</v>
      </c>
      <c r="F132" s="1">
        <v>0</v>
      </c>
      <c r="G132" s="1">
        <v>0</v>
      </c>
      <c r="H132" s="1">
        <v>0</v>
      </c>
      <c r="I132" s="1">
        <f>IF(H132 + I131 &lt; 0, H132 + I131, 0)</f>
        <v>0</v>
      </c>
      <c r="J132" s="1">
        <v>0</v>
      </c>
      <c r="K132" s="1">
        <f>IF(J132 + K131 &lt; 0, J132 + K131, 0)</f>
        <v>0</v>
      </c>
      <c r="L132" s="1">
        <v>0</v>
      </c>
      <c r="M132" s="1">
        <f>IF(L132 + M131 &lt; 0, L132 + M131, 0)</f>
        <v>0</v>
      </c>
      <c r="N132" s="1">
        <v>0</v>
      </c>
      <c r="O132" s="1">
        <f>IF(N132 + O131 &lt; 0, N132 + O131, 0)</f>
        <v>0</v>
      </c>
      <c r="P132" s="1">
        <v>364821.4818801847</v>
      </c>
      <c r="Q132" s="1">
        <f>IF(P132 + Q131 &lt; 0, P132 + Q131, 0)</f>
        <v>0</v>
      </c>
    </row>
    <row r="133" spans="1:17" s="1" customFormat="1">
      <c r="A133" s="3">
        <v>45488</v>
      </c>
      <c r="B133" s="1" t="s">
        <v>22</v>
      </c>
      <c r="C133" s="1">
        <v>12</v>
      </c>
      <c r="D133" s="1">
        <v>11</v>
      </c>
      <c r="E133" s="1">
        <v>0</v>
      </c>
      <c r="F133" s="1">
        <v>0</v>
      </c>
      <c r="G133" s="1">
        <v>0</v>
      </c>
      <c r="H133" s="1">
        <v>0</v>
      </c>
      <c r="I133" s="1">
        <f>IF(H133 + I132 &lt; 0, H133 + I132, 0)</f>
        <v>0</v>
      </c>
      <c r="J133" s="1">
        <v>0</v>
      </c>
      <c r="K133" s="1">
        <f>IF(J133 + K132 &lt; 0, J133 + K132, 0)</f>
        <v>0</v>
      </c>
      <c r="L133" s="1">
        <v>0</v>
      </c>
      <c r="M133" s="1">
        <f>IF(L133 + M132 &lt; 0, L133 + M132, 0)</f>
        <v>0</v>
      </c>
      <c r="N133" s="1">
        <v>0</v>
      </c>
      <c r="O133" s="1">
        <f>IF(N133 + O132 &lt; 0, N133 + O132, 0)</f>
        <v>0</v>
      </c>
      <c r="P133" s="1">
        <v>0</v>
      </c>
      <c r="Q133" s="1">
        <f>IF(P133 + Q132 &lt; 0, P133 + Q132, 0)</f>
        <v>0</v>
      </c>
    </row>
    <row r="134" spans="1:17" s="1" customFormat="1">
      <c r="A134" s="3">
        <v>45489</v>
      </c>
      <c r="B134" s="1" t="s">
        <v>23</v>
      </c>
      <c r="C134" s="1">
        <v>11</v>
      </c>
      <c r="D134" s="1">
        <v>10</v>
      </c>
      <c r="E134" s="1">
        <v>0</v>
      </c>
      <c r="F134" s="1">
        <v>0</v>
      </c>
      <c r="G134" s="1">
        <v>0</v>
      </c>
      <c r="H134" s="1">
        <v>0</v>
      </c>
      <c r="I134" s="1">
        <f>IF(H134 + I133 &lt; 0, H134 + I133, 0)</f>
        <v>0</v>
      </c>
      <c r="J134" s="1">
        <v>0</v>
      </c>
      <c r="K134" s="1">
        <f>IF(J134 + K133 &lt; 0, J134 + K133, 0)</f>
        <v>0</v>
      </c>
      <c r="L134" s="1">
        <v>0</v>
      </c>
      <c r="M134" s="1">
        <f>IF(L134 + M133 &lt; 0, L134 + M133, 0)</f>
        <v>0</v>
      </c>
      <c r="N134" s="1">
        <v>0</v>
      </c>
      <c r="O134" s="1">
        <f>IF(N134 + O133 &lt; 0, N134 + O133, 0)</f>
        <v>0</v>
      </c>
      <c r="P134" s="1">
        <v>0</v>
      </c>
      <c r="Q134" s="1">
        <f>IF(P134 + Q133 &lt; 0, P134 + Q133, 0)</f>
        <v>0</v>
      </c>
    </row>
    <row r="135" spans="1:17" s="1" customFormat="1">
      <c r="A135" s="3">
        <v>45491</v>
      </c>
      <c r="B135" s="1" t="s">
        <v>25</v>
      </c>
      <c r="C135" s="1">
        <v>10</v>
      </c>
      <c r="D135" s="1">
        <v>9</v>
      </c>
      <c r="E135" s="1">
        <v>0</v>
      </c>
      <c r="F135" s="1">
        <v>0</v>
      </c>
      <c r="G135" s="1">
        <v>0</v>
      </c>
      <c r="H135" s="1">
        <v>0</v>
      </c>
      <c r="I135" s="1">
        <f>IF(H135 + I134 &lt; 0, H135 + I134, 0)</f>
        <v>0</v>
      </c>
      <c r="J135" s="1">
        <v>0</v>
      </c>
      <c r="K135" s="1">
        <f>IF(J135 + K134 &lt; 0, J135 + K134, 0)</f>
        <v>0</v>
      </c>
      <c r="L135" s="1">
        <v>459505.5898919142</v>
      </c>
      <c r="M135" s="1">
        <f>IF(L135 + M134 &lt; 0, L135 + M134, 0)</f>
        <v>0</v>
      </c>
      <c r="N135" s="1">
        <v>0</v>
      </c>
      <c r="O135" s="1">
        <f>IF(N135 + O134 &lt; 0, N135 + O134, 0)</f>
        <v>0</v>
      </c>
      <c r="P135" s="1">
        <v>0</v>
      </c>
      <c r="Q135" s="1">
        <f>IF(P135 + Q134 &lt; 0, P135 + Q134, 0)</f>
        <v>0</v>
      </c>
    </row>
    <row r="136" spans="1:17" s="1" customFormat="1">
      <c r="A136" s="3">
        <v>45492</v>
      </c>
      <c r="B136" s="1" t="s">
        <v>26</v>
      </c>
      <c r="C136" s="1">
        <v>9</v>
      </c>
      <c r="D136" s="1">
        <v>8</v>
      </c>
      <c r="E136" s="1">
        <v>0</v>
      </c>
      <c r="F136" s="1">
        <v>0</v>
      </c>
      <c r="G136" s="1">
        <v>0</v>
      </c>
      <c r="H136" s="1">
        <v>0</v>
      </c>
      <c r="I136" s="1">
        <f>IF(H136 + I135 &lt; 0, H136 + I135, 0)</f>
        <v>0</v>
      </c>
      <c r="J136" s="1">
        <v>0</v>
      </c>
      <c r="K136" s="1">
        <f>IF(J136 + K135 &lt; 0, J136 + K135, 0)</f>
        <v>0</v>
      </c>
      <c r="L136" s="1">
        <v>0</v>
      </c>
      <c r="M136" s="1">
        <f>IF(L136 + M135 &lt; 0, L136 + M135, 0)</f>
        <v>0</v>
      </c>
      <c r="N136" s="1">
        <v>0</v>
      </c>
      <c r="O136" s="1">
        <f>IF(N136 + O135 &lt; 0, N136 + O135, 0)</f>
        <v>0</v>
      </c>
      <c r="P136" s="1">
        <v>1245917.567948322</v>
      </c>
      <c r="Q136" s="1">
        <f>IF(P136 + Q135 &lt; 0, P136 + Q135, 0)</f>
        <v>0</v>
      </c>
    </row>
    <row r="137" spans="1:17" s="1" customFormat="1">
      <c r="A137" s="3">
        <v>45495</v>
      </c>
      <c r="B137" s="1" t="s">
        <v>22</v>
      </c>
      <c r="C137" s="1">
        <v>8</v>
      </c>
      <c r="D137" s="1">
        <v>7</v>
      </c>
      <c r="E137" s="1">
        <v>0</v>
      </c>
      <c r="F137" s="1">
        <v>0</v>
      </c>
      <c r="G137" s="1">
        <v>0</v>
      </c>
      <c r="H137" s="1">
        <v>0</v>
      </c>
      <c r="I137" s="1">
        <f>IF(H137 + I136 &lt; 0, H137 + I136, 0)</f>
        <v>0</v>
      </c>
      <c r="J137" s="1">
        <v>0</v>
      </c>
      <c r="K137" s="1">
        <f>IF(J137 + K136 &lt; 0, J137 + K136, 0)</f>
        <v>0</v>
      </c>
      <c r="L137" s="1">
        <v>0</v>
      </c>
      <c r="M137" s="1">
        <f>IF(L137 + M136 &lt; 0, L137 + M136, 0)</f>
        <v>0</v>
      </c>
      <c r="N137" s="1">
        <v>0</v>
      </c>
      <c r="O137" s="1">
        <f>IF(N137 + O136 &lt; 0, N137 + O136, 0)</f>
        <v>0</v>
      </c>
      <c r="P137" s="1">
        <v>0</v>
      </c>
      <c r="Q137" s="1">
        <f>IF(P137 + Q136 &lt; 0, P137 + Q136, 0)</f>
        <v>0</v>
      </c>
    </row>
    <row r="138" spans="1:17" s="1" customFormat="1">
      <c r="A138" s="3">
        <v>45496</v>
      </c>
      <c r="B138" s="1" t="s">
        <v>23</v>
      </c>
      <c r="C138" s="1">
        <v>7</v>
      </c>
      <c r="D138" s="1">
        <v>6</v>
      </c>
      <c r="E138" s="1">
        <v>0</v>
      </c>
      <c r="F138" s="1">
        <v>0</v>
      </c>
      <c r="G138" s="1">
        <v>0</v>
      </c>
      <c r="H138" s="1">
        <v>0</v>
      </c>
      <c r="I138" s="1">
        <f>IF(H138 + I137 &lt; 0, H138 + I137, 0)</f>
        <v>0</v>
      </c>
      <c r="J138" s="1">
        <v>0</v>
      </c>
      <c r="K138" s="1">
        <f>IF(J138 + K137 &lt; 0, J138 + K137, 0)</f>
        <v>0</v>
      </c>
      <c r="L138" s="1">
        <v>0</v>
      </c>
      <c r="M138" s="1">
        <f>IF(L138 + M137 &lt; 0, L138 + M137, 0)</f>
        <v>0</v>
      </c>
      <c r="N138" s="1">
        <v>0</v>
      </c>
      <c r="O138" s="1">
        <f>IF(N138 + O137 &lt; 0, N138 + O137, 0)</f>
        <v>0</v>
      </c>
      <c r="P138" s="1">
        <v>0</v>
      </c>
      <c r="Q138" s="1">
        <f>IF(P138 + Q137 &lt; 0, P138 + Q137, 0)</f>
        <v>0</v>
      </c>
    </row>
    <row r="139" spans="1:17" s="1" customFormat="1">
      <c r="A139" s="3">
        <v>45497</v>
      </c>
      <c r="B139" s="1" t="s">
        <v>24</v>
      </c>
      <c r="C139" s="1">
        <v>6</v>
      </c>
      <c r="D139" s="1">
        <v>5</v>
      </c>
      <c r="E139" s="1">
        <v>0</v>
      </c>
      <c r="F139" s="1">
        <v>0</v>
      </c>
      <c r="G139" s="1">
        <v>0</v>
      </c>
      <c r="H139" s="1">
        <v>0</v>
      </c>
      <c r="I139" s="1">
        <f>IF(H139 + I138 &lt; 0, H139 + I138, 0)</f>
        <v>0</v>
      </c>
      <c r="J139" s="1">
        <v>0</v>
      </c>
      <c r="K139" s="1">
        <f>IF(J139 + K138 &lt; 0, J139 + K138, 0)</f>
        <v>0</v>
      </c>
      <c r="L139" s="1">
        <v>0</v>
      </c>
      <c r="M139" s="1">
        <f>IF(L139 + M138 &lt; 0, L139 + M138, 0)</f>
        <v>0</v>
      </c>
      <c r="N139" s="1">
        <v>0</v>
      </c>
      <c r="O139" s="1">
        <f>IF(N139 + O138 &lt; 0, N139 + O138, 0)</f>
        <v>0</v>
      </c>
      <c r="P139" s="1">
        <v>0</v>
      </c>
      <c r="Q139" s="1">
        <f>IF(P139 + Q138 &lt; 0, P139 + Q138, 0)</f>
        <v>0</v>
      </c>
    </row>
    <row r="140" spans="1:17" s="1" customFormat="1">
      <c r="A140" s="3">
        <v>45498</v>
      </c>
      <c r="B140" s="1" t="s">
        <v>25</v>
      </c>
      <c r="C140" s="1">
        <v>5</v>
      </c>
      <c r="D140" s="1">
        <v>4</v>
      </c>
      <c r="E140" s="1">
        <v>0</v>
      </c>
      <c r="F140" s="1">
        <v>0</v>
      </c>
      <c r="G140" s="1">
        <v>0</v>
      </c>
      <c r="H140" s="1">
        <v>0</v>
      </c>
      <c r="I140" s="1">
        <f>IF(H140 + I139 &lt; 0, H140 + I139, 0)</f>
        <v>0</v>
      </c>
      <c r="J140" s="1">
        <v>0</v>
      </c>
      <c r="K140" s="1">
        <f>IF(J140 + K139 &lt; 0, J140 + K139, 0)</f>
        <v>0</v>
      </c>
      <c r="L140" s="1">
        <v>316102.0269901501</v>
      </c>
      <c r="M140" s="1">
        <f>IF(L140 + M139 &lt; 0, L140 + M139, 0)</f>
        <v>0</v>
      </c>
      <c r="N140" s="1">
        <v>0</v>
      </c>
      <c r="O140" s="1">
        <f>IF(N140 + O139 &lt; 0, N140 + O139, 0)</f>
        <v>0</v>
      </c>
      <c r="P140" s="1">
        <v>0</v>
      </c>
      <c r="Q140" s="1">
        <f>IF(P140 + Q139 &lt; 0, P140 + Q139, 0)</f>
        <v>0</v>
      </c>
    </row>
    <row r="141" spans="1:17" s="1" customFormat="1">
      <c r="A141" s="3">
        <v>45499</v>
      </c>
      <c r="B141" s="1" t="s">
        <v>26</v>
      </c>
      <c r="C141" s="1">
        <v>4</v>
      </c>
      <c r="D141" s="1">
        <v>3</v>
      </c>
      <c r="E141" s="1">
        <v>0</v>
      </c>
      <c r="F141" s="1">
        <v>0</v>
      </c>
      <c r="G141" s="1">
        <v>0</v>
      </c>
      <c r="H141" s="1">
        <v>0</v>
      </c>
      <c r="I141" s="1">
        <f>IF(H141 + I140 &lt; 0, H141 + I140, 0)</f>
        <v>0</v>
      </c>
      <c r="J141" s="1">
        <v>0</v>
      </c>
      <c r="K141" s="1">
        <f>IF(J141 + K140 &lt; 0, J141 + K140, 0)</f>
        <v>0</v>
      </c>
      <c r="L141" s="1">
        <v>0</v>
      </c>
      <c r="M141" s="1">
        <f>IF(L141 + M140 &lt; 0, L141 + M140, 0)</f>
        <v>0</v>
      </c>
      <c r="N141" s="1">
        <v>0</v>
      </c>
      <c r="O141" s="1">
        <f>IF(N141 + O140 &lt; 0, N141 + O140, 0)</f>
        <v>0</v>
      </c>
      <c r="P141" s="1">
        <v>1515752.610498437</v>
      </c>
      <c r="Q141" s="1">
        <f>IF(P141 + Q140 &lt; 0, P141 + Q140, 0)</f>
        <v>0</v>
      </c>
    </row>
    <row r="142" spans="1:17" s="1" customFormat="1">
      <c r="A142" s="3">
        <v>45502</v>
      </c>
      <c r="B142" s="1" t="s">
        <v>22</v>
      </c>
      <c r="C142" s="1">
        <v>3</v>
      </c>
      <c r="D142" s="1">
        <v>2</v>
      </c>
      <c r="E142" s="1">
        <v>0</v>
      </c>
      <c r="F142" s="1">
        <v>0</v>
      </c>
      <c r="G142" s="1">
        <v>0</v>
      </c>
      <c r="H142" s="1">
        <v>0</v>
      </c>
      <c r="I142" s="1">
        <f>IF(H142 + I141 &lt; 0, H142 + I141, 0)</f>
        <v>0</v>
      </c>
      <c r="J142" s="1">
        <v>0</v>
      </c>
      <c r="K142" s="1">
        <f>IF(J142 + K141 &lt; 0, J142 + K141, 0)</f>
        <v>0</v>
      </c>
      <c r="L142" s="1">
        <v>0</v>
      </c>
      <c r="M142" s="1">
        <f>IF(L142 + M141 &lt; 0, L142 + M141, 0)</f>
        <v>0</v>
      </c>
      <c r="N142" s="1">
        <v>0</v>
      </c>
      <c r="O142" s="1">
        <f>IF(N142 + O141 &lt; 0, N142 + O141, 0)</f>
        <v>0</v>
      </c>
      <c r="P142" s="1">
        <v>0</v>
      </c>
      <c r="Q142" s="1">
        <f>IF(P142 + Q141 &lt; 0, P142 + Q141, 0)</f>
        <v>0</v>
      </c>
    </row>
    <row r="143" spans="1:17" s="1" customFormat="1">
      <c r="A143" s="3">
        <v>45503</v>
      </c>
      <c r="B143" s="1" t="s">
        <v>23</v>
      </c>
      <c r="C143" s="1">
        <v>2</v>
      </c>
      <c r="D143" s="1">
        <v>1</v>
      </c>
      <c r="E143" s="1">
        <v>0</v>
      </c>
      <c r="F143" s="1">
        <v>0</v>
      </c>
      <c r="G143" s="1">
        <v>0</v>
      </c>
      <c r="H143" s="1">
        <v>0</v>
      </c>
      <c r="I143" s="1">
        <f>IF(H143 + I142 &lt; 0, H143 + I142, 0)</f>
        <v>0</v>
      </c>
      <c r="J143" s="1">
        <v>0</v>
      </c>
      <c r="K143" s="1">
        <f>IF(J143 + K142 &lt; 0, J143 + K142, 0)</f>
        <v>0</v>
      </c>
      <c r="L143" s="1">
        <v>0</v>
      </c>
      <c r="M143" s="1">
        <f>IF(L143 + M142 &lt; 0, L143 + M142, 0)</f>
        <v>0</v>
      </c>
      <c r="N143" s="1">
        <v>0</v>
      </c>
      <c r="O143" s="1">
        <f>IF(N143 + O142 &lt; 0, N143 + O142, 0)</f>
        <v>0</v>
      </c>
      <c r="P143" s="1">
        <v>0</v>
      </c>
      <c r="Q143" s="1">
        <f>IF(P143 + Q142 &lt; 0, P143 + Q142, 0)</f>
        <v>0</v>
      </c>
    </row>
    <row r="144" spans="1:17" s="1" customFormat="1">
      <c r="A144" s="3">
        <v>45504</v>
      </c>
      <c r="B144" s="1" t="s">
        <v>24</v>
      </c>
      <c r="C144" s="1">
        <v>1</v>
      </c>
      <c r="D144" s="1">
        <v>19</v>
      </c>
      <c r="E144" s="1">
        <v>0</v>
      </c>
      <c r="F144" s="1">
        <v>0</v>
      </c>
      <c r="G144" s="1">
        <v>0</v>
      </c>
      <c r="H144" s="1">
        <v>0</v>
      </c>
      <c r="I144" s="1">
        <f>IF(H144 + I143 &lt; 0, H144 + I143, 0)</f>
        <v>0</v>
      </c>
      <c r="J144" s="1">
        <v>0</v>
      </c>
      <c r="K144" s="1">
        <f>IF(J144 + K143 &lt; 0, J144 + K143, 0)</f>
        <v>0</v>
      </c>
      <c r="L144" s="1">
        <v>0</v>
      </c>
      <c r="M144" s="1">
        <f>IF(L144 + M143 &lt; 0, L144 + M143, 0)</f>
        <v>0</v>
      </c>
      <c r="N144" s="1">
        <v>0</v>
      </c>
      <c r="O144" s="1">
        <f>IF(N144 + O143 &lt; 0, N144 + O143, 0)</f>
        <v>0</v>
      </c>
      <c r="P144" s="1">
        <v>0</v>
      </c>
      <c r="Q144" s="1">
        <f>IF(P144 + Q143 &lt; 0, P144 + Q143, 0)</f>
        <v>0</v>
      </c>
    </row>
    <row r="145" spans="1:17" s="1" customFormat="1">
      <c r="A145" s="3">
        <v>45505</v>
      </c>
      <c r="B145" s="1" t="s">
        <v>25</v>
      </c>
      <c r="C145" s="1">
        <v>19</v>
      </c>
      <c r="D145" s="1">
        <v>18</v>
      </c>
      <c r="E145" s="1">
        <v>0</v>
      </c>
      <c r="F145" s="1">
        <v>0</v>
      </c>
      <c r="G145" s="1">
        <v>0</v>
      </c>
      <c r="H145" s="1">
        <v>0</v>
      </c>
      <c r="I145" s="1">
        <f>IF(H145 + I144 &lt; 0, H145 + I144, 0)</f>
        <v>0</v>
      </c>
      <c r="J145" s="1">
        <v>0</v>
      </c>
      <c r="K145" s="1">
        <f>IF(J145 + K144 &lt; 0, J145 + K144, 0)</f>
        <v>0</v>
      </c>
      <c r="L145" s="1">
        <v>1794189.179952212</v>
      </c>
      <c r="M145" s="1">
        <f>IF(L145 + M144 &lt; 0, L145 + M144, 0)</f>
        <v>0</v>
      </c>
      <c r="N145" s="1">
        <v>0</v>
      </c>
      <c r="O145" s="1">
        <f>IF(N145 + O144 &lt; 0, N145 + O144, 0)</f>
        <v>0</v>
      </c>
      <c r="P145" s="1">
        <v>0</v>
      </c>
      <c r="Q145" s="1">
        <f>IF(P145 + Q144 &lt; 0, P145 + Q144, 0)</f>
        <v>0</v>
      </c>
    </row>
    <row r="146" spans="1:17" s="1" customFormat="1">
      <c r="A146" s="3">
        <v>45506</v>
      </c>
      <c r="B146" s="1" t="s">
        <v>26</v>
      </c>
      <c r="C146" s="1">
        <v>18</v>
      </c>
      <c r="D146" s="1">
        <v>17</v>
      </c>
      <c r="E146" s="1">
        <v>0</v>
      </c>
      <c r="F146" s="1">
        <v>0</v>
      </c>
      <c r="G146" s="1">
        <v>0</v>
      </c>
      <c r="H146" s="1">
        <v>0</v>
      </c>
      <c r="I146" s="1">
        <f>IF(H146 + I145 &lt; 0, H146 + I145, 0)</f>
        <v>0</v>
      </c>
      <c r="J146" s="1">
        <v>0</v>
      </c>
      <c r="K146" s="1">
        <f>IF(J146 + K145 &lt; 0, J146 + K145, 0)</f>
        <v>0</v>
      </c>
      <c r="L146" s="1">
        <v>0</v>
      </c>
      <c r="M146" s="1">
        <f>IF(L146 + M145 &lt; 0, L146 + M145, 0)</f>
        <v>0</v>
      </c>
      <c r="N146" s="1">
        <v>0</v>
      </c>
      <c r="O146" s="1">
        <f>IF(N146 + O145 &lt; 0, N146 + O145, 0)</f>
        <v>0</v>
      </c>
      <c r="P146" s="1">
        <v>1907413.095441632</v>
      </c>
      <c r="Q146" s="1">
        <f>IF(P146 + Q145 &lt; 0, P146 + Q145, 0)</f>
        <v>0</v>
      </c>
    </row>
    <row r="147" spans="1:17" s="1" customFormat="1">
      <c r="A147" s="3">
        <v>45509</v>
      </c>
      <c r="B147" s="1" t="s">
        <v>22</v>
      </c>
      <c r="C147" s="1">
        <v>17</v>
      </c>
      <c r="D147" s="1">
        <v>16</v>
      </c>
      <c r="E147" s="1">
        <v>0</v>
      </c>
      <c r="F147" s="1">
        <v>0</v>
      </c>
      <c r="G147" s="1">
        <v>0</v>
      </c>
      <c r="H147" s="1">
        <v>0</v>
      </c>
      <c r="I147" s="1">
        <f>IF(H147 + I146 &lt; 0, H147 + I146, 0)</f>
        <v>0</v>
      </c>
      <c r="J147" s="1">
        <v>0</v>
      </c>
      <c r="K147" s="1">
        <f>IF(J147 + K146 &lt; 0, J147 + K146, 0)</f>
        <v>0</v>
      </c>
      <c r="L147" s="1">
        <v>0</v>
      </c>
      <c r="M147" s="1">
        <f>IF(L147 + M146 &lt; 0, L147 + M146, 0)</f>
        <v>0</v>
      </c>
      <c r="N147" s="1">
        <v>0</v>
      </c>
      <c r="O147" s="1">
        <f>IF(N147 + O146 &lt; 0, N147 + O146, 0)</f>
        <v>0</v>
      </c>
      <c r="P147" s="1">
        <v>0</v>
      </c>
      <c r="Q147" s="1">
        <f>IF(P147 + Q146 &lt; 0, P147 + Q146, 0)</f>
        <v>0</v>
      </c>
    </row>
    <row r="148" spans="1:17" s="1" customFormat="1">
      <c r="A148" s="3">
        <v>45510</v>
      </c>
      <c r="B148" s="1" t="s">
        <v>23</v>
      </c>
      <c r="C148" s="1">
        <v>16</v>
      </c>
      <c r="D148" s="1">
        <v>15</v>
      </c>
      <c r="E148" s="1">
        <v>0</v>
      </c>
      <c r="F148" s="1">
        <v>0</v>
      </c>
      <c r="G148" s="1">
        <v>0</v>
      </c>
      <c r="H148" s="1">
        <v>0</v>
      </c>
      <c r="I148" s="1">
        <f>IF(H148 + I147 &lt; 0, H148 + I147, 0)</f>
        <v>0</v>
      </c>
      <c r="J148" s="1">
        <v>0</v>
      </c>
      <c r="K148" s="1">
        <f>IF(J148 + K147 &lt; 0, J148 + K147, 0)</f>
        <v>0</v>
      </c>
      <c r="L148" s="1">
        <v>0</v>
      </c>
      <c r="M148" s="1">
        <f>IF(L148 + M147 &lt; 0, L148 + M147, 0)</f>
        <v>0</v>
      </c>
      <c r="N148" s="1">
        <v>0</v>
      </c>
      <c r="O148" s="1">
        <f>IF(N148 + O147 &lt; 0, N148 + O147, 0)</f>
        <v>0</v>
      </c>
      <c r="P148" s="1">
        <v>0</v>
      </c>
      <c r="Q148" s="1">
        <f>IF(P148 + Q147 &lt; 0, P148 + Q147, 0)</f>
        <v>0</v>
      </c>
    </row>
    <row r="149" spans="1:17" s="1" customFormat="1">
      <c r="A149" s="3">
        <v>45511</v>
      </c>
      <c r="B149" s="1" t="s">
        <v>24</v>
      </c>
      <c r="C149" s="1">
        <v>15</v>
      </c>
      <c r="D149" s="1">
        <v>14</v>
      </c>
      <c r="E149" s="1">
        <v>0</v>
      </c>
      <c r="F149" s="1">
        <v>0</v>
      </c>
      <c r="G149" s="1">
        <v>0</v>
      </c>
      <c r="H149" s="1">
        <v>0</v>
      </c>
      <c r="I149" s="1">
        <f>IF(H149 + I148 &lt; 0, H149 + I148, 0)</f>
        <v>0</v>
      </c>
      <c r="J149" s="1">
        <v>0</v>
      </c>
      <c r="K149" s="1">
        <f>IF(J149 + K148 &lt; 0, J149 + K148, 0)</f>
        <v>0</v>
      </c>
      <c r="L149" s="1">
        <v>0</v>
      </c>
      <c r="M149" s="1">
        <f>IF(L149 + M148 &lt; 0, L149 + M148, 0)</f>
        <v>0</v>
      </c>
      <c r="N149" s="1">
        <v>0</v>
      </c>
      <c r="O149" s="1">
        <f>IF(N149 + O148 &lt; 0, N149 + O148, 0)</f>
        <v>0</v>
      </c>
      <c r="P149" s="1">
        <v>0</v>
      </c>
      <c r="Q149" s="1">
        <f>IF(P149 + Q148 &lt; 0, P149 + Q148, 0)</f>
        <v>0</v>
      </c>
    </row>
    <row r="150" spans="1:17" s="1" customFormat="1">
      <c r="A150" s="3">
        <v>45512</v>
      </c>
      <c r="B150" s="1" t="s">
        <v>25</v>
      </c>
      <c r="C150" s="1">
        <v>14</v>
      </c>
      <c r="D150" s="1">
        <v>13</v>
      </c>
      <c r="E150" s="1">
        <v>0</v>
      </c>
      <c r="F150" s="1">
        <v>0</v>
      </c>
      <c r="G150" s="1">
        <v>0</v>
      </c>
      <c r="H150" s="1">
        <v>0</v>
      </c>
      <c r="I150" s="1">
        <f>IF(H150 + I149 &lt; 0, H150 + I149, 0)</f>
        <v>0</v>
      </c>
      <c r="J150" s="1">
        <v>0</v>
      </c>
      <c r="K150" s="1">
        <f>IF(J150 + K149 &lt; 0, J150 + K149, 0)</f>
        <v>0</v>
      </c>
      <c r="L150" s="1">
        <v>774325.6985316459</v>
      </c>
      <c r="M150" s="1">
        <f>IF(L150 + M149 &lt; 0, L150 + M149, 0)</f>
        <v>0</v>
      </c>
      <c r="N150" s="1">
        <v>0</v>
      </c>
      <c r="O150" s="1">
        <f>IF(N150 + O149 &lt; 0, N150 + O149, 0)</f>
        <v>0</v>
      </c>
      <c r="P150" s="1">
        <v>0</v>
      </c>
      <c r="Q150" s="1">
        <f>IF(P150 + Q149 &lt; 0, P150 + Q149, 0)</f>
        <v>0</v>
      </c>
    </row>
    <row r="151" spans="1:17" s="1" customFormat="1">
      <c r="A151" s="3">
        <v>45513</v>
      </c>
      <c r="B151" s="1" t="s">
        <v>26</v>
      </c>
      <c r="C151" s="1">
        <v>13</v>
      </c>
      <c r="D151" s="1">
        <v>12</v>
      </c>
      <c r="E151" s="1">
        <v>0</v>
      </c>
      <c r="F151" s="1">
        <v>0</v>
      </c>
      <c r="G151" s="1">
        <v>0</v>
      </c>
      <c r="H151" s="1">
        <v>0</v>
      </c>
      <c r="I151" s="1">
        <f>IF(H151 + I150 &lt; 0, H151 + I150, 0)</f>
        <v>0</v>
      </c>
      <c r="J151" s="1">
        <v>0</v>
      </c>
      <c r="K151" s="1">
        <f>IF(J151 + K150 &lt; 0, J151 + K150, 0)</f>
        <v>0</v>
      </c>
      <c r="L151" s="1">
        <v>0</v>
      </c>
      <c r="M151" s="1">
        <f>IF(L151 + M150 &lt; 0, L151 + M150, 0)</f>
        <v>0</v>
      </c>
      <c r="N151" s="1">
        <v>0</v>
      </c>
      <c r="O151" s="1">
        <f>IF(N151 + O150 &lt; 0, N151 + O150, 0)</f>
        <v>0</v>
      </c>
      <c r="P151" s="1">
        <v>3009223.062672521</v>
      </c>
      <c r="Q151" s="1">
        <f>IF(P151 + Q150 &lt; 0, P151 + Q150, 0)</f>
        <v>0</v>
      </c>
    </row>
    <row r="152" spans="1:17" s="1" customFormat="1">
      <c r="A152" s="3">
        <v>45516</v>
      </c>
      <c r="B152" s="1" t="s">
        <v>22</v>
      </c>
      <c r="C152" s="1">
        <v>12</v>
      </c>
      <c r="D152" s="1">
        <v>11</v>
      </c>
      <c r="E152" s="1">
        <v>0</v>
      </c>
      <c r="F152" s="1">
        <v>0</v>
      </c>
      <c r="G152" s="1">
        <v>0</v>
      </c>
      <c r="H152" s="1">
        <v>0</v>
      </c>
      <c r="I152" s="1">
        <f>IF(H152 + I151 &lt; 0, H152 + I151, 0)</f>
        <v>0</v>
      </c>
      <c r="J152" s="1">
        <v>0</v>
      </c>
      <c r="K152" s="1">
        <f>IF(J152 + K151 &lt; 0, J152 + K151, 0)</f>
        <v>0</v>
      </c>
      <c r="L152" s="1">
        <v>0</v>
      </c>
      <c r="M152" s="1">
        <f>IF(L152 + M151 &lt; 0, L152 + M151, 0)</f>
        <v>0</v>
      </c>
      <c r="N152" s="1">
        <v>0</v>
      </c>
      <c r="O152" s="1">
        <f>IF(N152 + O151 &lt; 0, N152 + O151, 0)</f>
        <v>0</v>
      </c>
      <c r="P152" s="1">
        <v>0</v>
      </c>
      <c r="Q152" s="1">
        <f>IF(P152 + Q151 &lt; 0, P152 + Q151, 0)</f>
        <v>0</v>
      </c>
    </row>
    <row r="153" spans="1:17" s="1" customFormat="1">
      <c r="A153" s="3">
        <v>45517</v>
      </c>
      <c r="B153" s="1" t="s">
        <v>23</v>
      </c>
      <c r="C153" s="1">
        <v>11</v>
      </c>
      <c r="D153" s="1">
        <v>10</v>
      </c>
      <c r="E153" s="1">
        <v>0</v>
      </c>
      <c r="F153" s="1">
        <v>0</v>
      </c>
      <c r="G153" s="1">
        <v>0</v>
      </c>
      <c r="H153" s="1">
        <v>0</v>
      </c>
      <c r="I153" s="1">
        <f>IF(H153 + I152 &lt; 0, H153 + I152, 0)</f>
        <v>0</v>
      </c>
      <c r="J153" s="1">
        <v>0</v>
      </c>
      <c r="K153" s="1">
        <f>IF(J153 + K152 &lt; 0, J153 + K152, 0)</f>
        <v>0</v>
      </c>
      <c r="L153" s="1">
        <v>0</v>
      </c>
      <c r="M153" s="1">
        <f>IF(L153 + M152 &lt; 0, L153 + M152, 0)</f>
        <v>0</v>
      </c>
      <c r="N153" s="1">
        <v>0</v>
      </c>
      <c r="O153" s="1">
        <f>IF(N153 + O152 &lt; 0, N153 + O152, 0)</f>
        <v>0</v>
      </c>
      <c r="P153" s="1">
        <v>0</v>
      </c>
      <c r="Q153" s="1">
        <f>IF(P153 + Q152 &lt; 0, P153 + Q152, 0)</f>
        <v>0</v>
      </c>
    </row>
    <row r="154" spans="1:17" s="1" customFormat="1">
      <c r="A154" s="3">
        <v>45518</v>
      </c>
      <c r="B154" s="1" t="s">
        <v>24</v>
      </c>
      <c r="C154" s="1">
        <v>10</v>
      </c>
      <c r="D154" s="1">
        <v>9</v>
      </c>
      <c r="E154" s="1">
        <v>0</v>
      </c>
      <c r="F154" s="1">
        <v>0</v>
      </c>
      <c r="G154" s="1">
        <v>0</v>
      </c>
      <c r="H154" s="1">
        <v>0</v>
      </c>
      <c r="I154" s="1">
        <f>IF(H154 + I153 &lt; 0, H154 + I153, 0)</f>
        <v>0</v>
      </c>
      <c r="J154" s="1">
        <v>0</v>
      </c>
      <c r="K154" s="1">
        <f>IF(J154 + K153 &lt; 0, J154 + K153, 0)</f>
        <v>0</v>
      </c>
      <c r="L154" s="1">
        <v>2226547.986198419</v>
      </c>
      <c r="M154" s="1">
        <f>IF(L154 + M153 &lt; 0, L154 + M153, 0)</f>
        <v>0</v>
      </c>
      <c r="N154" s="1">
        <v>0</v>
      </c>
      <c r="O154" s="1">
        <f>IF(N154 + O153 &lt; 0, N154 + O153, 0)</f>
        <v>0</v>
      </c>
      <c r="P154" s="1">
        <v>0</v>
      </c>
      <c r="Q154" s="1">
        <f>IF(P154 + Q153 &lt; 0, P154 + Q153, 0)</f>
        <v>0</v>
      </c>
    </row>
    <row r="155" spans="1:17" s="1" customFormat="1">
      <c r="A155" s="3">
        <v>45520</v>
      </c>
      <c r="B155" s="1" t="s">
        <v>26</v>
      </c>
      <c r="C155" s="1">
        <v>9</v>
      </c>
      <c r="D155" s="1">
        <v>8</v>
      </c>
      <c r="E155" s="1">
        <v>0</v>
      </c>
      <c r="F155" s="1">
        <v>0</v>
      </c>
      <c r="G155" s="1">
        <v>0</v>
      </c>
      <c r="H155" s="1">
        <v>0</v>
      </c>
      <c r="I155" s="1">
        <f>IF(H155 + I154 &lt; 0, H155 + I154, 0)</f>
        <v>0</v>
      </c>
      <c r="J155" s="1">
        <v>0</v>
      </c>
      <c r="K155" s="1">
        <f>IF(J155 + K154 &lt; 0, J155 + K154, 0)</f>
        <v>0</v>
      </c>
      <c r="L155" s="1">
        <v>0</v>
      </c>
      <c r="M155" s="1">
        <f>IF(L155 + M154 &lt; 0, L155 + M154, 0)</f>
        <v>0</v>
      </c>
      <c r="N155" s="1">
        <v>0</v>
      </c>
      <c r="O155" s="1">
        <f>IF(N155 + O154 &lt; 0, N155 + O154, 0)</f>
        <v>0</v>
      </c>
      <c r="P155" s="1">
        <v>726873.8106315737</v>
      </c>
      <c r="Q155" s="1">
        <f>IF(P155 + Q154 &lt; 0, P155 + Q154, 0)</f>
        <v>0</v>
      </c>
    </row>
    <row r="156" spans="1:17" s="1" customFormat="1">
      <c r="A156" s="3">
        <v>45523</v>
      </c>
      <c r="B156" s="1" t="s">
        <v>22</v>
      </c>
      <c r="C156" s="1">
        <v>8</v>
      </c>
      <c r="D156" s="1">
        <v>7</v>
      </c>
      <c r="E156" s="1">
        <v>0</v>
      </c>
      <c r="F156" s="1">
        <v>0</v>
      </c>
      <c r="G156" s="1">
        <v>0</v>
      </c>
      <c r="H156" s="1">
        <v>0</v>
      </c>
      <c r="I156" s="1">
        <f>IF(H156 + I155 &lt; 0, H156 + I155, 0)</f>
        <v>0</v>
      </c>
      <c r="J156" s="1">
        <v>0</v>
      </c>
      <c r="K156" s="1">
        <f>IF(J156 + K155 &lt; 0, J156 + K155, 0)</f>
        <v>0</v>
      </c>
      <c r="L156" s="1">
        <v>0</v>
      </c>
      <c r="M156" s="1">
        <f>IF(L156 + M155 &lt; 0, L156 + M155, 0)</f>
        <v>0</v>
      </c>
      <c r="N156" s="1">
        <v>0</v>
      </c>
      <c r="O156" s="1">
        <f>IF(N156 + O155 &lt; 0, N156 + O155, 0)</f>
        <v>0</v>
      </c>
      <c r="P156" s="1">
        <v>0</v>
      </c>
      <c r="Q156" s="1">
        <f>IF(P156 + Q155 &lt; 0, P156 + Q155, 0)</f>
        <v>0</v>
      </c>
    </row>
    <row r="157" spans="1:17" s="1" customFormat="1">
      <c r="A157" s="3">
        <v>45524</v>
      </c>
      <c r="B157" s="1" t="s">
        <v>23</v>
      </c>
      <c r="C157" s="1">
        <v>7</v>
      </c>
      <c r="D157" s="1">
        <v>6</v>
      </c>
      <c r="E157" s="1">
        <v>0</v>
      </c>
      <c r="F157" s="1">
        <v>0</v>
      </c>
      <c r="G157" s="1">
        <v>0</v>
      </c>
      <c r="H157" s="1">
        <v>0</v>
      </c>
      <c r="I157" s="1">
        <f>IF(H157 + I156 &lt; 0, H157 + I156, 0)</f>
        <v>0</v>
      </c>
      <c r="J157" s="1">
        <v>0</v>
      </c>
      <c r="K157" s="1">
        <f>IF(J157 + K156 &lt; 0, J157 + K156, 0)</f>
        <v>0</v>
      </c>
      <c r="L157" s="1">
        <v>0</v>
      </c>
      <c r="M157" s="1">
        <f>IF(L157 + M156 &lt; 0, L157 + M156, 0)</f>
        <v>0</v>
      </c>
      <c r="N157" s="1">
        <v>0</v>
      </c>
      <c r="O157" s="1">
        <f>IF(N157 + O156 &lt; 0, N157 + O156, 0)</f>
        <v>0</v>
      </c>
      <c r="P157" s="1">
        <v>0</v>
      </c>
      <c r="Q157" s="1">
        <f>IF(P157 + Q156 &lt; 0, P157 + Q156, 0)</f>
        <v>0</v>
      </c>
    </row>
    <row r="158" spans="1:17" s="1" customFormat="1">
      <c r="A158" s="3">
        <v>45525</v>
      </c>
      <c r="B158" s="1" t="s">
        <v>24</v>
      </c>
      <c r="C158" s="1">
        <v>6</v>
      </c>
      <c r="D158" s="1">
        <v>5</v>
      </c>
      <c r="E158" s="1">
        <v>0</v>
      </c>
      <c r="F158" s="1">
        <v>0</v>
      </c>
      <c r="G158" s="1">
        <v>0</v>
      </c>
      <c r="H158" s="1">
        <v>0</v>
      </c>
      <c r="I158" s="1">
        <f>IF(H158 + I157 &lt; 0, H158 + I157, 0)</f>
        <v>0</v>
      </c>
      <c r="J158" s="1">
        <v>0</v>
      </c>
      <c r="K158" s="1">
        <f>IF(J158 + K157 &lt; 0, J158 + K157, 0)</f>
        <v>0</v>
      </c>
      <c r="L158" s="1">
        <v>0</v>
      </c>
      <c r="M158" s="1">
        <f>IF(L158 + M157 &lt; 0, L158 + M157, 0)</f>
        <v>0</v>
      </c>
      <c r="N158" s="1">
        <v>0</v>
      </c>
      <c r="O158" s="1">
        <f>IF(N158 + O157 &lt; 0, N158 + O157, 0)</f>
        <v>0</v>
      </c>
      <c r="P158" s="1">
        <v>0</v>
      </c>
      <c r="Q158" s="1">
        <f>IF(P158 + Q157 &lt; 0, P158 + Q157, 0)</f>
        <v>0</v>
      </c>
    </row>
    <row r="159" spans="1:17" s="1" customFormat="1">
      <c r="A159" s="3">
        <v>45526</v>
      </c>
      <c r="B159" s="1" t="s">
        <v>25</v>
      </c>
      <c r="C159" s="1">
        <v>5</v>
      </c>
      <c r="D159" s="1">
        <v>4</v>
      </c>
      <c r="E159" s="1">
        <v>0</v>
      </c>
      <c r="F159" s="1">
        <v>0</v>
      </c>
      <c r="G159" s="1">
        <v>0</v>
      </c>
      <c r="H159" s="1">
        <v>0</v>
      </c>
      <c r="I159" s="1">
        <f>IF(H159 + I158 &lt; 0, H159 + I158, 0)</f>
        <v>0</v>
      </c>
      <c r="J159" s="1">
        <v>0</v>
      </c>
      <c r="K159" s="1">
        <f>IF(J159 + K158 &lt; 0, J159 + K158, 0)</f>
        <v>0</v>
      </c>
      <c r="L159" s="1">
        <v>1439828.530579023</v>
      </c>
      <c r="M159" s="1">
        <f>IF(L159 + M158 &lt; 0, L159 + M158, 0)</f>
        <v>0</v>
      </c>
      <c r="N159" s="1">
        <v>0</v>
      </c>
      <c r="O159" s="1">
        <f>IF(N159 + O158 &lt; 0, N159 + O158, 0)</f>
        <v>0</v>
      </c>
      <c r="P159" s="1">
        <v>0</v>
      </c>
      <c r="Q159" s="1">
        <f>IF(P159 + Q158 &lt; 0, P159 + Q158, 0)</f>
        <v>0</v>
      </c>
    </row>
    <row r="160" spans="1:17" s="1" customFormat="1">
      <c r="A160" s="3">
        <v>45527</v>
      </c>
      <c r="B160" s="1" t="s">
        <v>26</v>
      </c>
      <c r="C160" s="1">
        <v>4</v>
      </c>
      <c r="D160" s="1">
        <v>3</v>
      </c>
      <c r="E160" s="1">
        <v>0</v>
      </c>
      <c r="F160" s="1">
        <v>0</v>
      </c>
      <c r="G160" s="1">
        <v>0</v>
      </c>
      <c r="H160" s="1">
        <v>0</v>
      </c>
      <c r="I160" s="1">
        <f>IF(H160 + I159 &lt; 0, H160 + I159, 0)</f>
        <v>0</v>
      </c>
      <c r="J160" s="1">
        <v>0</v>
      </c>
      <c r="K160" s="1">
        <f>IF(J160 + K159 &lt; 0, J160 + K159, 0)</f>
        <v>0</v>
      </c>
      <c r="L160" s="1">
        <v>0</v>
      </c>
      <c r="M160" s="1">
        <f>IF(L160 + M159 &lt; 0, L160 + M159, 0)</f>
        <v>0</v>
      </c>
      <c r="N160" s="1">
        <v>0</v>
      </c>
      <c r="O160" s="1">
        <f>IF(N160 + O159 &lt; 0, N160 + O159, 0)</f>
        <v>0</v>
      </c>
      <c r="P160" s="1">
        <v>2175127.33047267</v>
      </c>
      <c r="Q160" s="1">
        <f>IF(P160 + Q159 &lt; 0, P160 + Q159, 0)</f>
        <v>0</v>
      </c>
    </row>
    <row r="161" spans="1:17" s="1" customFormat="1">
      <c r="A161" s="3">
        <v>45530</v>
      </c>
      <c r="B161" s="1" t="s">
        <v>22</v>
      </c>
      <c r="C161" s="1">
        <v>3</v>
      </c>
      <c r="D161" s="1">
        <v>2</v>
      </c>
      <c r="E161" s="1">
        <v>0</v>
      </c>
      <c r="F161" s="1">
        <v>0</v>
      </c>
      <c r="G161" s="1">
        <v>0</v>
      </c>
      <c r="H161" s="1">
        <v>0</v>
      </c>
      <c r="I161" s="1">
        <f>IF(H161 + I160 &lt; 0, H161 + I160, 0)</f>
        <v>0</v>
      </c>
      <c r="J161" s="1">
        <v>0</v>
      </c>
      <c r="K161" s="1">
        <f>IF(J161 + K160 &lt; 0, J161 + K160, 0)</f>
        <v>0</v>
      </c>
      <c r="L161" s="1">
        <v>0</v>
      </c>
      <c r="M161" s="1">
        <f>IF(L161 + M160 &lt; 0, L161 + M160, 0)</f>
        <v>0</v>
      </c>
      <c r="N161" s="1">
        <v>0</v>
      </c>
      <c r="O161" s="1">
        <f>IF(N161 + O160 &lt; 0, N161 + O160, 0)</f>
        <v>0</v>
      </c>
      <c r="P161" s="1">
        <v>0</v>
      </c>
      <c r="Q161" s="1">
        <f>IF(P161 + Q160 &lt; 0, P161 + Q160, 0)</f>
        <v>0</v>
      </c>
    </row>
    <row r="162" spans="1:17" s="1" customFormat="1">
      <c r="A162" s="3">
        <v>45531</v>
      </c>
      <c r="B162" s="1" t="s">
        <v>23</v>
      </c>
      <c r="C162" s="1">
        <v>2</v>
      </c>
      <c r="D162" s="1">
        <v>1</v>
      </c>
      <c r="E162" s="1">
        <v>0</v>
      </c>
      <c r="F162" s="1">
        <v>0</v>
      </c>
      <c r="G162" s="1">
        <v>0</v>
      </c>
      <c r="H162" s="1">
        <v>0</v>
      </c>
      <c r="I162" s="1">
        <f>IF(H162 + I161 &lt; 0, H162 + I161, 0)</f>
        <v>0</v>
      </c>
      <c r="J162" s="1">
        <v>0</v>
      </c>
      <c r="K162" s="1">
        <f>IF(J162 + K161 &lt; 0, J162 + K161, 0)</f>
        <v>0</v>
      </c>
      <c r="L162" s="1">
        <v>0</v>
      </c>
      <c r="M162" s="1">
        <f>IF(L162 + M161 &lt; 0, L162 + M161, 0)</f>
        <v>0</v>
      </c>
      <c r="N162" s="1">
        <v>0</v>
      </c>
      <c r="O162" s="1">
        <f>IF(N162 + O161 &lt; 0, N162 + O161, 0)</f>
        <v>0</v>
      </c>
      <c r="P162" s="1">
        <v>0</v>
      </c>
      <c r="Q162" s="1">
        <f>IF(P162 + Q161 &lt; 0, P162 + Q161, 0)</f>
        <v>0</v>
      </c>
    </row>
    <row r="163" spans="1:17" s="1" customFormat="1">
      <c r="A163" s="3">
        <v>45532</v>
      </c>
      <c r="B163" s="1" t="s">
        <v>24</v>
      </c>
      <c r="C163" s="1">
        <v>1</v>
      </c>
      <c r="D163" s="1">
        <v>20</v>
      </c>
      <c r="E163" s="1">
        <v>0</v>
      </c>
      <c r="F163" s="1">
        <v>0</v>
      </c>
      <c r="G163" s="1">
        <v>0</v>
      </c>
      <c r="H163" s="1">
        <v>0</v>
      </c>
      <c r="I163" s="1">
        <f>IF(H163 + I162 &lt; 0, H163 + I162, 0)</f>
        <v>0</v>
      </c>
      <c r="J163" s="1">
        <v>0</v>
      </c>
      <c r="K163" s="1">
        <f>IF(J163 + K162 &lt; 0, J163 + K162, 0)</f>
        <v>0</v>
      </c>
      <c r="L163" s="1">
        <v>0</v>
      </c>
      <c r="M163" s="1">
        <f>IF(L163 + M162 &lt; 0, L163 + M162, 0)</f>
        <v>0</v>
      </c>
      <c r="N163" s="1">
        <v>0</v>
      </c>
      <c r="O163" s="1">
        <f>IF(N163 + O162 &lt; 0, N163 + O162, 0)</f>
        <v>0</v>
      </c>
      <c r="P163" s="1">
        <v>0</v>
      </c>
      <c r="Q163" s="1">
        <f>IF(P163 + Q162 &lt; 0, P163 + Q162, 0)</f>
        <v>0</v>
      </c>
    </row>
    <row r="164" spans="1:17" s="1" customFormat="1">
      <c r="A164" s="3">
        <v>45533</v>
      </c>
      <c r="B164" s="1" t="s">
        <v>25</v>
      </c>
      <c r="C164" s="1">
        <v>20</v>
      </c>
      <c r="D164" s="1">
        <v>19</v>
      </c>
      <c r="E164" s="1">
        <v>0</v>
      </c>
      <c r="F164" s="1">
        <v>0</v>
      </c>
      <c r="G164" s="1">
        <v>0</v>
      </c>
      <c r="H164" s="1">
        <v>0</v>
      </c>
      <c r="I164" s="1">
        <f>IF(H164 + I163 &lt; 0, H164 + I163, 0)</f>
        <v>0</v>
      </c>
      <c r="J164" s="1">
        <v>0</v>
      </c>
      <c r="K164" s="1">
        <f>IF(J164 + K163 &lt; 0, J164 + K163, 0)</f>
        <v>0</v>
      </c>
      <c r="L164" s="1">
        <v>-109878.4271480208</v>
      </c>
      <c r="M164" s="1">
        <f>IF(L164 + M163 &lt; 0, L164 + M163, 0)</f>
        <v>0</v>
      </c>
      <c r="N164" s="1">
        <v>0</v>
      </c>
      <c r="O164" s="1">
        <f>IF(N164 + O163 &lt; 0, N164 + O163, 0)</f>
        <v>0</v>
      </c>
      <c r="P164" s="1">
        <v>0</v>
      </c>
      <c r="Q164" s="1">
        <f>IF(P164 + Q163 &lt; 0, P164 + Q163, 0)</f>
        <v>0</v>
      </c>
    </row>
    <row r="165" spans="1:17" s="1" customFormat="1">
      <c r="A165" s="3">
        <v>45534</v>
      </c>
      <c r="B165" s="1" t="s">
        <v>26</v>
      </c>
      <c r="C165" s="1">
        <v>19</v>
      </c>
      <c r="D165" s="1">
        <v>18</v>
      </c>
      <c r="E165" s="1">
        <v>0</v>
      </c>
      <c r="F165" s="1">
        <v>0</v>
      </c>
      <c r="G165" s="1">
        <v>0</v>
      </c>
      <c r="H165" s="1">
        <v>0</v>
      </c>
      <c r="I165" s="1">
        <f>IF(H165 + I164 &lt; 0, H165 + I164, 0)</f>
        <v>0</v>
      </c>
      <c r="J165" s="1">
        <v>0</v>
      </c>
      <c r="K165" s="1">
        <f>IF(J165 + K164 &lt; 0, J165 + K164, 0)</f>
        <v>0</v>
      </c>
      <c r="L165" s="1">
        <v>0</v>
      </c>
      <c r="M165" s="1">
        <f>IF(L165 + M164 &lt; 0, L165 + M164, 0)</f>
        <v>0</v>
      </c>
      <c r="N165" s="1">
        <v>0</v>
      </c>
      <c r="O165" s="1">
        <f>IF(N165 + O164 &lt; 0, N165 + O164, 0)</f>
        <v>0</v>
      </c>
      <c r="P165" s="1">
        <v>1557296.377061928</v>
      </c>
      <c r="Q165" s="1">
        <f>IF(P165 + Q164 &lt; 0, P165 + Q164, 0)</f>
        <v>0</v>
      </c>
    </row>
    <row r="166" spans="1:17" s="1" customFormat="1">
      <c r="A166" s="3">
        <v>45537</v>
      </c>
      <c r="B166" s="1" t="s">
        <v>22</v>
      </c>
      <c r="C166" s="1">
        <v>18</v>
      </c>
      <c r="D166" s="1">
        <v>17</v>
      </c>
      <c r="E166" s="1">
        <v>0</v>
      </c>
      <c r="F166" s="1">
        <v>0</v>
      </c>
      <c r="G166" s="1">
        <v>0</v>
      </c>
      <c r="H166" s="1">
        <v>0</v>
      </c>
      <c r="I166" s="1">
        <f>IF(H166 + I165 &lt; 0, H166 + I165, 0)</f>
        <v>0</v>
      </c>
      <c r="J166" s="1">
        <v>0</v>
      </c>
      <c r="K166" s="1">
        <f>IF(J166 + K165 &lt; 0, J166 + K165, 0)</f>
        <v>0</v>
      </c>
      <c r="L166" s="1">
        <v>0</v>
      </c>
      <c r="M166" s="1">
        <f>IF(L166 + M165 &lt; 0, L166 + M165, 0)</f>
        <v>0</v>
      </c>
      <c r="N166" s="1">
        <v>0</v>
      </c>
      <c r="O166" s="1">
        <f>IF(N166 + O165 &lt; 0, N166 + O165, 0)</f>
        <v>0</v>
      </c>
      <c r="P166" s="1">
        <v>0</v>
      </c>
      <c r="Q166" s="1">
        <f>IF(P166 + Q165 &lt; 0, P166 + Q165, 0)</f>
        <v>0</v>
      </c>
    </row>
    <row r="167" spans="1:17" s="1" customFormat="1">
      <c r="A167" s="3">
        <v>45538</v>
      </c>
      <c r="B167" s="1" t="s">
        <v>23</v>
      </c>
      <c r="C167" s="1">
        <v>17</v>
      </c>
      <c r="D167" s="1">
        <v>16</v>
      </c>
      <c r="E167" s="1">
        <v>0</v>
      </c>
      <c r="F167" s="1">
        <v>0</v>
      </c>
      <c r="G167" s="1">
        <v>0</v>
      </c>
      <c r="H167" s="1">
        <v>0</v>
      </c>
      <c r="I167" s="1">
        <f>IF(H167 + I166 &lt; 0, H167 + I166, 0)</f>
        <v>0</v>
      </c>
      <c r="J167" s="1">
        <v>0</v>
      </c>
      <c r="K167" s="1">
        <f>IF(J167 + K166 &lt; 0, J167 + K166, 0)</f>
        <v>0</v>
      </c>
      <c r="L167" s="1">
        <v>0</v>
      </c>
      <c r="M167" s="1">
        <f>IF(L167 + M166 &lt; 0, L167 + M166, 0)</f>
        <v>0</v>
      </c>
      <c r="N167" s="1">
        <v>0</v>
      </c>
      <c r="O167" s="1">
        <f>IF(N167 + O166 &lt; 0, N167 + O166, 0)</f>
        <v>0</v>
      </c>
      <c r="P167" s="1">
        <v>0</v>
      </c>
      <c r="Q167" s="1">
        <f>IF(P167 + Q166 &lt; 0, P167 + Q166, 0)</f>
        <v>0</v>
      </c>
    </row>
    <row r="168" spans="1:17" s="1" customFormat="1">
      <c r="A168" s="3">
        <v>45539</v>
      </c>
      <c r="B168" s="1" t="s">
        <v>24</v>
      </c>
      <c r="C168" s="1">
        <v>16</v>
      </c>
      <c r="D168" s="1">
        <v>15</v>
      </c>
      <c r="E168" s="1">
        <v>0</v>
      </c>
      <c r="F168" s="1">
        <v>0</v>
      </c>
      <c r="G168" s="1">
        <v>0</v>
      </c>
      <c r="H168" s="1">
        <v>0</v>
      </c>
      <c r="I168" s="1">
        <f>IF(H168 + I167 &lt; 0, H168 + I167, 0)</f>
        <v>0</v>
      </c>
      <c r="J168" s="1">
        <v>0</v>
      </c>
      <c r="K168" s="1">
        <f>IF(J168 + K167 &lt; 0, J168 + K167, 0)</f>
        <v>0</v>
      </c>
      <c r="L168" s="1">
        <v>0</v>
      </c>
      <c r="M168" s="1">
        <f>IF(L168 + M167 &lt; 0, L168 + M167, 0)</f>
        <v>0</v>
      </c>
      <c r="N168" s="1">
        <v>0</v>
      </c>
      <c r="O168" s="1">
        <f>IF(N168 + O167 &lt; 0, N168 + O167, 0)</f>
        <v>0</v>
      </c>
      <c r="P168" s="1">
        <v>0</v>
      </c>
      <c r="Q168" s="1">
        <f>IF(P168 + Q167 &lt; 0, P168 + Q167, 0)</f>
        <v>0</v>
      </c>
    </row>
    <row r="169" spans="1:17" s="1" customFormat="1">
      <c r="A169" s="3">
        <v>45540</v>
      </c>
      <c r="B169" s="1" t="s">
        <v>25</v>
      </c>
      <c r="C169" s="1">
        <v>15</v>
      </c>
      <c r="D169" s="1">
        <v>14</v>
      </c>
      <c r="E169" s="1">
        <v>0</v>
      </c>
      <c r="F169" s="1">
        <v>0</v>
      </c>
      <c r="G169" s="1">
        <v>0</v>
      </c>
      <c r="H169" s="1">
        <v>0</v>
      </c>
      <c r="I169" s="1">
        <f>IF(H169 + I168 &lt; 0, H169 + I168, 0)</f>
        <v>0</v>
      </c>
      <c r="J169" s="1">
        <v>0</v>
      </c>
      <c r="K169" s="1">
        <f>IF(J169 + K168 &lt; 0, J169 + K168, 0)</f>
        <v>0</v>
      </c>
      <c r="L169" s="1">
        <v>535942.9947876678</v>
      </c>
      <c r="M169" s="1">
        <f>IF(L169 + M168 &lt; 0, L169 + M168, 0)</f>
        <v>0</v>
      </c>
      <c r="N169" s="1">
        <v>0</v>
      </c>
      <c r="O169" s="1">
        <f>IF(N169 + O168 &lt; 0, N169 + O168, 0)</f>
        <v>0</v>
      </c>
      <c r="P169" s="1">
        <v>0</v>
      </c>
      <c r="Q169" s="1">
        <f>IF(P169 + Q168 &lt; 0, P169 + Q168, 0)</f>
        <v>0</v>
      </c>
    </row>
    <row r="170" spans="1:17" s="1" customFormat="1">
      <c r="A170" s="3">
        <v>45541</v>
      </c>
      <c r="B170" s="1" t="s">
        <v>26</v>
      </c>
      <c r="C170" s="1">
        <v>14</v>
      </c>
      <c r="D170" s="1">
        <v>13</v>
      </c>
      <c r="E170" s="1">
        <v>0</v>
      </c>
      <c r="F170" s="1">
        <v>0</v>
      </c>
      <c r="G170" s="1">
        <v>0</v>
      </c>
      <c r="H170" s="1">
        <v>0</v>
      </c>
      <c r="I170" s="1">
        <f>IF(H170 + I169 &lt; 0, H170 + I169, 0)</f>
        <v>0</v>
      </c>
      <c r="J170" s="1">
        <v>0</v>
      </c>
      <c r="K170" s="1">
        <f>IF(J170 + K169 &lt; 0, J170 + K169, 0)</f>
        <v>0</v>
      </c>
      <c r="L170" s="1">
        <v>0</v>
      </c>
      <c r="M170" s="1">
        <f>IF(L170 + M169 &lt; 0, L170 + M169, 0)</f>
        <v>0</v>
      </c>
      <c r="N170" s="1">
        <v>0</v>
      </c>
      <c r="O170" s="1">
        <f>IF(N170 + O169 &lt; 0, N170 + O169, 0)</f>
        <v>0</v>
      </c>
      <c r="P170" s="1">
        <v>-243470.5809811224</v>
      </c>
      <c r="Q170" s="1">
        <f>IF(P170 + Q169 &lt; 0, P170 + Q169, 0)</f>
        <v>0</v>
      </c>
    </row>
    <row r="171" spans="1:17" s="1" customFormat="1">
      <c r="A171" s="3">
        <v>45544</v>
      </c>
      <c r="B171" s="1" t="s">
        <v>22</v>
      </c>
      <c r="C171" s="1">
        <v>13</v>
      </c>
      <c r="D171" s="1">
        <v>12</v>
      </c>
      <c r="E171" s="1">
        <v>0</v>
      </c>
      <c r="F171" s="1">
        <v>0</v>
      </c>
      <c r="G171" s="1">
        <v>0</v>
      </c>
      <c r="H171" s="1">
        <v>0</v>
      </c>
      <c r="I171" s="1">
        <f>IF(H171 + I170 &lt; 0, H171 + I170, 0)</f>
        <v>0</v>
      </c>
      <c r="J171" s="1">
        <v>0</v>
      </c>
      <c r="K171" s="1">
        <f>IF(J171 + K170 &lt; 0, J171 + K170, 0)</f>
        <v>0</v>
      </c>
      <c r="L171" s="1">
        <v>0</v>
      </c>
      <c r="M171" s="1">
        <f>IF(L171 + M170 &lt; 0, L171 + M170, 0)</f>
        <v>0</v>
      </c>
      <c r="N171" s="1">
        <v>0</v>
      </c>
      <c r="O171" s="1">
        <f>IF(N171 + O170 &lt; 0, N171 + O170, 0)</f>
        <v>0</v>
      </c>
      <c r="P171" s="1">
        <v>0</v>
      </c>
      <c r="Q171" s="1">
        <f>IF(P171 + Q170 &lt; 0, P171 + Q170, 0)</f>
        <v>0</v>
      </c>
    </row>
    <row r="172" spans="1:17" s="1" customFormat="1">
      <c r="A172" s="3">
        <v>45545</v>
      </c>
      <c r="B172" s="1" t="s">
        <v>23</v>
      </c>
      <c r="C172" s="1">
        <v>12</v>
      </c>
      <c r="D172" s="1">
        <v>11</v>
      </c>
      <c r="E172" s="1">
        <v>0</v>
      </c>
      <c r="F172" s="1">
        <v>0</v>
      </c>
      <c r="G172" s="1">
        <v>0</v>
      </c>
      <c r="H172" s="1">
        <v>0</v>
      </c>
      <c r="I172" s="1">
        <f>IF(H172 + I171 &lt; 0, H172 + I171, 0)</f>
        <v>0</v>
      </c>
      <c r="J172" s="1">
        <v>0</v>
      </c>
      <c r="K172" s="1">
        <f>IF(J172 + K171 &lt; 0, J172 + K171, 0)</f>
        <v>0</v>
      </c>
      <c r="L172" s="1">
        <v>0</v>
      </c>
      <c r="M172" s="1">
        <f>IF(L172 + M171 &lt; 0, L172 + M171, 0)</f>
        <v>0</v>
      </c>
      <c r="N172" s="1">
        <v>0</v>
      </c>
      <c r="O172" s="1">
        <f>IF(N172 + O171 &lt; 0, N172 + O171, 0)</f>
        <v>0</v>
      </c>
      <c r="P172" s="1">
        <v>0</v>
      </c>
      <c r="Q172" s="1">
        <f>IF(P172 + Q171 &lt; 0, P172 + Q171, 0)</f>
        <v>0</v>
      </c>
    </row>
    <row r="173" spans="1:17" s="1" customFormat="1">
      <c r="A173" s="3">
        <v>45546</v>
      </c>
      <c r="B173" s="1" t="s">
        <v>24</v>
      </c>
      <c r="C173" s="1">
        <v>11</v>
      </c>
      <c r="D173" s="1">
        <v>10</v>
      </c>
      <c r="E173" s="1">
        <v>0</v>
      </c>
      <c r="F173" s="1">
        <v>0</v>
      </c>
      <c r="G173" s="1">
        <v>0</v>
      </c>
      <c r="H173" s="1">
        <v>0</v>
      </c>
      <c r="I173" s="1">
        <f>IF(H173 + I172 &lt; 0, H173 + I172, 0)</f>
        <v>0</v>
      </c>
      <c r="J173" s="1">
        <v>0</v>
      </c>
      <c r="K173" s="1">
        <f>IF(J173 + K172 &lt; 0, J173 + K172, 0)</f>
        <v>0</v>
      </c>
      <c r="L173" s="1">
        <v>0</v>
      </c>
      <c r="M173" s="1">
        <f>IF(L173 + M172 &lt; 0, L173 + M172, 0)</f>
        <v>0</v>
      </c>
      <c r="N173" s="1">
        <v>0</v>
      </c>
      <c r="O173" s="1">
        <f>IF(N173 + O172 &lt; 0, N173 + O172, 0)</f>
        <v>0</v>
      </c>
      <c r="P173" s="1">
        <v>0</v>
      </c>
      <c r="Q173" s="1">
        <f>IF(P173 + Q172 &lt; 0, P173 + Q172, 0)</f>
        <v>0</v>
      </c>
    </row>
    <row r="174" spans="1:17" s="1" customFormat="1">
      <c r="A174" s="3">
        <v>45547</v>
      </c>
      <c r="B174" s="1" t="s">
        <v>25</v>
      </c>
      <c r="C174" s="1">
        <v>10</v>
      </c>
      <c r="D174" s="1">
        <v>9</v>
      </c>
      <c r="E174" s="1">
        <v>0</v>
      </c>
      <c r="F174" s="1">
        <v>0</v>
      </c>
      <c r="G174" s="1">
        <v>0</v>
      </c>
      <c r="H174" s="1">
        <v>0</v>
      </c>
      <c r="I174" s="1">
        <f>IF(H174 + I173 &lt; 0, H174 + I173, 0)</f>
        <v>0</v>
      </c>
      <c r="J174" s="1">
        <v>0</v>
      </c>
      <c r="K174" s="1">
        <f>IF(J174 + K173 &lt; 0, J174 + K173, 0)</f>
        <v>0</v>
      </c>
      <c r="L174" s="1">
        <v>-910658.8880179131</v>
      </c>
      <c r="M174" s="1">
        <f>IF(L174 + M173 &lt; 0, L174 + M173, 0)</f>
        <v>0</v>
      </c>
      <c r="N174" s="1">
        <v>0</v>
      </c>
      <c r="O174" s="1">
        <f>IF(N174 + O173 &lt; 0, N174 + O173, 0)</f>
        <v>0</v>
      </c>
      <c r="P174" s="1">
        <v>0</v>
      </c>
      <c r="Q174" s="1">
        <f>IF(P174 + Q173 &lt; 0, P174 + Q173, 0)</f>
        <v>0</v>
      </c>
    </row>
    <row r="175" spans="1:17" s="1" customFormat="1">
      <c r="A175" s="3">
        <v>45548</v>
      </c>
      <c r="B175" s="1" t="s">
        <v>26</v>
      </c>
      <c r="C175" s="1">
        <v>9</v>
      </c>
      <c r="D175" s="1">
        <v>8</v>
      </c>
      <c r="E175" s="1">
        <v>0</v>
      </c>
      <c r="F175" s="1">
        <v>0</v>
      </c>
      <c r="G175" s="1">
        <v>0</v>
      </c>
      <c r="H175" s="1">
        <v>0</v>
      </c>
      <c r="I175" s="1">
        <f>IF(H175 + I174 &lt; 0, H175 + I174, 0)</f>
        <v>0</v>
      </c>
      <c r="J175" s="1">
        <v>0</v>
      </c>
      <c r="K175" s="1">
        <f>IF(J175 + K174 &lt; 0, J175 + K174, 0)</f>
        <v>0</v>
      </c>
      <c r="L175" s="1">
        <v>0</v>
      </c>
      <c r="M175" s="1">
        <f>IF(L175 + M174 &lt; 0, L175 + M174, 0)</f>
        <v>0</v>
      </c>
      <c r="N175" s="1">
        <v>0</v>
      </c>
      <c r="O175" s="1">
        <f>IF(N175 + O174 &lt; 0, N175 + O174, 0)</f>
        <v>0</v>
      </c>
      <c r="P175" s="1">
        <v>-52601.34495177631</v>
      </c>
      <c r="Q175" s="1">
        <f>IF(P175 + Q174 &lt; 0, P175 + Q174, 0)</f>
        <v>0</v>
      </c>
    </row>
    <row r="176" spans="1:17" s="1" customFormat="1">
      <c r="A176" s="3">
        <v>45551</v>
      </c>
      <c r="B176" s="1" t="s">
        <v>22</v>
      </c>
      <c r="C176" s="1">
        <v>8</v>
      </c>
      <c r="D176" s="1">
        <v>7</v>
      </c>
      <c r="E176" s="1">
        <v>0</v>
      </c>
      <c r="F176" s="1">
        <v>0</v>
      </c>
      <c r="G176" s="1">
        <v>0</v>
      </c>
      <c r="H176" s="1">
        <v>0</v>
      </c>
      <c r="I176" s="1">
        <f>IF(H176 + I175 &lt; 0, H176 + I175, 0)</f>
        <v>0</v>
      </c>
      <c r="J176" s="1">
        <v>0</v>
      </c>
      <c r="K176" s="1">
        <f>IF(J176 + K175 &lt; 0, J176 + K175, 0)</f>
        <v>0</v>
      </c>
      <c r="L176" s="1">
        <v>0</v>
      </c>
      <c r="M176" s="1">
        <f>IF(L176 + M175 &lt; 0, L176 + M175, 0)</f>
        <v>0</v>
      </c>
      <c r="N176" s="1">
        <v>0</v>
      </c>
      <c r="O176" s="1">
        <f>IF(N176 + O175 &lt; 0, N176 + O175, 0)</f>
        <v>0</v>
      </c>
      <c r="P176" s="1">
        <v>0</v>
      </c>
      <c r="Q176" s="1">
        <f>IF(P176 + Q175 &lt; 0, P176 + Q175, 0)</f>
        <v>0</v>
      </c>
    </row>
    <row r="177" spans="1:17" s="1" customFormat="1">
      <c r="A177" s="3">
        <v>45552</v>
      </c>
      <c r="B177" s="1" t="s">
        <v>23</v>
      </c>
      <c r="C177" s="1">
        <v>7</v>
      </c>
      <c r="D177" s="1">
        <v>6</v>
      </c>
      <c r="E177" s="1">
        <v>0</v>
      </c>
      <c r="F177" s="1">
        <v>0</v>
      </c>
      <c r="G177" s="1">
        <v>0</v>
      </c>
      <c r="H177" s="1">
        <v>0</v>
      </c>
      <c r="I177" s="1">
        <f>IF(H177 + I176 &lt; 0, H177 + I176, 0)</f>
        <v>0</v>
      </c>
      <c r="J177" s="1">
        <v>0</v>
      </c>
      <c r="K177" s="1">
        <f>IF(J177 + K176 &lt; 0, J177 + K176, 0)</f>
        <v>0</v>
      </c>
      <c r="L177" s="1">
        <v>0</v>
      </c>
      <c r="M177" s="1">
        <f>IF(L177 + M176 &lt; 0, L177 + M176, 0)</f>
        <v>0</v>
      </c>
      <c r="N177" s="1">
        <v>0</v>
      </c>
      <c r="O177" s="1">
        <f>IF(N177 + O176 &lt; 0, N177 + O176, 0)</f>
        <v>0</v>
      </c>
      <c r="P177" s="1">
        <v>0</v>
      </c>
      <c r="Q177" s="1">
        <f>IF(P177 + Q176 &lt; 0, P177 + Q176, 0)</f>
        <v>0</v>
      </c>
    </row>
    <row r="178" spans="1:17" s="1" customFormat="1">
      <c r="A178" s="3">
        <v>45553</v>
      </c>
      <c r="B178" s="1" t="s">
        <v>24</v>
      </c>
      <c r="C178" s="1">
        <v>6</v>
      </c>
      <c r="D178" s="1">
        <v>5</v>
      </c>
      <c r="E178" s="1">
        <v>0</v>
      </c>
      <c r="F178" s="1">
        <v>0</v>
      </c>
      <c r="G178" s="1">
        <v>0</v>
      </c>
      <c r="H178" s="1">
        <v>0</v>
      </c>
      <c r="I178" s="1">
        <f>IF(H178 + I177 &lt; 0, H178 + I177, 0)</f>
        <v>0</v>
      </c>
      <c r="J178" s="1">
        <v>0</v>
      </c>
      <c r="K178" s="1">
        <f>IF(J178 + K177 &lt; 0, J178 + K177, 0)</f>
        <v>0</v>
      </c>
      <c r="L178" s="1">
        <v>0</v>
      </c>
      <c r="M178" s="1">
        <f>IF(L178 + M177 &lt; 0, L178 + M177, 0)</f>
        <v>0</v>
      </c>
      <c r="N178" s="1">
        <v>0</v>
      </c>
      <c r="O178" s="1">
        <f>IF(N178 + O177 &lt; 0, N178 + O177, 0)</f>
        <v>0</v>
      </c>
      <c r="P178" s="1">
        <v>0</v>
      </c>
      <c r="Q178" s="1">
        <f>IF(P178 + Q177 &lt; 0, P178 + Q177, 0)</f>
        <v>0</v>
      </c>
    </row>
    <row r="179" spans="1:17" s="1" customFormat="1">
      <c r="A179" s="3">
        <v>45554</v>
      </c>
      <c r="B179" s="1" t="s">
        <v>25</v>
      </c>
      <c r="C179" s="1">
        <v>5</v>
      </c>
      <c r="D179" s="1">
        <v>4</v>
      </c>
      <c r="E179" s="1">
        <v>0</v>
      </c>
      <c r="F179" s="1">
        <v>0</v>
      </c>
      <c r="G179" s="1">
        <v>0</v>
      </c>
      <c r="H179" s="1">
        <v>0</v>
      </c>
      <c r="I179" s="1">
        <f>IF(H179 + I178 &lt; 0, H179 + I178, 0)</f>
        <v>0</v>
      </c>
      <c r="J179" s="1">
        <v>0</v>
      </c>
      <c r="K179" s="1">
        <f>IF(J179 + K178 &lt; 0, J179 + K178, 0)</f>
        <v>0</v>
      </c>
      <c r="L179" s="1">
        <v>387185.1241753517</v>
      </c>
      <c r="M179" s="1">
        <f>IF(L179 + M178 &lt; 0, L179 + M178, 0)</f>
        <v>0</v>
      </c>
      <c r="N179" s="1">
        <v>0</v>
      </c>
      <c r="O179" s="1">
        <f>IF(N179 + O178 &lt; 0, N179 + O178, 0)</f>
        <v>0</v>
      </c>
      <c r="P179" s="1">
        <v>0</v>
      </c>
      <c r="Q179" s="1">
        <f>IF(P179 + Q178 &lt; 0, P179 + Q178, 0)</f>
        <v>0</v>
      </c>
    </row>
    <row r="180" spans="1:17" s="1" customFormat="1">
      <c r="A180" s="3">
        <v>45555</v>
      </c>
      <c r="B180" s="1" t="s">
        <v>26</v>
      </c>
      <c r="C180" s="1">
        <v>4</v>
      </c>
      <c r="D180" s="1">
        <v>3</v>
      </c>
      <c r="E180" s="1">
        <v>0</v>
      </c>
      <c r="F180" s="1">
        <v>0</v>
      </c>
      <c r="G180" s="1">
        <v>0</v>
      </c>
      <c r="H180" s="1">
        <v>0</v>
      </c>
      <c r="I180" s="1">
        <f>IF(H180 + I179 &lt; 0, H180 + I179, 0)</f>
        <v>0</v>
      </c>
      <c r="J180" s="1">
        <v>0</v>
      </c>
      <c r="K180" s="1">
        <f>IF(J180 + K179 &lt; 0, J180 + K179, 0)</f>
        <v>0</v>
      </c>
      <c r="L180" s="1">
        <v>0</v>
      </c>
      <c r="M180" s="1">
        <f>IF(L180 + M179 &lt; 0, L180 + M179, 0)</f>
        <v>0</v>
      </c>
      <c r="N180" s="1">
        <v>0</v>
      </c>
      <c r="O180" s="1">
        <f>IF(N180 + O179 &lt; 0, N180 + O179, 0)</f>
        <v>0</v>
      </c>
      <c r="P180" s="1">
        <v>-600525.466279394</v>
      </c>
      <c r="Q180" s="1">
        <f>IF(P180 + Q179 &lt; 0, P180 + Q179, 0)</f>
        <v>0</v>
      </c>
    </row>
    <row r="181" spans="1:17" s="1" customFormat="1">
      <c r="A181" s="3">
        <v>45558</v>
      </c>
      <c r="B181" s="1" t="s">
        <v>22</v>
      </c>
      <c r="C181" s="1">
        <v>3</v>
      </c>
      <c r="D181" s="1">
        <v>2</v>
      </c>
      <c r="E181" s="1">
        <v>0</v>
      </c>
      <c r="F181" s="1">
        <v>0</v>
      </c>
      <c r="G181" s="1">
        <v>0</v>
      </c>
      <c r="H181" s="1">
        <v>0</v>
      </c>
      <c r="I181" s="1">
        <f>IF(H181 + I180 &lt; 0, H181 + I180, 0)</f>
        <v>0</v>
      </c>
      <c r="J181" s="1">
        <v>0</v>
      </c>
      <c r="K181" s="1">
        <f>IF(J181 + K180 &lt; 0, J181 + K180, 0)</f>
        <v>0</v>
      </c>
      <c r="L181" s="1">
        <v>0</v>
      </c>
      <c r="M181" s="1">
        <f>IF(L181 + M180 &lt; 0, L181 + M180, 0)</f>
        <v>0</v>
      </c>
      <c r="N181" s="1">
        <v>0</v>
      </c>
      <c r="O181" s="1">
        <f>IF(N181 + O180 &lt; 0, N181 + O180, 0)</f>
        <v>0</v>
      </c>
      <c r="P181" s="1">
        <v>0</v>
      </c>
      <c r="Q181" s="1">
        <f>IF(P181 + Q180 &lt; 0, P181 + Q180, 0)</f>
        <v>0</v>
      </c>
    </row>
    <row r="182" spans="1:17" s="1" customFormat="1">
      <c r="A182" s="3">
        <v>45559</v>
      </c>
      <c r="B182" s="1" t="s">
        <v>23</v>
      </c>
      <c r="C182" s="1">
        <v>2</v>
      </c>
      <c r="D182" s="1">
        <v>1</v>
      </c>
      <c r="E182" s="1">
        <v>0</v>
      </c>
      <c r="F182" s="1">
        <v>0</v>
      </c>
      <c r="G182" s="1">
        <v>0</v>
      </c>
      <c r="H182" s="1">
        <v>0</v>
      </c>
      <c r="I182" s="1">
        <f>IF(H182 + I181 &lt; 0, H182 + I181, 0)</f>
        <v>0</v>
      </c>
      <c r="J182" s="1">
        <v>0</v>
      </c>
      <c r="K182" s="1">
        <f>IF(J182 + K181 &lt; 0, J182 + K181, 0)</f>
        <v>0</v>
      </c>
      <c r="L182" s="1">
        <v>0</v>
      </c>
      <c r="M182" s="1">
        <f>IF(L182 + M181 &lt; 0, L182 + M181, 0)</f>
        <v>0</v>
      </c>
      <c r="N182" s="1">
        <v>0</v>
      </c>
      <c r="O182" s="1">
        <f>IF(N182 + O181 &lt; 0, N182 + O181, 0)</f>
        <v>0</v>
      </c>
      <c r="P182" s="1">
        <v>0</v>
      </c>
      <c r="Q182" s="1">
        <f>IF(P182 + Q181 &lt; 0, P182 + Q181, 0)</f>
        <v>0</v>
      </c>
    </row>
    <row r="183" spans="1:17" s="1" customFormat="1">
      <c r="A183" s="3">
        <v>45560</v>
      </c>
      <c r="B183" s="1" t="s">
        <v>24</v>
      </c>
      <c r="C183" s="1">
        <v>1</v>
      </c>
      <c r="D183" s="1">
        <v>24</v>
      </c>
      <c r="E183" s="1">
        <v>0</v>
      </c>
      <c r="F183" s="1">
        <v>0</v>
      </c>
      <c r="G183" s="1">
        <v>0</v>
      </c>
      <c r="H183" s="1">
        <v>0</v>
      </c>
      <c r="I183" s="1">
        <f>IF(H183 + I182 &lt; 0, H183 + I182, 0)</f>
        <v>0</v>
      </c>
      <c r="J183" s="1">
        <v>0</v>
      </c>
      <c r="K183" s="1">
        <f>IF(J183 + K182 &lt; 0, J183 + K182, 0)</f>
        <v>0</v>
      </c>
      <c r="L183" s="1">
        <v>0</v>
      </c>
      <c r="M183" s="1">
        <f>IF(L183 + M182 &lt; 0, L183 + M182, 0)</f>
        <v>0</v>
      </c>
      <c r="N183" s="1">
        <v>0</v>
      </c>
      <c r="O183" s="1">
        <f>IF(N183 + O182 &lt; 0, N183 + O182, 0)</f>
        <v>0</v>
      </c>
      <c r="P183" s="1">
        <v>0</v>
      </c>
      <c r="Q183" s="1">
        <f>IF(P183 + Q182 &lt; 0, P183 + Q182, 0)</f>
        <v>0</v>
      </c>
    </row>
    <row r="184" spans="1:17" s="1" customFormat="1">
      <c r="A184" s="3">
        <v>45561</v>
      </c>
      <c r="B184" s="1" t="s">
        <v>25</v>
      </c>
      <c r="C184" s="1">
        <v>24</v>
      </c>
      <c r="D184" s="1">
        <v>23</v>
      </c>
      <c r="E184" s="1">
        <v>0</v>
      </c>
      <c r="F184" s="1">
        <v>0</v>
      </c>
      <c r="G184" s="1">
        <v>0</v>
      </c>
      <c r="H184" s="1">
        <v>0</v>
      </c>
      <c r="I184" s="1">
        <f>IF(H184 + I183 &lt; 0, H184 + I183, 0)</f>
        <v>0</v>
      </c>
      <c r="J184" s="1">
        <v>0</v>
      </c>
      <c r="K184" s="1">
        <f>IF(J184 + K183 &lt; 0, J184 + K183, 0)</f>
        <v>0</v>
      </c>
      <c r="L184" s="1">
        <v>79386.77445604555</v>
      </c>
      <c r="M184" s="1">
        <f>IF(L184 + M183 &lt; 0, L184 + M183, 0)</f>
        <v>0</v>
      </c>
      <c r="N184" s="1">
        <v>0</v>
      </c>
      <c r="O184" s="1">
        <f>IF(N184 + O183 &lt; 0, N184 + O183, 0)</f>
        <v>0</v>
      </c>
      <c r="P184" s="1">
        <v>0</v>
      </c>
      <c r="Q184" s="1">
        <f>IF(P184 + Q183 &lt; 0, P184 + Q183, 0)</f>
        <v>0</v>
      </c>
    </row>
    <row r="185" spans="1:17" s="1" customFormat="1">
      <c r="A185" s="3">
        <v>45562</v>
      </c>
      <c r="B185" s="1" t="s">
        <v>26</v>
      </c>
      <c r="C185" s="1">
        <v>23</v>
      </c>
      <c r="D185" s="1">
        <v>22</v>
      </c>
      <c r="E185" s="1">
        <v>0</v>
      </c>
      <c r="F185" s="1">
        <v>0</v>
      </c>
      <c r="G185" s="1">
        <v>0</v>
      </c>
      <c r="H185" s="1">
        <v>0</v>
      </c>
      <c r="I185" s="1">
        <f>IF(H185 + I184 &lt; 0, H185 + I184, 0)</f>
        <v>0</v>
      </c>
      <c r="J185" s="1">
        <v>0</v>
      </c>
      <c r="K185" s="1">
        <f>IF(J185 + K184 &lt; 0, J185 + K184, 0)</f>
        <v>0</v>
      </c>
      <c r="L185" s="1">
        <v>0</v>
      </c>
      <c r="M185" s="1">
        <f>IF(L185 + M184 &lt; 0, L185 + M184, 0)</f>
        <v>0</v>
      </c>
      <c r="N185" s="1">
        <v>0</v>
      </c>
      <c r="O185" s="1">
        <f>IF(N185 + O184 &lt; 0, N185 + O184, 0)</f>
        <v>0</v>
      </c>
      <c r="P185" s="1">
        <v>965687.8058108959</v>
      </c>
      <c r="Q185" s="1">
        <f>IF(P185 + Q184 &lt; 0, P185 + Q184, 0)</f>
        <v>0</v>
      </c>
    </row>
    <row r="186" spans="1:17" s="1" customFormat="1">
      <c r="A186" s="3">
        <v>45565</v>
      </c>
      <c r="B186" s="1" t="s">
        <v>22</v>
      </c>
      <c r="C186" s="1">
        <v>22</v>
      </c>
      <c r="D186" s="1">
        <v>21</v>
      </c>
      <c r="E186" s="1">
        <v>0</v>
      </c>
      <c r="F186" s="1">
        <v>0</v>
      </c>
      <c r="G186" s="1">
        <v>0</v>
      </c>
      <c r="H186" s="1">
        <v>0</v>
      </c>
      <c r="I186" s="1">
        <f>IF(H186 + I185 &lt; 0, H186 + I185, 0)</f>
        <v>0</v>
      </c>
      <c r="J186" s="1">
        <v>0</v>
      </c>
      <c r="K186" s="1">
        <f>IF(J186 + K185 &lt; 0, J186 + K185, 0)</f>
        <v>0</v>
      </c>
      <c r="L186" s="1">
        <v>0</v>
      </c>
      <c r="M186" s="1">
        <f>IF(L186 + M185 &lt; 0, L186 + M185, 0)</f>
        <v>0</v>
      </c>
      <c r="N186" s="1">
        <v>0</v>
      </c>
      <c r="O186" s="1">
        <f>IF(N186 + O185 &lt; 0, N186 + O185, 0)</f>
        <v>0</v>
      </c>
      <c r="P186" s="1">
        <v>0</v>
      </c>
      <c r="Q186" s="1">
        <f>IF(P186 + Q185 &lt; 0, P186 + Q185, 0)</f>
        <v>0</v>
      </c>
    </row>
    <row r="187" spans="1:17" s="1" customFormat="1">
      <c r="A187" s="3">
        <v>45566</v>
      </c>
      <c r="B187" s="1" t="s">
        <v>23</v>
      </c>
      <c r="C187" s="1">
        <v>21</v>
      </c>
      <c r="D187" s="1">
        <v>20</v>
      </c>
      <c r="E187" s="1">
        <v>0</v>
      </c>
      <c r="F187" s="1">
        <v>0</v>
      </c>
      <c r="G187" s="1">
        <v>0</v>
      </c>
      <c r="H187" s="1">
        <v>0</v>
      </c>
      <c r="I187" s="1">
        <f>IF(H187 + I186 &lt; 0, H187 + I186, 0)</f>
        <v>0</v>
      </c>
      <c r="J187" s="1">
        <v>0</v>
      </c>
      <c r="K187" s="1">
        <f>IF(J187 + K186 &lt; 0, J187 + K186, 0)</f>
        <v>0</v>
      </c>
      <c r="L187" s="1">
        <v>0</v>
      </c>
      <c r="M187" s="1">
        <f>IF(L187 + M186 &lt; 0, L187 + M186, 0)</f>
        <v>0</v>
      </c>
      <c r="N187" s="1">
        <v>0</v>
      </c>
      <c r="O187" s="1">
        <f>IF(N187 + O186 &lt; 0, N187 + O186, 0)</f>
        <v>0</v>
      </c>
      <c r="P187" s="1">
        <v>0</v>
      </c>
      <c r="Q187" s="1">
        <f>IF(P187 + Q186 &lt; 0, P187 + Q186, 0)</f>
        <v>0</v>
      </c>
    </row>
    <row r="188" spans="1:17" s="1" customFormat="1">
      <c r="A188" s="3">
        <v>45568</v>
      </c>
      <c r="B188" s="1" t="s">
        <v>25</v>
      </c>
      <c r="C188" s="1">
        <v>20</v>
      </c>
      <c r="D188" s="1">
        <v>19</v>
      </c>
      <c r="E188" s="1">
        <v>0</v>
      </c>
      <c r="F188" s="1">
        <v>0</v>
      </c>
      <c r="G188" s="1">
        <v>0</v>
      </c>
      <c r="H188" s="1">
        <v>0</v>
      </c>
      <c r="I188" s="1">
        <f>IF(H188 + I187 &lt; 0, H188 + I187, 0)</f>
        <v>0</v>
      </c>
      <c r="J188" s="1">
        <v>0</v>
      </c>
      <c r="K188" s="1">
        <f>IF(J188 + K187 &lt; 0, J188 + K187, 0)</f>
        <v>0</v>
      </c>
      <c r="L188" s="1">
        <v>-1598396.172284183</v>
      </c>
      <c r="M188" s="1">
        <f>IF(L188 + M187 &lt; 0, L188 + M187, 0)</f>
        <v>0</v>
      </c>
      <c r="N188" s="1">
        <v>0</v>
      </c>
      <c r="O188" s="1">
        <f>IF(N188 + O187 &lt; 0, N188 + O187, 0)</f>
        <v>0</v>
      </c>
      <c r="P188" s="1">
        <v>0</v>
      </c>
      <c r="Q188" s="1">
        <f>IF(P188 + Q187 &lt; 0, P188 + Q187, 0)</f>
        <v>0</v>
      </c>
    </row>
    <row r="189" spans="1:17" s="1" customFormat="1">
      <c r="A189" s="3">
        <v>45569</v>
      </c>
      <c r="B189" s="1" t="s">
        <v>26</v>
      </c>
      <c r="C189" s="1">
        <v>19</v>
      </c>
      <c r="D189" s="1">
        <v>18</v>
      </c>
      <c r="E189" s="1">
        <v>0</v>
      </c>
      <c r="F189" s="1">
        <v>0</v>
      </c>
      <c r="G189" s="1">
        <v>0</v>
      </c>
      <c r="H189" s="1">
        <v>0</v>
      </c>
      <c r="I189" s="1">
        <f>IF(H189 + I188 &lt; 0, H189 + I188, 0)</f>
        <v>0</v>
      </c>
      <c r="J189" s="1">
        <v>0</v>
      </c>
      <c r="K189" s="1">
        <f>IF(J189 + K188 &lt; 0, J189 + K188, 0)</f>
        <v>0</v>
      </c>
      <c r="L189" s="1">
        <v>0</v>
      </c>
      <c r="M189" s="1">
        <f>IF(L189 + M188 &lt; 0, L189 + M188, 0)</f>
        <v>0</v>
      </c>
      <c r="N189" s="1">
        <v>0</v>
      </c>
      <c r="O189" s="1">
        <f>IF(N189 + O188 &lt; 0, N189 + O188, 0)</f>
        <v>0</v>
      </c>
      <c r="P189" s="1">
        <v>-2997809.582956482</v>
      </c>
      <c r="Q189" s="1">
        <f>IF(P189 + Q188 &lt; 0, P189 + Q188, 0)</f>
        <v>0</v>
      </c>
    </row>
    <row r="190" spans="1:17" s="1" customFormat="1">
      <c r="A190" s="3">
        <v>45572</v>
      </c>
      <c r="B190" s="1" t="s">
        <v>22</v>
      </c>
      <c r="C190" s="1">
        <v>18</v>
      </c>
      <c r="D190" s="1">
        <v>17</v>
      </c>
      <c r="E190" s="1">
        <v>0</v>
      </c>
      <c r="F190" s="1">
        <v>0</v>
      </c>
      <c r="G190" s="1">
        <v>0</v>
      </c>
      <c r="H190" s="1">
        <v>0</v>
      </c>
      <c r="I190" s="1">
        <f>IF(H190 + I189 &lt; 0, H190 + I189, 0)</f>
        <v>0</v>
      </c>
      <c r="J190" s="1">
        <v>0</v>
      </c>
      <c r="K190" s="1">
        <f>IF(J190 + K189 &lt; 0, J190 + K189, 0)</f>
        <v>0</v>
      </c>
      <c r="L190" s="1">
        <v>0</v>
      </c>
      <c r="M190" s="1">
        <f>IF(L190 + M189 &lt; 0, L190 + M189, 0)</f>
        <v>0</v>
      </c>
      <c r="N190" s="1">
        <v>0</v>
      </c>
      <c r="O190" s="1">
        <f>IF(N190 + O189 &lt; 0, N190 + O189, 0)</f>
        <v>0</v>
      </c>
      <c r="P190" s="1">
        <v>0</v>
      </c>
      <c r="Q190" s="1">
        <f>IF(P190 + Q189 &lt; 0, P190 + Q189, 0)</f>
        <v>0</v>
      </c>
    </row>
    <row r="191" spans="1:17" s="1" customFormat="1">
      <c r="A191" s="3">
        <v>45573</v>
      </c>
      <c r="B191" s="1" t="s">
        <v>23</v>
      </c>
      <c r="C191" s="1">
        <v>17</v>
      </c>
      <c r="D191" s="1">
        <v>16</v>
      </c>
      <c r="E191" s="1">
        <v>0</v>
      </c>
      <c r="F191" s="1">
        <v>0</v>
      </c>
      <c r="G191" s="1">
        <v>0</v>
      </c>
      <c r="H191" s="1">
        <v>0</v>
      </c>
      <c r="I191" s="1">
        <f>IF(H191 + I190 &lt; 0, H191 + I190, 0)</f>
        <v>0</v>
      </c>
      <c r="J191" s="1">
        <v>0</v>
      </c>
      <c r="K191" s="1">
        <f>IF(J191 + K190 &lt; 0, J191 + K190, 0)</f>
        <v>0</v>
      </c>
      <c r="L191" s="1">
        <v>0</v>
      </c>
      <c r="M191" s="1">
        <f>IF(L191 + M190 &lt; 0, L191 + M190, 0)</f>
        <v>0</v>
      </c>
      <c r="N191" s="1">
        <v>0</v>
      </c>
      <c r="O191" s="1">
        <f>IF(N191 + O190 &lt; 0, N191 + O190, 0)</f>
        <v>0</v>
      </c>
      <c r="P191" s="1">
        <v>0</v>
      </c>
      <c r="Q191" s="1">
        <f>IF(P191 + Q190 &lt; 0, P191 + Q190, 0)</f>
        <v>0</v>
      </c>
    </row>
    <row r="192" spans="1:17" s="1" customFormat="1">
      <c r="A192" s="3">
        <v>45574</v>
      </c>
      <c r="B192" s="1" t="s">
        <v>24</v>
      </c>
      <c r="C192" s="1">
        <v>16</v>
      </c>
      <c r="D192" s="1">
        <v>15</v>
      </c>
      <c r="E192" s="1">
        <v>0</v>
      </c>
      <c r="F192" s="1">
        <v>0</v>
      </c>
      <c r="G192" s="1">
        <v>0</v>
      </c>
      <c r="H192" s="1">
        <v>0</v>
      </c>
      <c r="I192" s="1">
        <f>IF(H192 + I191 &lt; 0, H192 + I191, 0)</f>
        <v>0</v>
      </c>
      <c r="J192" s="1">
        <v>0</v>
      </c>
      <c r="K192" s="1">
        <f>IF(J192 + K191 &lt; 0, J192 + K191, 0)</f>
        <v>0</v>
      </c>
      <c r="L192" s="1">
        <v>0</v>
      </c>
      <c r="M192" s="1">
        <f>IF(L192 + M191 &lt; 0, L192 + M191, 0)</f>
        <v>0</v>
      </c>
      <c r="N192" s="1">
        <v>0</v>
      </c>
      <c r="O192" s="1">
        <f>IF(N192 + O191 &lt; 0, N192 + O191, 0)</f>
        <v>0</v>
      </c>
      <c r="P192" s="1">
        <v>0</v>
      </c>
      <c r="Q192" s="1">
        <f>IF(P192 + Q191 &lt; 0, P192 + Q191, 0)</f>
        <v>0</v>
      </c>
    </row>
    <row r="193" spans="1:17" s="1" customFormat="1">
      <c r="A193" s="3">
        <v>45575</v>
      </c>
      <c r="B193" s="1" t="s">
        <v>25</v>
      </c>
      <c r="C193" s="1">
        <v>15</v>
      </c>
      <c r="D193" s="1">
        <v>14</v>
      </c>
      <c r="E193" s="1">
        <v>0</v>
      </c>
      <c r="F193" s="1">
        <v>0</v>
      </c>
      <c r="G193" s="1">
        <v>0</v>
      </c>
      <c r="H193" s="1">
        <v>0</v>
      </c>
      <c r="I193" s="1">
        <f>IF(H193 + I192 &lt; 0, H193 + I192, 0)</f>
        <v>0</v>
      </c>
      <c r="J193" s="1">
        <v>0</v>
      </c>
      <c r="K193" s="1">
        <f>IF(J193 + K192 &lt; 0, J193 + K192, 0)</f>
        <v>0</v>
      </c>
      <c r="L193" s="1">
        <v>1290709.120153687</v>
      </c>
      <c r="M193" s="1">
        <f>IF(L193 + M192 &lt; 0, L193 + M192, 0)</f>
        <v>0</v>
      </c>
      <c r="N193" s="1">
        <v>0</v>
      </c>
      <c r="O193" s="1">
        <f>IF(N193 + O192 &lt; 0, N193 + O192, 0)</f>
        <v>0</v>
      </c>
      <c r="P193" s="1">
        <v>0</v>
      </c>
      <c r="Q193" s="1">
        <f>IF(P193 + Q192 &lt; 0, P193 + Q192, 0)</f>
        <v>0</v>
      </c>
    </row>
    <row r="194" spans="1:17" s="1" customFormat="1">
      <c r="A194" s="3">
        <v>45576</v>
      </c>
      <c r="B194" s="1" t="s">
        <v>26</v>
      </c>
      <c r="C194" s="1">
        <v>14</v>
      </c>
      <c r="D194" s="1">
        <v>13</v>
      </c>
      <c r="E194" s="1">
        <v>0</v>
      </c>
      <c r="F194" s="1">
        <v>0</v>
      </c>
      <c r="G194" s="1">
        <v>0</v>
      </c>
      <c r="H194" s="1">
        <v>0</v>
      </c>
      <c r="I194" s="1">
        <f>IF(H194 + I193 &lt; 0, H194 + I193, 0)</f>
        <v>0</v>
      </c>
      <c r="J194" s="1">
        <v>0</v>
      </c>
      <c r="K194" s="1">
        <f>IF(J194 + K193 &lt; 0, J194 + K193, 0)</f>
        <v>0</v>
      </c>
      <c r="L194" s="1">
        <v>0</v>
      </c>
      <c r="M194" s="1">
        <f>IF(L194 + M193 &lt; 0, L194 + M193, 0)</f>
        <v>0</v>
      </c>
      <c r="N194" s="1">
        <v>0</v>
      </c>
      <c r="O194" s="1">
        <f>IF(N194 + O193 &lt; 0, N194 + O193, 0)</f>
        <v>0</v>
      </c>
      <c r="P194" s="1">
        <v>3001902.635420476</v>
      </c>
      <c r="Q194" s="1">
        <f>IF(P194 + Q193 &lt; 0, P194 + Q193, 0)</f>
        <v>0</v>
      </c>
    </row>
    <row r="195" spans="1:17" s="1" customFormat="1">
      <c r="A195" s="3">
        <v>45579</v>
      </c>
      <c r="B195" s="1" t="s">
        <v>22</v>
      </c>
      <c r="C195" s="1">
        <v>13</v>
      </c>
      <c r="D195" s="1">
        <v>12</v>
      </c>
      <c r="E195" s="1">
        <v>0</v>
      </c>
      <c r="F195" s="1">
        <v>0</v>
      </c>
      <c r="G195" s="1">
        <v>0</v>
      </c>
      <c r="H195" s="1">
        <v>0</v>
      </c>
      <c r="I195" s="1">
        <f>IF(H195 + I194 &lt; 0, H195 + I194, 0)</f>
        <v>0</v>
      </c>
      <c r="J195" s="1">
        <v>0</v>
      </c>
      <c r="K195" s="1">
        <f>IF(J195 + K194 &lt; 0, J195 + K194, 0)</f>
        <v>0</v>
      </c>
      <c r="L195" s="1">
        <v>0</v>
      </c>
      <c r="M195" s="1">
        <f>IF(L195 + M194 &lt; 0, L195 + M194, 0)</f>
        <v>0</v>
      </c>
      <c r="N195" s="1">
        <v>0</v>
      </c>
      <c r="O195" s="1">
        <f>IF(N195 + O194 &lt; 0, N195 + O194, 0)</f>
        <v>0</v>
      </c>
      <c r="P195" s="1">
        <v>0</v>
      </c>
      <c r="Q195" s="1">
        <f>IF(P195 + Q194 &lt; 0, P195 + Q194, 0)</f>
        <v>0</v>
      </c>
    </row>
    <row r="196" spans="1:17" s="1" customFormat="1">
      <c r="A196" s="3">
        <v>45580</v>
      </c>
      <c r="B196" s="1" t="s">
        <v>23</v>
      </c>
      <c r="C196" s="1">
        <v>12</v>
      </c>
      <c r="D196" s="1">
        <v>11</v>
      </c>
      <c r="E196" s="1">
        <v>0</v>
      </c>
      <c r="F196" s="1">
        <v>0</v>
      </c>
      <c r="G196" s="1">
        <v>0</v>
      </c>
      <c r="H196" s="1">
        <v>0</v>
      </c>
      <c r="I196" s="1">
        <f>IF(H196 + I195 &lt; 0, H196 + I195, 0)</f>
        <v>0</v>
      </c>
      <c r="J196" s="1">
        <v>0</v>
      </c>
      <c r="K196" s="1">
        <f>IF(J196 + K195 &lt; 0, J196 + K195, 0)</f>
        <v>0</v>
      </c>
      <c r="L196" s="1">
        <v>0</v>
      </c>
      <c r="M196" s="1">
        <f>IF(L196 + M195 &lt; 0, L196 + M195, 0)</f>
        <v>0</v>
      </c>
      <c r="N196" s="1">
        <v>0</v>
      </c>
      <c r="O196" s="1">
        <f>IF(N196 + O195 &lt; 0, N196 + O195, 0)</f>
        <v>0</v>
      </c>
      <c r="P196" s="1">
        <v>0</v>
      </c>
      <c r="Q196" s="1">
        <f>IF(P196 + Q195 &lt; 0, P196 + Q195, 0)</f>
        <v>0</v>
      </c>
    </row>
    <row r="197" spans="1:17" s="1" customFormat="1">
      <c r="A197" s="3">
        <v>45581</v>
      </c>
      <c r="B197" s="1" t="s">
        <v>24</v>
      </c>
      <c r="C197" s="1">
        <v>11</v>
      </c>
      <c r="D197" s="1">
        <v>10</v>
      </c>
      <c r="E197" s="1">
        <v>0</v>
      </c>
      <c r="F197" s="1">
        <v>0</v>
      </c>
      <c r="G197" s="1">
        <v>0</v>
      </c>
      <c r="H197" s="1">
        <v>0</v>
      </c>
      <c r="I197" s="1">
        <f>IF(H197 + I196 &lt; 0, H197 + I196, 0)</f>
        <v>0</v>
      </c>
      <c r="J197" s="1">
        <v>0</v>
      </c>
      <c r="K197" s="1">
        <f>IF(J197 + K196 &lt; 0, J197 + K196, 0)</f>
        <v>0</v>
      </c>
      <c r="L197" s="1">
        <v>0</v>
      </c>
      <c r="M197" s="1">
        <f>IF(L197 + M196 &lt; 0, L197 + M196, 0)</f>
        <v>0</v>
      </c>
      <c r="N197" s="1">
        <v>0</v>
      </c>
      <c r="O197" s="1">
        <f>IF(N197 + O196 &lt; 0, N197 + O196, 0)</f>
        <v>0</v>
      </c>
      <c r="P197" s="1">
        <v>0</v>
      </c>
      <c r="Q197" s="1">
        <f>IF(P197 + Q196 &lt; 0, P197 + Q196, 0)</f>
        <v>0</v>
      </c>
    </row>
    <row r="198" spans="1:17" s="1" customFormat="1">
      <c r="A198" s="3">
        <v>45582</v>
      </c>
      <c r="B198" s="1" t="s">
        <v>25</v>
      </c>
      <c r="C198" s="1">
        <v>10</v>
      </c>
      <c r="D198" s="1">
        <v>9</v>
      </c>
      <c r="E198" s="1">
        <v>0</v>
      </c>
      <c r="F198" s="1">
        <v>0</v>
      </c>
      <c r="G198" s="1">
        <v>0</v>
      </c>
      <c r="H198" s="1">
        <v>0</v>
      </c>
      <c r="I198" s="1">
        <f>IF(H198 + I197 &lt; 0, H198 + I197, 0)</f>
        <v>0</v>
      </c>
      <c r="J198" s="1">
        <v>0</v>
      </c>
      <c r="K198" s="1">
        <f>IF(J198 + K197 &lt; 0, J198 + K197, 0)</f>
        <v>0</v>
      </c>
      <c r="L198" s="1">
        <v>235837.6833785811</v>
      </c>
      <c r="M198" s="1">
        <f>IF(L198 + M197 &lt; 0, L198 + M197, 0)</f>
        <v>0</v>
      </c>
      <c r="N198" s="1">
        <v>0</v>
      </c>
      <c r="O198" s="1">
        <f>IF(N198 + O197 &lt; 0, N198 + O197, 0)</f>
        <v>0</v>
      </c>
      <c r="P198" s="1">
        <v>0</v>
      </c>
      <c r="Q198" s="1">
        <f>IF(P198 + Q197 &lt; 0, P198 + Q197, 0)</f>
        <v>0</v>
      </c>
    </row>
    <row r="199" spans="1:17" s="1" customFormat="1">
      <c r="A199" s="3">
        <v>45583</v>
      </c>
      <c r="B199" s="1" t="s">
        <v>26</v>
      </c>
      <c r="C199" s="1">
        <v>9</v>
      </c>
      <c r="D199" s="1">
        <v>8</v>
      </c>
      <c r="E199" s="1">
        <v>0</v>
      </c>
      <c r="F199" s="1">
        <v>0</v>
      </c>
      <c r="G199" s="1">
        <v>0</v>
      </c>
      <c r="H199" s="1">
        <v>0</v>
      </c>
      <c r="I199" s="1">
        <f>IF(H199 + I198 &lt; 0, H199 + I198, 0)</f>
        <v>0</v>
      </c>
      <c r="J199" s="1">
        <v>0</v>
      </c>
      <c r="K199" s="1">
        <f>IF(J199 + K198 &lt; 0, J199 + K198, 0)</f>
        <v>0</v>
      </c>
      <c r="L199" s="1">
        <v>0</v>
      </c>
      <c r="M199" s="1">
        <f>IF(L199 + M198 &lt; 0, L199 + M198, 0)</f>
        <v>0</v>
      </c>
      <c r="N199" s="1">
        <v>0</v>
      </c>
      <c r="O199" s="1">
        <f>IF(N199 + O198 &lt; 0, N199 + O198, 0)</f>
        <v>0</v>
      </c>
      <c r="P199" s="1">
        <v>-145575.6743739985</v>
      </c>
      <c r="Q199" s="1">
        <f>IF(P199 + Q198 &lt; 0, P199 + Q198, 0)</f>
        <v>0</v>
      </c>
    </row>
    <row r="200" spans="1:17" s="1" customFormat="1">
      <c r="A200" s="3">
        <v>45586</v>
      </c>
      <c r="B200" s="1" t="s">
        <v>22</v>
      </c>
      <c r="C200" s="1">
        <v>8</v>
      </c>
      <c r="D200" s="1">
        <v>7</v>
      </c>
      <c r="E200" s="1">
        <v>0</v>
      </c>
      <c r="F200" s="1">
        <v>0</v>
      </c>
      <c r="G200" s="1">
        <v>0</v>
      </c>
      <c r="H200" s="1">
        <v>0</v>
      </c>
      <c r="I200" s="1">
        <f>IF(H200 + I199 &lt; 0, H200 + I199, 0)</f>
        <v>0</v>
      </c>
      <c r="J200" s="1">
        <v>0</v>
      </c>
      <c r="K200" s="1">
        <f>IF(J200 + K199 &lt; 0, J200 + K199, 0)</f>
        <v>0</v>
      </c>
      <c r="L200" s="1">
        <v>0</v>
      </c>
      <c r="M200" s="1">
        <f>IF(L200 + M199 &lt; 0, L200 + M199, 0)</f>
        <v>0</v>
      </c>
      <c r="N200" s="1">
        <v>0</v>
      </c>
      <c r="O200" s="1">
        <f>IF(N200 + O199 &lt; 0, N200 + O199, 0)</f>
        <v>0</v>
      </c>
      <c r="P200" s="1">
        <v>0</v>
      </c>
      <c r="Q200" s="1">
        <f>IF(P200 + Q199 &lt; 0, P200 + Q199, 0)</f>
        <v>0</v>
      </c>
    </row>
    <row r="201" spans="1:17" s="1" customFormat="1">
      <c r="A201" s="3">
        <v>45587</v>
      </c>
      <c r="B201" s="1" t="s">
        <v>23</v>
      </c>
      <c r="C201" s="1">
        <v>7</v>
      </c>
      <c r="D201" s="1">
        <v>6</v>
      </c>
      <c r="E201" s="1">
        <v>0</v>
      </c>
      <c r="F201" s="1">
        <v>0</v>
      </c>
      <c r="G201" s="1">
        <v>0</v>
      </c>
      <c r="H201" s="1">
        <v>0</v>
      </c>
      <c r="I201" s="1">
        <f>IF(H201 + I200 &lt; 0, H201 + I200, 0)</f>
        <v>0</v>
      </c>
      <c r="J201" s="1">
        <v>0</v>
      </c>
      <c r="K201" s="1">
        <f>IF(J201 + K200 &lt; 0, J201 + K200, 0)</f>
        <v>0</v>
      </c>
      <c r="L201" s="1">
        <v>0</v>
      </c>
      <c r="M201" s="1">
        <f>IF(L201 + M200 &lt; 0, L201 + M200, 0)</f>
        <v>0</v>
      </c>
      <c r="N201" s="1">
        <v>0</v>
      </c>
      <c r="O201" s="1">
        <f>IF(N201 + O200 &lt; 0, N201 + O200, 0)</f>
        <v>0</v>
      </c>
      <c r="P201" s="1">
        <v>0</v>
      </c>
      <c r="Q201" s="1">
        <f>IF(P201 + Q200 &lt; 0, P201 + Q200, 0)</f>
        <v>0</v>
      </c>
    </row>
    <row r="202" spans="1:17" s="1" customFormat="1">
      <c r="A202" s="3">
        <v>45588</v>
      </c>
      <c r="B202" s="1" t="s">
        <v>24</v>
      </c>
      <c r="C202" s="1">
        <v>6</v>
      </c>
      <c r="D202" s="1">
        <v>5</v>
      </c>
      <c r="E202" s="1">
        <v>0</v>
      </c>
      <c r="F202" s="1">
        <v>0</v>
      </c>
      <c r="G202" s="1">
        <v>0</v>
      </c>
      <c r="H202" s="1">
        <v>0</v>
      </c>
      <c r="I202" s="1">
        <f>IF(H202 + I201 &lt; 0, H202 + I201, 0)</f>
        <v>0</v>
      </c>
      <c r="J202" s="1">
        <v>0</v>
      </c>
      <c r="K202" s="1">
        <f>IF(J202 + K201 &lt; 0, J202 + K201, 0)</f>
        <v>0</v>
      </c>
      <c r="L202" s="1">
        <v>0</v>
      </c>
      <c r="M202" s="1">
        <f>IF(L202 + M201 &lt; 0, L202 + M201, 0)</f>
        <v>0</v>
      </c>
      <c r="N202" s="1">
        <v>0</v>
      </c>
      <c r="O202" s="1">
        <f>IF(N202 + O201 &lt; 0, N202 + O201, 0)</f>
        <v>0</v>
      </c>
      <c r="P202" s="1">
        <v>0</v>
      </c>
      <c r="Q202" s="1">
        <f>IF(P202 + Q201 &lt; 0, P202 + Q201, 0)</f>
        <v>0</v>
      </c>
    </row>
    <row r="203" spans="1:17" s="1" customFormat="1">
      <c r="A203" s="3">
        <v>45589</v>
      </c>
      <c r="B203" s="1" t="s">
        <v>25</v>
      </c>
      <c r="C203" s="1">
        <v>5</v>
      </c>
      <c r="D203" s="1">
        <v>4</v>
      </c>
      <c r="E203" s="1">
        <v>0</v>
      </c>
      <c r="F203" s="1">
        <v>0</v>
      </c>
      <c r="G203" s="1">
        <v>0</v>
      </c>
      <c r="H203" s="1">
        <v>0</v>
      </c>
      <c r="I203" s="1">
        <f>IF(H203 + I202 &lt; 0, H203 + I202, 0)</f>
        <v>0</v>
      </c>
      <c r="J203" s="1">
        <v>0</v>
      </c>
      <c r="K203" s="1">
        <f>IF(J203 + K202 &lt; 0, J203 + K202, 0)</f>
        <v>0</v>
      </c>
      <c r="L203" s="1">
        <v>1398868.166861982</v>
      </c>
      <c r="M203" s="1">
        <f>IF(L203 + M202 &lt; 0, L203 + M202, 0)</f>
        <v>0</v>
      </c>
      <c r="N203" s="1">
        <v>0</v>
      </c>
      <c r="O203" s="1">
        <f>IF(N203 + O202 &lt; 0, N203 + O202, 0)</f>
        <v>0</v>
      </c>
      <c r="P203" s="1">
        <v>0</v>
      </c>
      <c r="Q203" s="1">
        <f>IF(P203 + Q202 &lt; 0, P203 + Q202, 0)</f>
        <v>0</v>
      </c>
    </row>
    <row r="204" spans="1:17" s="1" customFormat="1">
      <c r="A204" s="3">
        <v>45590</v>
      </c>
      <c r="B204" s="1" t="s">
        <v>26</v>
      </c>
      <c r="C204" s="1">
        <v>4</v>
      </c>
      <c r="D204" s="1">
        <v>3</v>
      </c>
      <c r="E204" s="1">
        <v>0</v>
      </c>
      <c r="F204" s="1">
        <v>0</v>
      </c>
      <c r="G204" s="1">
        <v>0</v>
      </c>
      <c r="H204" s="1">
        <v>0</v>
      </c>
      <c r="I204" s="1">
        <f>IF(H204 + I203 &lt; 0, H204 + I203, 0)</f>
        <v>0</v>
      </c>
      <c r="J204" s="1">
        <v>0</v>
      </c>
      <c r="K204" s="1">
        <f>IF(J204 + K203 &lt; 0, J204 + K203, 0)</f>
        <v>0</v>
      </c>
      <c r="L204" s="1">
        <v>0</v>
      </c>
      <c r="M204" s="1">
        <f>IF(L204 + M203 &lt; 0, L204 + M203, 0)</f>
        <v>0</v>
      </c>
      <c r="N204" s="1">
        <v>0</v>
      </c>
      <c r="O204" s="1">
        <f>IF(N204 + O203 &lt; 0, N204 + O203, 0)</f>
        <v>0</v>
      </c>
      <c r="P204" s="1">
        <v>596222.6290829948</v>
      </c>
      <c r="Q204" s="1">
        <f>IF(P204 + Q203 &lt; 0, P204 + Q203, 0)</f>
        <v>0</v>
      </c>
    </row>
    <row r="205" spans="1:17" s="1" customFormat="1">
      <c r="A205" s="3">
        <v>45593</v>
      </c>
      <c r="B205" s="1" t="s">
        <v>22</v>
      </c>
      <c r="C205" s="1">
        <v>3</v>
      </c>
      <c r="D205" s="1">
        <v>2</v>
      </c>
      <c r="E205" s="1">
        <v>0</v>
      </c>
      <c r="F205" s="1">
        <v>0</v>
      </c>
      <c r="G205" s="1">
        <v>0</v>
      </c>
      <c r="H205" s="1">
        <v>0</v>
      </c>
      <c r="I205" s="1">
        <f>IF(H205 + I204 &lt; 0, H205 + I204, 0)</f>
        <v>0</v>
      </c>
      <c r="J205" s="1">
        <v>0</v>
      </c>
      <c r="K205" s="1">
        <f>IF(J205 + K204 &lt; 0, J205 + K204, 0)</f>
        <v>0</v>
      </c>
      <c r="L205" s="1">
        <v>0</v>
      </c>
      <c r="M205" s="1">
        <f>IF(L205 + M204 &lt; 0, L205 + M204, 0)</f>
        <v>0</v>
      </c>
      <c r="N205" s="1">
        <v>0</v>
      </c>
      <c r="O205" s="1">
        <f>IF(N205 + O204 &lt; 0, N205 + O204, 0)</f>
        <v>0</v>
      </c>
      <c r="P205" s="1">
        <v>0</v>
      </c>
      <c r="Q205" s="1">
        <f>IF(P205 + Q204 &lt; 0, P205 + Q204, 0)</f>
        <v>0</v>
      </c>
    </row>
    <row r="206" spans="1:17" s="1" customFormat="1">
      <c r="A206" s="3">
        <v>45594</v>
      </c>
      <c r="B206" s="1" t="s">
        <v>23</v>
      </c>
      <c r="C206" s="1">
        <v>2</v>
      </c>
      <c r="D206" s="1">
        <v>1</v>
      </c>
      <c r="E206" s="1">
        <v>0</v>
      </c>
      <c r="F206" s="1">
        <v>0</v>
      </c>
      <c r="G206" s="1">
        <v>0</v>
      </c>
      <c r="H206" s="1">
        <v>0</v>
      </c>
      <c r="I206" s="1">
        <f>IF(H206 + I205 &lt; 0, H206 + I205, 0)</f>
        <v>0</v>
      </c>
      <c r="J206" s="1">
        <v>0</v>
      </c>
      <c r="K206" s="1">
        <f>IF(J206 + K205 &lt; 0, J206 + K205, 0)</f>
        <v>0</v>
      </c>
      <c r="L206" s="1">
        <v>0</v>
      </c>
      <c r="M206" s="1">
        <f>IF(L206 + M205 &lt; 0, L206 + M205, 0)</f>
        <v>0</v>
      </c>
      <c r="N206" s="1">
        <v>0</v>
      </c>
      <c r="O206" s="1">
        <f>IF(N206 + O205 &lt; 0, N206 + O205, 0)</f>
        <v>0</v>
      </c>
      <c r="P206" s="1">
        <v>0</v>
      </c>
      <c r="Q206" s="1">
        <f>IF(P206 + Q205 &lt; 0, P206 + Q205, 0)</f>
        <v>0</v>
      </c>
    </row>
    <row r="207" spans="1:17" s="1" customFormat="1">
      <c r="A207" s="3">
        <v>45595</v>
      </c>
      <c r="B207" s="1" t="s">
        <v>24</v>
      </c>
      <c r="C207" s="1">
        <v>1</v>
      </c>
      <c r="D207" s="1">
        <v>17</v>
      </c>
      <c r="E207" s="1">
        <v>0</v>
      </c>
      <c r="F207" s="1">
        <v>0</v>
      </c>
      <c r="G207" s="1">
        <v>0</v>
      </c>
      <c r="H207" s="1">
        <v>0</v>
      </c>
      <c r="I207" s="1">
        <f>IF(H207 + I206 &lt; 0, H207 + I206, 0)</f>
        <v>0</v>
      </c>
      <c r="J207" s="1">
        <v>0</v>
      </c>
      <c r="K207" s="1">
        <f>IF(J207 + K206 &lt; 0, J207 + K206, 0)</f>
        <v>0</v>
      </c>
      <c r="L207" s="1">
        <v>0</v>
      </c>
      <c r="M207" s="1">
        <f>IF(L207 + M206 &lt; 0, L207 + M206, 0)</f>
        <v>0</v>
      </c>
      <c r="N207" s="1">
        <v>0</v>
      </c>
      <c r="O207" s="1">
        <f>IF(N207 + O206 &lt; 0, N207 + O206, 0)</f>
        <v>0</v>
      </c>
      <c r="P207" s="1">
        <v>0</v>
      </c>
      <c r="Q207" s="1">
        <f>IF(P207 + Q206 &lt; 0, P207 + Q206, 0)</f>
        <v>0</v>
      </c>
    </row>
    <row r="208" spans="1:17" s="1" customFormat="1">
      <c r="A208" s="3">
        <v>45596</v>
      </c>
      <c r="B208" s="1" t="s">
        <v>25</v>
      </c>
      <c r="C208" s="1">
        <v>17</v>
      </c>
      <c r="D208" s="1">
        <v>16</v>
      </c>
      <c r="E208" s="1">
        <v>0</v>
      </c>
      <c r="F208" s="1">
        <v>0</v>
      </c>
      <c r="G208" s="1">
        <v>0</v>
      </c>
      <c r="H208" s="1">
        <v>0</v>
      </c>
      <c r="I208" s="1">
        <f>IF(H208 + I207 &lt; 0, H208 + I207, 0)</f>
        <v>0</v>
      </c>
      <c r="J208" s="1">
        <v>0</v>
      </c>
      <c r="K208" s="1">
        <f>IF(J208 + K207 &lt; 0, J208 + K207, 0)</f>
        <v>0</v>
      </c>
      <c r="L208" s="1">
        <v>-384516.8712814497</v>
      </c>
      <c r="M208" s="1">
        <f>IF(L208 + M207 &lt; 0, L208 + M207, 0)</f>
        <v>0</v>
      </c>
      <c r="N208" s="1">
        <v>0</v>
      </c>
      <c r="O208" s="1">
        <f>IF(N208 + O207 &lt; 0, N208 + O207, 0)</f>
        <v>0</v>
      </c>
      <c r="P208" s="1">
        <v>-672730.0670292621</v>
      </c>
      <c r="Q208" s="1">
        <f>IF(P208 + Q207 &lt; 0, P208 + Q207, 0)</f>
        <v>0</v>
      </c>
    </row>
    <row r="209" spans="1:17" s="1" customFormat="1">
      <c r="A209" s="3">
        <v>45600</v>
      </c>
      <c r="B209" s="1" t="s">
        <v>22</v>
      </c>
      <c r="C209" s="1">
        <v>16</v>
      </c>
      <c r="D209" s="1">
        <v>15</v>
      </c>
      <c r="E209" s="1">
        <v>0</v>
      </c>
      <c r="F209" s="1">
        <v>0</v>
      </c>
      <c r="G209" s="1">
        <v>0</v>
      </c>
      <c r="H209" s="1">
        <v>0</v>
      </c>
      <c r="I209" s="1">
        <f>IF(H209 + I208 &lt; 0, H209 + I208, 0)</f>
        <v>0</v>
      </c>
      <c r="J209" s="1">
        <v>0</v>
      </c>
      <c r="K209" s="1">
        <f>IF(J209 + K208 &lt; 0, J209 + K208, 0)</f>
        <v>0</v>
      </c>
      <c r="L209" s="1">
        <v>0</v>
      </c>
      <c r="M209" s="1">
        <f>IF(L209 + M208 &lt; 0, L209 + M208, 0)</f>
        <v>0</v>
      </c>
      <c r="N209" s="1">
        <v>0</v>
      </c>
      <c r="O209" s="1">
        <f>IF(N209 + O208 &lt; 0, N209 + O208, 0)</f>
        <v>0</v>
      </c>
      <c r="P209" s="1">
        <v>0</v>
      </c>
      <c r="Q209" s="1">
        <f>IF(P209 + Q208 &lt; 0, P209 + Q208, 0)</f>
        <v>0</v>
      </c>
    </row>
    <row r="210" spans="1:17" s="1" customFormat="1">
      <c r="A210" s="3">
        <v>45601</v>
      </c>
      <c r="B210" s="1" t="s">
        <v>23</v>
      </c>
      <c r="C210" s="1">
        <v>15</v>
      </c>
      <c r="D210" s="1">
        <v>14</v>
      </c>
      <c r="E210" s="1">
        <v>0</v>
      </c>
      <c r="F210" s="1">
        <v>0</v>
      </c>
      <c r="G210" s="1">
        <v>0</v>
      </c>
      <c r="H210" s="1">
        <v>0</v>
      </c>
      <c r="I210" s="1">
        <f>IF(H210 + I209 &lt; 0, H210 + I209, 0)</f>
        <v>0</v>
      </c>
      <c r="J210" s="1">
        <v>0</v>
      </c>
      <c r="K210" s="1">
        <f>IF(J210 + K209 &lt; 0, J210 + K209, 0)</f>
        <v>0</v>
      </c>
      <c r="L210" s="1">
        <v>0</v>
      </c>
      <c r="M210" s="1">
        <f>IF(L210 + M209 &lt; 0, L210 + M209, 0)</f>
        <v>0</v>
      </c>
      <c r="N210" s="1">
        <v>0</v>
      </c>
      <c r="O210" s="1">
        <f>IF(N210 + O209 &lt; 0, N210 + O209, 0)</f>
        <v>0</v>
      </c>
      <c r="P210" s="1">
        <v>0</v>
      </c>
      <c r="Q210" s="1">
        <f>IF(P210 + Q209 &lt; 0, P210 + Q209, 0)</f>
        <v>0</v>
      </c>
    </row>
    <row r="211" spans="1:17" s="1" customFormat="1">
      <c r="A211" s="3">
        <v>45602</v>
      </c>
      <c r="B211" s="1" t="s">
        <v>24</v>
      </c>
      <c r="C211" s="1">
        <v>14</v>
      </c>
      <c r="D211" s="1">
        <v>13</v>
      </c>
      <c r="E211" s="1">
        <v>0</v>
      </c>
      <c r="F211" s="1">
        <v>0</v>
      </c>
      <c r="G211" s="1">
        <v>0</v>
      </c>
      <c r="H211" s="1">
        <v>0</v>
      </c>
      <c r="I211" s="1">
        <f>IF(H211 + I210 &lt; 0, H211 + I210, 0)</f>
        <v>0</v>
      </c>
      <c r="J211" s="1">
        <v>0</v>
      </c>
      <c r="K211" s="1">
        <f>IF(J211 + K210 &lt; 0, J211 + K210, 0)</f>
        <v>0</v>
      </c>
      <c r="L211" s="1">
        <v>0</v>
      </c>
      <c r="M211" s="1">
        <f>IF(L211 + M210 &lt; 0, L211 + M210, 0)</f>
        <v>0</v>
      </c>
      <c r="N211" s="1">
        <v>0</v>
      </c>
      <c r="O211" s="1">
        <f>IF(N211 + O210 &lt; 0, N211 + O210, 0)</f>
        <v>0</v>
      </c>
      <c r="P211" s="1">
        <v>0</v>
      </c>
      <c r="Q211" s="1">
        <f>IF(P211 + Q210 &lt; 0, P211 + Q210, 0)</f>
        <v>0</v>
      </c>
    </row>
    <row r="212" spans="1:17" s="1" customFormat="1">
      <c r="A212" s="3">
        <v>45603</v>
      </c>
      <c r="B212" s="1" t="s">
        <v>25</v>
      </c>
      <c r="C212" s="1">
        <v>13</v>
      </c>
      <c r="D212" s="1">
        <v>12</v>
      </c>
      <c r="E212" s="1">
        <v>0</v>
      </c>
      <c r="F212" s="1">
        <v>0</v>
      </c>
      <c r="G212" s="1">
        <v>0</v>
      </c>
      <c r="H212" s="1">
        <v>0</v>
      </c>
      <c r="I212" s="1">
        <f>IF(H212 + I211 &lt; 0, H212 + I211, 0)</f>
        <v>0</v>
      </c>
      <c r="J212" s="1">
        <v>0</v>
      </c>
      <c r="K212" s="1">
        <f>IF(J212 + K211 &lt; 0, J212 + K211, 0)</f>
        <v>0</v>
      </c>
      <c r="L212" s="1">
        <v>134757.8430882427</v>
      </c>
      <c r="M212" s="1">
        <f>IF(L212 + M211 &lt; 0, L212 + M211, 0)</f>
        <v>0</v>
      </c>
      <c r="N212" s="1">
        <v>0</v>
      </c>
      <c r="O212" s="1">
        <f>IF(N212 + O211 &lt; 0, N212 + O211, 0)</f>
        <v>0</v>
      </c>
      <c r="P212" s="1">
        <v>0</v>
      </c>
      <c r="Q212" s="1">
        <f>IF(P212 + Q211 &lt; 0, P212 + Q211, 0)</f>
        <v>0</v>
      </c>
    </row>
    <row r="213" spans="1:17" s="1" customFormat="1">
      <c r="A213" s="3">
        <v>45604</v>
      </c>
      <c r="B213" s="1" t="s">
        <v>26</v>
      </c>
      <c r="C213" s="1">
        <v>12</v>
      </c>
      <c r="D213" s="1">
        <v>11</v>
      </c>
      <c r="E213" s="1">
        <v>0</v>
      </c>
      <c r="F213" s="1">
        <v>0</v>
      </c>
      <c r="G213" s="1">
        <v>0</v>
      </c>
      <c r="H213" s="1">
        <v>0</v>
      </c>
      <c r="I213" s="1">
        <f>IF(H213 + I212 &lt; 0, H213 + I212, 0)</f>
        <v>0</v>
      </c>
      <c r="J213" s="1">
        <v>0</v>
      </c>
      <c r="K213" s="1">
        <f>IF(J213 + K212 &lt; 0, J213 + K212, 0)</f>
        <v>0</v>
      </c>
      <c r="L213" s="1">
        <v>0</v>
      </c>
      <c r="M213" s="1">
        <f>IF(L213 + M212 &lt; 0, L213 + M212, 0)</f>
        <v>0</v>
      </c>
      <c r="N213" s="1">
        <v>0</v>
      </c>
      <c r="O213" s="1">
        <f>IF(N213 + O212 &lt; 0, N213 + O212, 0)</f>
        <v>0</v>
      </c>
      <c r="P213" s="1">
        <v>1228950.170626696</v>
      </c>
      <c r="Q213" s="1">
        <f>IF(P213 + Q212 &lt; 0, P213 + Q212, 0)</f>
        <v>0</v>
      </c>
    </row>
    <row r="214" spans="1:17" s="1" customFormat="1">
      <c r="A214" s="3">
        <v>45607</v>
      </c>
      <c r="B214" s="1" t="s">
        <v>22</v>
      </c>
      <c r="C214" s="1">
        <v>11</v>
      </c>
      <c r="D214" s="1">
        <v>10</v>
      </c>
      <c r="E214" s="1">
        <v>0</v>
      </c>
      <c r="F214" s="1">
        <v>0</v>
      </c>
      <c r="G214" s="1">
        <v>0</v>
      </c>
      <c r="H214" s="1">
        <v>0</v>
      </c>
      <c r="I214" s="1">
        <f>IF(H214 + I213 &lt; 0, H214 + I213, 0)</f>
        <v>0</v>
      </c>
      <c r="J214" s="1">
        <v>0</v>
      </c>
      <c r="K214" s="1">
        <f>IF(J214 + K213 &lt; 0, J214 + K213, 0)</f>
        <v>0</v>
      </c>
      <c r="L214" s="1">
        <v>0</v>
      </c>
      <c r="M214" s="1">
        <f>IF(L214 + M213 &lt; 0, L214 + M213, 0)</f>
        <v>0</v>
      </c>
      <c r="N214" s="1">
        <v>0</v>
      </c>
      <c r="O214" s="1">
        <f>IF(N214 + O213 &lt; 0, N214 + O213, 0)</f>
        <v>0</v>
      </c>
      <c r="P214" s="1">
        <v>0</v>
      </c>
      <c r="Q214" s="1">
        <f>IF(P214 + Q213 &lt; 0, P214 + Q213, 0)</f>
        <v>0</v>
      </c>
    </row>
    <row r="215" spans="1:17" s="1" customFormat="1">
      <c r="A215" s="3">
        <v>45608</v>
      </c>
      <c r="B215" s="1" t="s">
        <v>23</v>
      </c>
      <c r="C215" s="1">
        <v>10</v>
      </c>
      <c r="D215" s="1">
        <v>9</v>
      </c>
      <c r="E215" s="1">
        <v>0</v>
      </c>
      <c r="F215" s="1">
        <v>0</v>
      </c>
      <c r="G215" s="1">
        <v>0</v>
      </c>
      <c r="H215" s="1">
        <v>0</v>
      </c>
      <c r="I215" s="1">
        <f>IF(H215 + I214 &lt; 0, H215 + I214, 0)</f>
        <v>0</v>
      </c>
      <c r="J215" s="1">
        <v>0</v>
      </c>
      <c r="K215" s="1">
        <f>IF(J215 + K214 &lt; 0, J215 + K214, 0)</f>
        <v>0</v>
      </c>
      <c r="L215" s="1">
        <v>0</v>
      </c>
      <c r="M215" s="1">
        <f>IF(L215 + M214 &lt; 0, L215 + M214, 0)</f>
        <v>0</v>
      </c>
      <c r="N215" s="1">
        <v>0</v>
      </c>
      <c r="O215" s="1">
        <f>IF(N215 + O214 &lt; 0, N215 + O214, 0)</f>
        <v>0</v>
      </c>
      <c r="P215" s="1">
        <v>0</v>
      </c>
      <c r="Q215" s="1">
        <f>IF(P215 + Q214 &lt; 0, P215 + Q214, 0)</f>
        <v>0</v>
      </c>
    </row>
    <row r="216" spans="1:17" s="1" customFormat="1">
      <c r="A216" s="3">
        <v>45609</v>
      </c>
      <c r="B216" s="1" t="s">
        <v>24</v>
      </c>
      <c r="C216" s="1">
        <v>9</v>
      </c>
      <c r="D216" s="1">
        <v>8</v>
      </c>
      <c r="E216" s="1">
        <v>0</v>
      </c>
      <c r="F216" s="1">
        <v>0</v>
      </c>
      <c r="G216" s="1">
        <v>0</v>
      </c>
      <c r="H216" s="1">
        <v>0</v>
      </c>
      <c r="I216" s="1">
        <f>IF(H216 + I215 &lt; 0, H216 + I215, 0)</f>
        <v>0</v>
      </c>
      <c r="J216" s="1">
        <v>0</v>
      </c>
      <c r="K216" s="1">
        <f>IF(J216 + K215 &lt; 0, J216 + K215, 0)</f>
        <v>0</v>
      </c>
      <c r="L216" s="1">
        <v>0</v>
      </c>
      <c r="M216" s="1">
        <f>IF(L216 + M215 &lt; 0, L216 + M215, 0)</f>
        <v>0</v>
      </c>
      <c r="N216" s="1">
        <v>0</v>
      </c>
      <c r="O216" s="1">
        <f>IF(N216 + O215 &lt; 0, N216 + O215, 0)</f>
        <v>0</v>
      </c>
      <c r="P216" s="1">
        <v>0</v>
      </c>
      <c r="Q216" s="1">
        <f>IF(P216 + Q215 &lt; 0, P216 + Q215, 0)</f>
        <v>0</v>
      </c>
    </row>
    <row r="217" spans="1:17" s="1" customFormat="1">
      <c r="A217" s="3">
        <v>45610</v>
      </c>
      <c r="B217" s="1" t="s">
        <v>25</v>
      </c>
      <c r="C217" s="1">
        <v>8</v>
      </c>
      <c r="D217" s="1">
        <v>7</v>
      </c>
      <c r="E217" s="1">
        <v>0</v>
      </c>
      <c r="F217" s="1">
        <v>0</v>
      </c>
      <c r="G217" s="1">
        <v>0</v>
      </c>
      <c r="H217" s="1">
        <v>0</v>
      </c>
      <c r="I217" s="1">
        <f>IF(H217 + I216 &lt; 0, H217 + I216, 0)</f>
        <v>0</v>
      </c>
      <c r="J217" s="1">
        <v>0</v>
      </c>
      <c r="K217" s="1">
        <f>IF(J217 + K216 &lt; 0, J217 + K216, 0)</f>
        <v>0</v>
      </c>
      <c r="L217" s="1">
        <v>-378347.4636546168</v>
      </c>
      <c r="M217" s="1">
        <f>IF(L217 + M216 &lt; 0, L217 + M216, 0)</f>
        <v>0</v>
      </c>
      <c r="N217" s="1">
        <v>0</v>
      </c>
      <c r="O217" s="1">
        <f>IF(N217 + O216 &lt; 0, N217 + O216, 0)</f>
        <v>0</v>
      </c>
      <c r="P217" s="1">
        <v>-633560.6637959997</v>
      </c>
      <c r="Q217" s="1">
        <f>IF(P217 + Q216 &lt; 0, P217 + Q216, 0)</f>
        <v>0</v>
      </c>
    </row>
    <row r="218" spans="1:17" s="1" customFormat="1">
      <c r="A218" s="3">
        <v>45614</v>
      </c>
      <c r="B218" s="1" t="s">
        <v>22</v>
      </c>
      <c r="C218" s="1">
        <v>7</v>
      </c>
      <c r="D218" s="1">
        <v>6</v>
      </c>
      <c r="E218" s="1">
        <v>0</v>
      </c>
      <c r="F218" s="1">
        <v>0</v>
      </c>
      <c r="G218" s="1">
        <v>0</v>
      </c>
      <c r="H218" s="1">
        <v>0</v>
      </c>
      <c r="I218" s="1">
        <f>IF(H218 + I217 &lt; 0, H218 + I217, 0)</f>
        <v>0</v>
      </c>
      <c r="J218" s="1">
        <v>0</v>
      </c>
      <c r="K218" s="1">
        <f>IF(J218 + K217 &lt; 0, J218 + K217, 0)</f>
        <v>0</v>
      </c>
      <c r="L218" s="1">
        <v>0</v>
      </c>
      <c r="M218" s="1">
        <f>IF(L218 + M217 &lt; 0, L218 + M217, 0)</f>
        <v>0</v>
      </c>
      <c r="N218" s="1">
        <v>0</v>
      </c>
      <c r="O218" s="1">
        <f>IF(N218 + O217 &lt; 0, N218 + O217, 0)</f>
        <v>0</v>
      </c>
      <c r="P218" s="1">
        <v>0</v>
      </c>
      <c r="Q218" s="1">
        <f>IF(P218 + Q217 &lt; 0, P218 + Q217, 0)</f>
        <v>0</v>
      </c>
    </row>
    <row r="219" spans="1:17" s="1" customFormat="1">
      <c r="A219" s="3">
        <v>45615</v>
      </c>
      <c r="B219" s="1" t="s">
        <v>23</v>
      </c>
      <c r="C219" s="1">
        <v>6</v>
      </c>
      <c r="D219" s="1">
        <v>5</v>
      </c>
      <c r="E219" s="1">
        <v>0</v>
      </c>
      <c r="F219" s="1">
        <v>0</v>
      </c>
      <c r="G219" s="1">
        <v>0</v>
      </c>
      <c r="H219" s="1">
        <v>0</v>
      </c>
      <c r="I219" s="1">
        <f>IF(H219 + I218 &lt; 0, H219 + I218, 0)</f>
        <v>0</v>
      </c>
      <c r="J219" s="1">
        <v>0</v>
      </c>
      <c r="K219" s="1">
        <f>IF(J219 + K218 &lt; 0, J219 + K218, 0)</f>
        <v>0</v>
      </c>
      <c r="L219" s="1">
        <v>0</v>
      </c>
      <c r="M219" s="1">
        <f>IF(L219 + M218 &lt; 0, L219 + M218, 0)</f>
        <v>0</v>
      </c>
      <c r="N219" s="1">
        <v>0</v>
      </c>
      <c r="O219" s="1">
        <f>IF(N219 + O218 &lt; 0, N219 + O218, 0)</f>
        <v>0</v>
      </c>
      <c r="P219" s="1">
        <v>0</v>
      </c>
      <c r="Q219" s="1">
        <f>IF(P219 + Q218 &lt; 0, P219 + Q218, 0)</f>
        <v>0</v>
      </c>
    </row>
    <row r="220" spans="1:17" s="1" customFormat="1">
      <c r="A220" s="3">
        <v>45617</v>
      </c>
      <c r="B220" s="1" t="s">
        <v>25</v>
      </c>
      <c r="C220" s="1">
        <v>5</v>
      </c>
      <c r="D220" s="1">
        <v>4</v>
      </c>
      <c r="E220" s="1">
        <v>0</v>
      </c>
      <c r="F220" s="1">
        <v>0</v>
      </c>
      <c r="G220" s="1">
        <v>0</v>
      </c>
      <c r="H220" s="1">
        <v>0</v>
      </c>
      <c r="I220" s="1">
        <f>IF(H220 + I219 &lt; 0, H220 + I219, 0)</f>
        <v>0</v>
      </c>
      <c r="J220" s="1">
        <v>0</v>
      </c>
      <c r="K220" s="1">
        <f>IF(J220 + K219 &lt; 0, J220 + K219, 0)</f>
        <v>0</v>
      </c>
      <c r="L220" s="1">
        <v>-1057567.917417206</v>
      </c>
      <c r="M220" s="1">
        <f>IF(L220 + M219 &lt; 0, L220 + M219, 0)</f>
        <v>0</v>
      </c>
      <c r="N220" s="1">
        <v>0</v>
      </c>
      <c r="O220" s="1">
        <f>IF(N220 + O219 &lt; 0, N220 + O219, 0)</f>
        <v>0</v>
      </c>
      <c r="P220" s="1">
        <v>0</v>
      </c>
      <c r="Q220" s="1">
        <f>IF(P220 + Q219 &lt; 0, P220 + Q219, 0)</f>
        <v>0</v>
      </c>
    </row>
    <row r="221" spans="1:17" s="1" customFormat="1">
      <c r="A221" s="3">
        <v>45618</v>
      </c>
      <c r="B221" s="1" t="s">
        <v>26</v>
      </c>
      <c r="C221" s="1">
        <v>4</v>
      </c>
      <c r="D221" s="1">
        <v>3</v>
      </c>
      <c r="E221" s="1">
        <v>0</v>
      </c>
      <c r="F221" s="1">
        <v>0</v>
      </c>
      <c r="G221" s="1">
        <v>0</v>
      </c>
      <c r="H221" s="1">
        <v>0</v>
      </c>
      <c r="I221" s="1">
        <f>IF(H221 + I220 &lt; 0, H221 + I220, 0)</f>
        <v>0</v>
      </c>
      <c r="J221" s="1">
        <v>0</v>
      </c>
      <c r="K221" s="1">
        <f>IF(J221 + K220 &lt; 0, J221 + K220, 0)</f>
        <v>0</v>
      </c>
      <c r="L221" s="1">
        <v>0</v>
      </c>
      <c r="M221" s="1">
        <f>IF(L221 + M220 &lt; 0, L221 + M220, 0)</f>
        <v>0</v>
      </c>
      <c r="N221" s="1">
        <v>0</v>
      </c>
      <c r="O221" s="1">
        <f>IF(N221 + O220 &lt; 0, N221 + O220, 0)</f>
        <v>0</v>
      </c>
      <c r="P221" s="1">
        <v>-2740499.18255334</v>
      </c>
      <c r="Q221" s="1">
        <f>IF(P221 + Q220 &lt; 0, P221 + Q220, 0)</f>
        <v>0</v>
      </c>
    </row>
    <row r="222" spans="1:17" s="1" customFormat="1">
      <c r="A222" s="3">
        <v>45621</v>
      </c>
      <c r="B222" s="1" t="s">
        <v>22</v>
      </c>
      <c r="C222" s="1">
        <v>3</v>
      </c>
      <c r="D222" s="1">
        <v>2</v>
      </c>
      <c r="E222" s="1">
        <v>0</v>
      </c>
      <c r="F222" s="1">
        <v>0</v>
      </c>
      <c r="G222" s="1">
        <v>0</v>
      </c>
      <c r="H222" s="1">
        <v>0</v>
      </c>
      <c r="I222" s="1">
        <f>IF(H222 + I221 &lt; 0, H222 + I221, 0)</f>
        <v>0</v>
      </c>
      <c r="J222" s="1">
        <v>0</v>
      </c>
      <c r="K222" s="1">
        <f>IF(J222 + K221 &lt; 0, J222 + K221, 0)</f>
        <v>0</v>
      </c>
      <c r="L222" s="1">
        <v>0</v>
      </c>
      <c r="M222" s="1">
        <f>IF(L222 + M221 &lt; 0, L222 + M221, 0)</f>
        <v>0</v>
      </c>
      <c r="N222" s="1">
        <v>0</v>
      </c>
      <c r="O222" s="1">
        <f>IF(N222 + O221 &lt; 0, N222 + O221, 0)</f>
        <v>0</v>
      </c>
      <c r="P222" s="1">
        <v>0</v>
      </c>
      <c r="Q222" s="1">
        <f>IF(P222 + Q221 &lt; 0, P222 + Q221, 0)</f>
        <v>0</v>
      </c>
    </row>
    <row r="223" spans="1:17" s="1" customFormat="1">
      <c r="A223" s="3">
        <v>45622</v>
      </c>
      <c r="B223" s="1" t="s">
        <v>23</v>
      </c>
      <c r="C223" s="1">
        <v>2</v>
      </c>
      <c r="D223" s="1">
        <v>1</v>
      </c>
      <c r="E223" s="1">
        <v>0</v>
      </c>
      <c r="F223" s="1">
        <v>0</v>
      </c>
      <c r="G223" s="1">
        <v>0</v>
      </c>
      <c r="H223" s="1">
        <v>0</v>
      </c>
      <c r="I223" s="1">
        <f>IF(H223 + I222 &lt; 0, H223 + I222, 0)</f>
        <v>0</v>
      </c>
      <c r="J223" s="1">
        <v>0</v>
      </c>
      <c r="K223" s="1">
        <f>IF(J223 + K222 &lt; 0, J223 + K222, 0)</f>
        <v>0</v>
      </c>
      <c r="L223" s="1">
        <v>0</v>
      </c>
      <c r="M223" s="1">
        <f>IF(L223 + M222 &lt; 0, L223 + M222, 0)</f>
        <v>0</v>
      </c>
      <c r="N223" s="1">
        <v>0</v>
      </c>
      <c r="O223" s="1">
        <f>IF(N223 + O222 &lt; 0, N223 + O222, 0)</f>
        <v>0</v>
      </c>
      <c r="P223" s="1">
        <v>0</v>
      </c>
      <c r="Q223" s="1">
        <f>IF(P223 + Q222 &lt; 0, P223 + Q222, 0)</f>
        <v>0</v>
      </c>
    </row>
    <row r="224" spans="1:17" s="1" customFormat="1">
      <c r="A224" s="3">
        <v>45623</v>
      </c>
      <c r="B224" s="1" t="s">
        <v>24</v>
      </c>
      <c r="C224" s="1">
        <v>1</v>
      </c>
      <c r="D224" s="1">
        <v>24</v>
      </c>
      <c r="E224" s="1">
        <v>0</v>
      </c>
      <c r="F224" s="1">
        <v>0</v>
      </c>
      <c r="G224" s="1">
        <v>0</v>
      </c>
      <c r="H224" s="1">
        <v>0</v>
      </c>
      <c r="I224" s="1">
        <f>IF(H224 + I223 &lt; 0, H224 + I223, 0)</f>
        <v>0</v>
      </c>
      <c r="J224" s="1">
        <v>0</v>
      </c>
      <c r="K224" s="1">
        <f>IF(J224 + K223 &lt; 0, J224 + K223, 0)</f>
        <v>0</v>
      </c>
      <c r="L224" s="1">
        <v>0</v>
      </c>
      <c r="M224" s="1">
        <f>IF(L224 + M223 &lt; 0, L224 + M223, 0)</f>
        <v>0</v>
      </c>
      <c r="N224" s="1">
        <v>0</v>
      </c>
      <c r="O224" s="1">
        <f>IF(N224 + O223 &lt; 0, N224 + O223, 0)</f>
        <v>0</v>
      </c>
      <c r="P224" s="1">
        <v>0</v>
      </c>
      <c r="Q224" s="1">
        <f>IF(P224 + Q223 &lt; 0, P224 + Q223, 0)</f>
        <v>0</v>
      </c>
    </row>
    <row r="225" spans="1:17" s="1" customFormat="1">
      <c r="A225" s="3">
        <v>45624</v>
      </c>
      <c r="B225" s="1" t="s">
        <v>25</v>
      </c>
      <c r="C225" s="1">
        <v>19</v>
      </c>
      <c r="D225" s="1">
        <v>23</v>
      </c>
      <c r="E225" s="1">
        <v>0</v>
      </c>
      <c r="F225" s="1">
        <v>0</v>
      </c>
      <c r="G225" s="1">
        <v>0</v>
      </c>
      <c r="H225" s="1">
        <v>0</v>
      </c>
      <c r="I225" s="1">
        <f>IF(H225 + I224 &lt; 0, H225 + I224, 0)</f>
        <v>0</v>
      </c>
      <c r="J225" s="1">
        <v>0</v>
      </c>
      <c r="K225" s="1">
        <f>IF(J225 + K224 &lt; 0, J225 + K224, 0)</f>
        <v>0</v>
      </c>
      <c r="L225" s="1">
        <v>-1352151.278321848</v>
      </c>
      <c r="M225" s="1">
        <f>IF(L225 + M224 &lt; 0, L225 + M224, 0)</f>
        <v>0</v>
      </c>
      <c r="N225" s="1">
        <v>0</v>
      </c>
      <c r="O225" s="1">
        <f>IF(N225 + O224 &lt; 0, N225 + O224, 0)</f>
        <v>0</v>
      </c>
      <c r="P225" s="1">
        <v>0</v>
      </c>
      <c r="Q225" s="1">
        <f>IF(P225 + Q224 &lt; 0, P225 + Q224, 0)</f>
        <v>0</v>
      </c>
    </row>
    <row r="226" spans="1:17" s="1" customFormat="1">
      <c r="A226" s="3">
        <v>45625</v>
      </c>
      <c r="B226" s="1" t="s">
        <v>26</v>
      </c>
      <c r="C226" s="1">
        <v>18</v>
      </c>
      <c r="D226" s="1">
        <v>22</v>
      </c>
      <c r="E226" s="1">
        <v>0</v>
      </c>
      <c r="F226" s="1">
        <v>0</v>
      </c>
      <c r="G226" s="1">
        <v>0</v>
      </c>
      <c r="H226" s="1">
        <v>0</v>
      </c>
      <c r="I226" s="1">
        <f>IF(H226 + I225 &lt; 0, H226 + I225, 0)</f>
        <v>0</v>
      </c>
      <c r="J226" s="1">
        <v>0</v>
      </c>
      <c r="K226" s="1">
        <f>IF(J226 + K225 &lt; 0, J226 + K225, 0)</f>
        <v>0</v>
      </c>
      <c r="L226" s="1">
        <v>0</v>
      </c>
      <c r="M226" s="1">
        <f>IF(L226 + M225 &lt; 0, L226 + M225, 0)</f>
        <v>0</v>
      </c>
      <c r="N226" s="1">
        <v>0</v>
      </c>
      <c r="O226" s="1">
        <f>IF(N226 + O225 &lt; 0, N226 + O225, 0)</f>
        <v>0</v>
      </c>
      <c r="P226" s="1">
        <v>1091141.652618131</v>
      </c>
      <c r="Q226" s="1">
        <f>IF(P226 + Q225 &lt; 0, P226 + Q225, 0)</f>
        <v>0</v>
      </c>
    </row>
    <row r="227" spans="1:17" s="1" customFormat="1">
      <c r="A227" s="3">
        <v>45628</v>
      </c>
      <c r="B227" s="1" t="s">
        <v>22</v>
      </c>
      <c r="C227" s="1">
        <v>17</v>
      </c>
      <c r="D227" s="1">
        <v>21</v>
      </c>
      <c r="E227" s="1">
        <v>0</v>
      </c>
      <c r="F227" s="1">
        <v>0</v>
      </c>
      <c r="G227" s="1">
        <v>0</v>
      </c>
      <c r="H227" s="1">
        <v>0</v>
      </c>
      <c r="I227" s="1">
        <f>IF(H227 + I226 &lt; 0, H227 + I226, 0)</f>
        <v>0</v>
      </c>
      <c r="J227" s="1">
        <v>0</v>
      </c>
      <c r="K227" s="1">
        <f>IF(J227 + K226 &lt; 0, J227 + K226, 0)</f>
        <v>0</v>
      </c>
      <c r="L227" s="1">
        <v>0</v>
      </c>
      <c r="M227" s="1">
        <f>IF(L227 + M226 &lt; 0, L227 + M226, 0)</f>
        <v>0</v>
      </c>
      <c r="N227" s="1">
        <v>0</v>
      </c>
      <c r="O227" s="1">
        <f>IF(N227 + O226 &lt; 0, N227 + O226, 0)</f>
        <v>0</v>
      </c>
      <c r="P227" s="1">
        <v>0</v>
      </c>
      <c r="Q227" s="1">
        <f>IF(P227 + Q226 &lt; 0, P227 + Q226, 0)</f>
        <v>0</v>
      </c>
    </row>
    <row r="228" spans="1:17" s="1" customFormat="1">
      <c r="A228" s="3">
        <v>45629</v>
      </c>
      <c r="B228" s="1" t="s">
        <v>23</v>
      </c>
      <c r="C228" s="1">
        <v>16</v>
      </c>
      <c r="D228" s="1">
        <v>20</v>
      </c>
      <c r="E228" s="1">
        <v>0</v>
      </c>
      <c r="F228" s="1">
        <v>0</v>
      </c>
      <c r="G228" s="1">
        <v>0</v>
      </c>
      <c r="H228" s="1">
        <v>0</v>
      </c>
      <c r="I228" s="1">
        <f>IF(H228 + I227 &lt; 0, H228 + I227, 0)</f>
        <v>0</v>
      </c>
      <c r="J228" s="1">
        <v>0</v>
      </c>
      <c r="K228" s="1">
        <f>IF(J228 + K227 &lt; 0, J228 + K227, 0)</f>
        <v>0</v>
      </c>
      <c r="L228" s="1">
        <v>0</v>
      </c>
      <c r="M228" s="1">
        <f>IF(L228 + M227 &lt; 0, L228 + M227, 0)</f>
        <v>0</v>
      </c>
      <c r="N228" s="1">
        <v>0</v>
      </c>
      <c r="O228" s="1">
        <f>IF(N228 + O227 &lt; 0, N228 + O227, 0)</f>
        <v>0</v>
      </c>
      <c r="P228" s="1">
        <v>0</v>
      </c>
      <c r="Q228" s="1">
        <f>IF(P228 + Q227 &lt; 0, P228 + Q227, 0)</f>
        <v>0</v>
      </c>
    </row>
    <row r="229" spans="1:17" s="1" customFormat="1">
      <c r="A229" s="3">
        <v>45630</v>
      </c>
      <c r="B229" s="1" t="s">
        <v>24</v>
      </c>
      <c r="C229" s="1">
        <v>15</v>
      </c>
      <c r="D229" s="1">
        <v>19</v>
      </c>
      <c r="E229" s="1">
        <v>0</v>
      </c>
      <c r="F229" s="1">
        <v>0</v>
      </c>
      <c r="G229" s="1">
        <v>0</v>
      </c>
      <c r="H229" s="1">
        <v>0</v>
      </c>
      <c r="I229" s="1">
        <f>IF(H229 + I228 &lt; 0, H229 + I228, 0)</f>
        <v>0</v>
      </c>
      <c r="J229" s="1">
        <v>0</v>
      </c>
      <c r="K229" s="1">
        <f>IF(J229 + K228 &lt; 0, J229 + K228, 0)</f>
        <v>0</v>
      </c>
      <c r="L229" s="1">
        <v>0</v>
      </c>
      <c r="M229" s="1">
        <f>IF(L229 + M228 &lt; 0, L229 + M228, 0)</f>
        <v>0</v>
      </c>
      <c r="N229" s="1">
        <v>0</v>
      </c>
      <c r="O229" s="1">
        <f>IF(N229 + O228 &lt; 0, N229 + O228, 0)</f>
        <v>0</v>
      </c>
      <c r="P229" s="1">
        <v>0</v>
      </c>
      <c r="Q229" s="1">
        <f>IF(P229 + Q228 &lt; 0, P229 + Q228, 0)</f>
        <v>0</v>
      </c>
    </row>
    <row r="230" spans="1:17" s="1" customFormat="1">
      <c r="A230" s="3">
        <v>45631</v>
      </c>
      <c r="B230" s="1" t="s">
        <v>25</v>
      </c>
      <c r="C230" s="1">
        <v>14</v>
      </c>
      <c r="D230" s="1">
        <v>18</v>
      </c>
      <c r="E230" s="1">
        <v>0</v>
      </c>
      <c r="F230" s="1">
        <v>0</v>
      </c>
      <c r="G230" s="1">
        <v>0</v>
      </c>
      <c r="H230" s="1">
        <v>0</v>
      </c>
      <c r="I230" s="1">
        <f>IF(H230 + I229 &lt; 0, H230 + I229, 0)</f>
        <v>0</v>
      </c>
      <c r="J230" s="1">
        <v>0</v>
      </c>
      <c r="K230" s="1">
        <f>IF(J230 + K229 &lt; 0, J230 + K229, 0)</f>
        <v>0</v>
      </c>
      <c r="L230" s="1">
        <v>-2082365.088324523</v>
      </c>
      <c r="M230" s="1">
        <f>IF(L230 + M229 &lt; 0, L230 + M229, 0)</f>
        <v>0</v>
      </c>
      <c r="N230" s="1">
        <v>0</v>
      </c>
      <c r="O230" s="1">
        <f>IF(N230 + O229 &lt; 0, N230 + O229, 0)</f>
        <v>0</v>
      </c>
      <c r="P230" s="1">
        <v>0</v>
      </c>
      <c r="Q230" s="1">
        <f>IF(P230 + Q229 &lt; 0, P230 + Q229, 0)</f>
        <v>0</v>
      </c>
    </row>
    <row r="231" spans="1:17" s="1" customFormat="1">
      <c r="A231" s="3">
        <v>45632</v>
      </c>
      <c r="B231" s="1" t="s">
        <v>26</v>
      </c>
      <c r="C231" s="1">
        <v>13</v>
      </c>
      <c r="D231" s="1">
        <v>17</v>
      </c>
      <c r="E231" s="1">
        <v>0</v>
      </c>
      <c r="F231" s="1">
        <v>0</v>
      </c>
      <c r="G231" s="1">
        <v>0</v>
      </c>
      <c r="H231" s="1">
        <v>0</v>
      </c>
      <c r="I231" s="1">
        <f>IF(H231 + I230 &lt; 0, H231 + I230, 0)</f>
        <v>0</v>
      </c>
      <c r="J231" s="1">
        <v>0</v>
      </c>
      <c r="K231" s="1">
        <f>IF(J231 + K230 &lt; 0, J231 + K230, 0)</f>
        <v>0</v>
      </c>
      <c r="L231" s="1">
        <v>0</v>
      </c>
      <c r="M231" s="1">
        <f>IF(L231 + M230 &lt; 0, L231 + M230, 0)</f>
        <v>0</v>
      </c>
      <c r="N231" s="1">
        <v>0</v>
      </c>
      <c r="O231" s="1">
        <f>IF(N231 + O230 &lt; 0, N231 + O230, 0)</f>
        <v>0</v>
      </c>
      <c r="P231" s="1">
        <v>1290837.687226527</v>
      </c>
      <c r="Q231" s="1">
        <f>IF(P231 + Q230 &lt; 0, P231 + Q230, 0)</f>
        <v>0</v>
      </c>
    </row>
    <row r="232" spans="1:17" s="1" customFormat="1">
      <c r="A232" s="3">
        <v>45635</v>
      </c>
      <c r="B232" s="1" t="s">
        <v>22</v>
      </c>
      <c r="C232" s="1">
        <v>12</v>
      </c>
      <c r="D232" s="1">
        <v>16</v>
      </c>
      <c r="E232" s="1">
        <v>0</v>
      </c>
      <c r="F232" s="1">
        <v>0</v>
      </c>
      <c r="G232" s="1">
        <v>0</v>
      </c>
      <c r="H232" s="1">
        <v>0</v>
      </c>
      <c r="I232" s="1">
        <f>IF(H232 + I231 &lt; 0, H232 + I231, 0)</f>
        <v>0</v>
      </c>
      <c r="J232" s="1">
        <v>0</v>
      </c>
      <c r="K232" s="1">
        <f>IF(J232 + K231 &lt; 0, J232 + K231, 0)</f>
        <v>0</v>
      </c>
      <c r="L232" s="1">
        <v>0</v>
      </c>
      <c r="M232" s="1">
        <f>IF(L232 + M231 &lt; 0, L232 + M231, 0)</f>
        <v>0</v>
      </c>
      <c r="N232" s="1">
        <v>0</v>
      </c>
      <c r="O232" s="1">
        <f>IF(N232 + O231 &lt; 0, N232 + O231, 0)</f>
        <v>0</v>
      </c>
      <c r="P232" s="1">
        <v>0</v>
      </c>
      <c r="Q232" s="1">
        <f>IF(P232 + Q231 &lt; 0, P232 + Q231, 0)</f>
        <v>0</v>
      </c>
    </row>
    <row r="233" spans="1:17" s="1" customFormat="1">
      <c r="A233" s="3">
        <v>45636</v>
      </c>
      <c r="B233" s="1" t="s">
        <v>23</v>
      </c>
      <c r="C233" s="1">
        <v>11</v>
      </c>
      <c r="D233" s="1">
        <v>15</v>
      </c>
      <c r="E233" s="1">
        <v>0</v>
      </c>
      <c r="F233" s="1">
        <v>0</v>
      </c>
      <c r="G233" s="1">
        <v>0</v>
      </c>
      <c r="H233" s="1">
        <v>0</v>
      </c>
      <c r="I233" s="1">
        <f>IF(H233 + I232 &lt; 0, H233 + I232, 0)</f>
        <v>0</v>
      </c>
      <c r="J233" s="1">
        <v>0</v>
      </c>
      <c r="K233" s="1">
        <f>IF(J233 + K232 &lt; 0, J233 + K232, 0)</f>
        <v>0</v>
      </c>
      <c r="L233" s="1">
        <v>0</v>
      </c>
      <c r="M233" s="1">
        <f>IF(L233 + M232 &lt; 0, L233 + M232, 0)</f>
        <v>0</v>
      </c>
      <c r="N233" s="1">
        <v>0</v>
      </c>
      <c r="O233" s="1">
        <f>IF(N233 + O232 &lt; 0, N233 + O232, 0)</f>
        <v>0</v>
      </c>
      <c r="P233" s="1">
        <v>0</v>
      </c>
      <c r="Q233" s="1">
        <f>IF(P233 + Q232 &lt; 0, P233 + Q232, 0)</f>
        <v>0</v>
      </c>
    </row>
    <row r="234" spans="1:17" s="1" customFormat="1">
      <c r="A234" s="3">
        <v>45637</v>
      </c>
      <c r="B234" s="1" t="s">
        <v>24</v>
      </c>
      <c r="C234" s="1">
        <v>10</v>
      </c>
      <c r="D234" s="1">
        <v>14</v>
      </c>
      <c r="E234" s="1">
        <v>0</v>
      </c>
      <c r="F234" s="1">
        <v>0</v>
      </c>
      <c r="G234" s="1">
        <v>0</v>
      </c>
      <c r="H234" s="1">
        <v>0</v>
      </c>
      <c r="I234" s="1">
        <f>IF(H234 + I233 &lt; 0, H234 + I233, 0)</f>
        <v>0</v>
      </c>
      <c r="J234" s="1">
        <v>0</v>
      </c>
      <c r="K234" s="1">
        <f>IF(J234 + K233 &lt; 0, J234 + K233, 0)</f>
        <v>0</v>
      </c>
      <c r="L234" s="1">
        <v>0</v>
      </c>
      <c r="M234" s="1">
        <f>IF(L234 + M233 &lt; 0, L234 + M233, 0)</f>
        <v>0</v>
      </c>
      <c r="N234" s="1">
        <v>0</v>
      </c>
      <c r="O234" s="1">
        <f>IF(N234 + O233 &lt; 0, N234 + O233, 0)</f>
        <v>0</v>
      </c>
      <c r="P234" s="1">
        <v>0</v>
      </c>
      <c r="Q234" s="1">
        <f>IF(P234 + Q233 &lt; 0, P234 + Q233, 0)</f>
        <v>0</v>
      </c>
    </row>
    <row r="235" spans="1:17" s="1" customFormat="1">
      <c r="A235" s="3">
        <v>45638</v>
      </c>
      <c r="B235" s="1" t="s">
        <v>25</v>
      </c>
      <c r="C235" s="1">
        <v>9</v>
      </c>
      <c r="D235" s="1">
        <v>13</v>
      </c>
      <c r="E235" s="1">
        <v>0</v>
      </c>
      <c r="F235" s="1">
        <v>0</v>
      </c>
      <c r="G235" s="1">
        <v>0</v>
      </c>
      <c r="H235" s="1">
        <v>0</v>
      </c>
      <c r="I235" s="1">
        <f>IF(H235 + I234 &lt; 0, H235 + I234, 0)</f>
        <v>0</v>
      </c>
      <c r="J235" s="1">
        <v>0</v>
      </c>
      <c r="K235" s="1">
        <f>IF(J235 + K234 &lt; 0, J235 + K234, 0)</f>
        <v>0</v>
      </c>
      <c r="L235" s="1">
        <v>2992125.080562218</v>
      </c>
      <c r="M235" s="1">
        <f>IF(L235 + M234 &lt; 0, L235 + M234, 0)</f>
        <v>0</v>
      </c>
      <c r="N235" s="1">
        <v>0</v>
      </c>
      <c r="O235" s="1">
        <f>IF(N235 + O234 &lt; 0, N235 + O234, 0)</f>
        <v>0</v>
      </c>
      <c r="P235" s="1">
        <v>0</v>
      </c>
      <c r="Q235" s="1">
        <f>IF(P235 + Q234 &lt; 0, P235 + Q234, 0)</f>
        <v>0</v>
      </c>
    </row>
    <row r="236" spans="1:17" s="1" customFormat="1">
      <c r="A236" s="3">
        <v>45639</v>
      </c>
      <c r="B236" s="1" t="s">
        <v>26</v>
      </c>
      <c r="C236" s="1">
        <v>8</v>
      </c>
      <c r="D236" s="1">
        <v>12</v>
      </c>
      <c r="E236" s="1">
        <v>0</v>
      </c>
      <c r="F236" s="1">
        <v>0</v>
      </c>
      <c r="G236" s="1">
        <v>0</v>
      </c>
      <c r="H236" s="1">
        <v>0</v>
      </c>
      <c r="I236" s="1">
        <f>IF(H236 + I235 &lt; 0, H236 + I235, 0)</f>
        <v>0</v>
      </c>
      <c r="J236" s="1">
        <v>0</v>
      </c>
      <c r="K236" s="1">
        <f>IF(J236 + K235 &lt; 0, J236 + K235, 0)</f>
        <v>0</v>
      </c>
      <c r="L236" s="1">
        <v>0</v>
      </c>
      <c r="M236" s="1">
        <f>IF(L236 + M235 &lt; 0, L236 + M235, 0)</f>
        <v>0</v>
      </c>
      <c r="N236" s="1">
        <v>0</v>
      </c>
      <c r="O236" s="1">
        <f>IF(N236 + O235 &lt; 0, N236 + O235, 0)</f>
        <v>0</v>
      </c>
      <c r="P236" s="1">
        <v>1010575.246993836</v>
      </c>
      <c r="Q236" s="1">
        <f>IF(P236 + Q235 &lt; 0, P236 + Q235, 0)</f>
        <v>0</v>
      </c>
    </row>
    <row r="237" spans="1:17" s="1" customFormat="1">
      <c r="A237" s="3">
        <v>45642</v>
      </c>
      <c r="B237" s="1" t="s">
        <v>22</v>
      </c>
      <c r="C237" s="1">
        <v>7</v>
      </c>
      <c r="D237" s="1">
        <v>11</v>
      </c>
      <c r="E237" s="1">
        <v>0</v>
      </c>
      <c r="F237" s="1">
        <v>0</v>
      </c>
      <c r="G237" s="1">
        <v>0</v>
      </c>
      <c r="H237" s="1">
        <v>0</v>
      </c>
      <c r="I237" s="1">
        <f>IF(H237 + I236 &lt; 0, H237 + I236, 0)</f>
        <v>0</v>
      </c>
      <c r="J237" s="1">
        <v>0</v>
      </c>
      <c r="K237" s="1">
        <f>IF(J237 + K236 &lt; 0, J237 + K236, 0)</f>
        <v>0</v>
      </c>
      <c r="L237" s="1">
        <v>0</v>
      </c>
      <c r="M237" s="1">
        <f>IF(L237 + M236 &lt; 0, L237 + M236, 0)</f>
        <v>0</v>
      </c>
      <c r="N237" s="1">
        <v>0</v>
      </c>
      <c r="O237" s="1">
        <f>IF(N237 + O236 &lt; 0, N237 + O236, 0)</f>
        <v>0</v>
      </c>
      <c r="P237" s="1">
        <v>0</v>
      </c>
      <c r="Q237" s="1">
        <f>IF(P237 + Q236 &lt; 0, P237 + Q236, 0)</f>
        <v>0</v>
      </c>
    </row>
    <row r="238" spans="1:17" s="1" customFormat="1">
      <c r="A238" s="3">
        <v>45643</v>
      </c>
      <c r="B238" s="1" t="s">
        <v>23</v>
      </c>
      <c r="C238" s="1">
        <v>6</v>
      </c>
      <c r="D238" s="1">
        <v>10</v>
      </c>
      <c r="E238" s="1">
        <v>0</v>
      </c>
      <c r="F238" s="1">
        <v>0</v>
      </c>
      <c r="G238" s="1">
        <v>0</v>
      </c>
      <c r="H238" s="1">
        <v>0</v>
      </c>
      <c r="I238" s="1">
        <f>IF(H238 + I237 &lt; 0, H238 + I237, 0)</f>
        <v>0</v>
      </c>
      <c r="J238" s="1">
        <v>0</v>
      </c>
      <c r="K238" s="1">
        <f>IF(J238 + K237 &lt; 0, J238 + K237, 0)</f>
        <v>0</v>
      </c>
      <c r="L238" s="1">
        <v>0</v>
      </c>
      <c r="M238" s="1">
        <f>IF(L238 + M237 &lt; 0, L238 + M237, 0)</f>
        <v>0</v>
      </c>
      <c r="N238" s="1">
        <v>0</v>
      </c>
      <c r="O238" s="1">
        <f>IF(N238 + O237 &lt; 0, N238 + O237, 0)</f>
        <v>0</v>
      </c>
      <c r="P238" s="1">
        <v>0</v>
      </c>
      <c r="Q238" s="1">
        <f>IF(P238 + Q237 &lt; 0, P238 + Q237, 0)</f>
        <v>0</v>
      </c>
    </row>
    <row r="239" spans="1:17" s="1" customFormat="1">
      <c r="A239" s="3">
        <v>45644</v>
      </c>
      <c r="B239" s="1" t="s">
        <v>24</v>
      </c>
      <c r="C239" s="1">
        <v>5</v>
      </c>
      <c r="D239" s="1">
        <v>9</v>
      </c>
      <c r="E239" s="1">
        <v>0</v>
      </c>
      <c r="F239" s="1">
        <v>0</v>
      </c>
      <c r="G239" s="1">
        <v>0</v>
      </c>
      <c r="H239" s="1">
        <v>0</v>
      </c>
      <c r="I239" s="1">
        <f>IF(H239 + I238 &lt; 0, H239 + I238, 0)</f>
        <v>0</v>
      </c>
      <c r="J239" s="1">
        <v>0</v>
      </c>
      <c r="K239" s="1">
        <f>IF(J239 + K238 &lt; 0, J239 + K238, 0)</f>
        <v>0</v>
      </c>
      <c r="L239" s="1">
        <v>0</v>
      </c>
      <c r="M239" s="1">
        <f>IF(L239 + M238 &lt; 0, L239 + M238, 0)</f>
        <v>0</v>
      </c>
      <c r="N239" s="1">
        <v>0</v>
      </c>
      <c r="O239" s="1">
        <f>IF(N239 + O238 &lt; 0, N239 + O238, 0)</f>
        <v>0</v>
      </c>
      <c r="P239" s="1">
        <v>0</v>
      </c>
      <c r="Q239" s="1">
        <f>IF(P239 + Q238 &lt; 0, P239 + Q238, 0)</f>
        <v>0</v>
      </c>
    </row>
    <row r="240" spans="1:17" s="1" customFormat="1">
      <c r="A240" s="3">
        <v>45645</v>
      </c>
      <c r="B240" s="1" t="s">
        <v>25</v>
      </c>
      <c r="C240" s="1">
        <v>4</v>
      </c>
      <c r="D240" s="1">
        <v>8</v>
      </c>
      <c r="E240" s="1">
        <v>0</v>
      </c>
      <c r="F240" s="1">
        <v>0</v>
      </c>
      <c r="G240" s="1">
        <v>0</v>
      </c>
      <c r="H240" s="1">
        <v>0</v>
      </c>
      <c r="I240" s="1">
        <f>IF(H240 + I239 &lt; 0, H240 + I239, 0)</f>
        <v>0</v>
      </c>
      <c r="J240" s="1">
        <v>0</v>
      </c>
      <c r="K240" s="1">
        <f>IF(J240 + K239 &lt; 0, J240 + K239, 0)</f>
        <v>0</v>
      </c>
      <c r="L240" s="1">
        <v>-384521.3977591904</v>
      </c>
      <c r="M240" s="1">
        <f>IF(L240 + M239 &lt; 0, L240 + M239, 0)</f>
        <v>0</v>
      </c>
      <c r="N240" s="1">
        <v>0</v>
      </c>
      <c r="O240" s="1">
        <f>IF(N240 + O239 &lt; 0, N240 + O239, 0)</f>
        <v>0</v>
      </c>
      <c r="P240" s="1">
        <v>0</v>
      </c>
      <c r="Q240" s="1">
        <f>IF(P240 + Q239 &lt; 0, P240 + Q239, 0)</f>
        <v>0</v>
      </c>
    </row>
    <row r="241" spans="1:17" s="1" customFormat="1">
      <c r="A241" s="3">
        <v>45646</v>
      </c>
      <c r="B241" s="1" t="s">
        <v>26</v>
      </c>
      <c r="C241" s="1">
        <v>3</v>
      </c>
      <c r="D241" s="1">
        <v>7</v>
      </c>
      <c r="E241" s="1">
        <v>0</v>
      </c>
      <c r="F241" s="1">
        <v>0</v>
      </c>
      <c r="G241" s="1">
        <v>0</v>
      </c>
      <c r="H241" s="1">
        <v>0</v>
      </c>
      <c r="I241" s="1">
        <f>IF(H241 + I240 &lt; 0, H241 + I240, 0)</f>
        <v>0</v>
      </c>
      <c r="J241" s="1">
        <v>0</v>
      </c>
      <c r="K241" s="1">
        <f>IF(J241 + K240 &lt; 0, J241 + K240, 0)</f>
        <v>0</v>
      </c>
      <c r="L241" s="1">
        <v>0</v>
      </c>
      <c r="M241" s="1">
        <f>IF(L241 + M240 &lt; 0, L241 + M240, 0)</f>
        <v>0</v>
      </c>
      <c r="N241" s="1">
        <v>0</v>
      </c>
      <c r="O241" s="1">
        <f>IF(N241 + O240 &lt; 0, N241 + O240, 0)</f>
        <v>0</v>
      </c>
      <c r="P241" s="1">
        <v>-3115404.534295735</v>
      </c>
      <c r="Q241" s="1">
        <f>IF(P241 + Q240 &lt; 0, P241 + Q240, 0)</f>
        <v>0</v>
      </c>
    </row>
    <row r="242" spans="1:17" s="1" customFormat="1">
      <c r="A242" s="3">
        <v>45649</v>
      </c>
      <c r="B242" s="1" t="s">
        <v>22</v>
      </c>
      <c r="C242" s="1">
        <v>2</v>
      </c>
      <c r="D242" s="1">
        <v>6</v>
      </c>
      <c r="E242" s="1">
        <v>0</v>
      </c>
      <c r="F242" s="1">
        <v>0</v>
      </c>
      <c r="G242" s="1">
        <v>0</v>
      </c>
      <c r="H242" s="1">
        <v>0</v>
      </c>
      <c r="I242" s="1">
        <f>IF(H242 + I241 &lt; 0, H242 + I241, 0)</f>
        <v>0</v>
      </c>
      <c r="J242" s="1">
        <v>0</v>
      </c>
      <c r="K242" s="1">
        <f>IF(J242 + K241 &lt; 0, J242 + K241, 0)</f>
        <v>0</v>
      </c>
      <c r="L242" s="1">
        <v>0</v>
      </c>
      <c r="M242" s="1">
        <f>IF(L242 + M241 &lt; 0, L242 + M241, 0)</f>
        <v>0</v>
      </c>
      <c r="N242" s="1">
        <v>0</v>
      </c>
      <c r="O242" s="1">
        <f>IF(N242 + O241 &lt; 0, N242 + O241, 0)</f>
        <v>0</v>
      </c>
      <c r="P242" s="1">
        <v>0</v>
      </c>
      <c r="Q242" s="1">
        <f>IF(P242 + Q241 &lt; 0, P242 + Q241, 0)</f>
        <v>0</v>
      </c>
    </row>
    <row r="243" spans="1:17" s="1" customFormat="1">
      <c r="A243" s="3">
        <v>45650</v>
      </c>
      <c r="B243" s="1" t="s">
        <v>23</v>
      </c>
      <c r="C243" s="1">
        <v>1</v>
      </c>
      <c r="D243" s="1">
        <v>5</v>
      </c>
      <c r="E243" s="1">
        <v>0</v>
      </c>
      <c r="F243" s="1">
        <v>0</v>
      </c>
      <c r="G243" s="1">
        <v>0</v>
      </c>
      <c r="H243" s="1">
        <v>0</v>
      </c>
      <c r="I243" s="1">
        <f>IF(H243 + I242 &lt; 0, H243 + I242, 0)</f>
        <v>0</v>
      </c>
      <c r="J243" s="1">
        <v>0</v>
      </c>
      <c r="K243" s="1">
        <f>IF(J243 + K242 &lt; 0, J243 + K242, 0)</f>
        <v>0</v>
      </c>
      <c r="L243" s="1">
        <v>0</v>
      </c>
      <c r="M243" s="1">
        <f>IF(L243 + M242 &lt; 0, L243 + M242, 0)</f>
        <v>0</v>
      </c>
      <c r="N243" s="1">
        <v>0</v>
      </c>
      <c r="O243" s="1">
        <f>IF(N243 + O242 &lt; 0, N243 + O242, 0)</f>
        <v>0</v>
      </c>
      <c r="P243" s="1">
        <v>0</v>
      </c>
      <c r="Q243" s="1">
        <f>IF(P243 + Q242 &lt; 0, P243 + Q242, 0)</f>
        <v>0</v>
      </c>
    </row>
    <row r="244" spans="1:17" s="1" customFormat="1">
      <c r="A244" s="3">
        <v>45652</v>
      </c>
      <c r="B244" s="1" t="s">
        <v>25</v>
      </c>
      <c r="C244" s="1">
        <v>26</v>
      </c>
      <c r="D244" s="1">
        <v>4</v>
      </c>
      <c r="E244" s="1">
        <v>0</v>
      </c>
      <c r="F244" s="1">
        <v>0</v>
      </c>
      <c r="G244" s="1">
        <v>0</v>
      </c>
      <c r="H244" s="1">
        <v>0</v>
      </c>
      <c r="I244" s="1">
        <f>IF(H244 + I243 &lt; 0, H244 + I243, 0)</f>
        <v>0</v>
      </c>
      <c r="J244" s="1">
        <v>0</v>
      </c>
      <c r="K244" s="1">
        <f>IF(J244 + K243 &lt; 0, J244 + K243, 0)</f>
        <v>0</v>
      </c>
      <c r="L244" s="1">
        <v>1520412.777799028</v>
      </c>
      <c r="M244" s="1">
        <f>IF(L244 + M243 &lt; 0, L244 + M243, 0)</f>
        <v>0</v>
      </c>
      <c r="N244" s="1">
        <v>0</v>
      </c>
      <c r="O244" s="1">
        <f>IF(N244 + O243 &lt; 0, N244 + O243, 0)</f>
        <v>0</v>
      </c>
      <c r="P244" s="1">
        <v>0</v>
      </c>
      <c r="Q244" s="1">
        <f>IF(P244 + Q243 &lt; 0, P244 + Q243, 0)</f>
        <v>0</v>
      </c>
    </row>
    <row r="245" spans="1:17" s="1" customFormat="1">
      <c r="A245" s="3">
        <v>45653</v>
      </c>
      <c r="B245" s="1" t="s">
        <v>26</v>
      </c>
      <c r="C245" s="1">
        <v>25</v>
      </c>
      <c r="D245" s="1">
        <v>3</v>
      </c>
      <c r="E245" s="1">
        <v>0</v>
      </c>
      <c r="F245" s="1">
        <v>0</v>
      </c>
      <c r="G245" s="1">
        <v>0</v>
      </c>
      <c r="H245" s="1">
        <v>0</v>
      </c>
      <c r="I245" s="1">
        <f>IF(H245 + I244 &lt; 0, H245 + I244, 0)</f>
        <v>0</v>
      </c>
      <c r="J245" s="1">
        <v>0</v>
      </c>
      <c r="K245" s="1">
        <f>IF(J245 + K244 &lt; 0, J245 + K244, 0)</f>
        <v>0</v>
      </c>
      <c r="L245" s="1">
        <v>0</v>
      </c>
      <c r="M245" s="1">
        <f>IF(L245 + M244 &lt; 0, L245 + M244, 0)</f>
        <v>0</v>
      </c>
      <c r="N245" s="1">
        <v>0</v>
      </c>
      <c r="O245" s="1">
        <f>IF(N245 + O244 &lt; 0, N245 + O244, 0)</f>
        <v>0</v>
      </c>
      <c r="P245" s="1">
        <v>2868287.870554282</v>
      </c>
      <c r="Q245" s="1">
        <f>IF(P245 + Q244 &lt; 0, P245 + Q244, 0)</f>
        <v>0</v>
      </c>
    </row>
    <row r="246" spans="1:17" s="1" customFormat="1">
      <c r="A246" s="3">
        <v>45656</v>
      </c>
      <c r="B246" s="1" t="s">
        <v>22</v>
      </c>
      <c r="C246" s="1">
        <v>24</v>
      </c>
      <c r="D246" s="1">
        <v>2</v>
      </c>
      <c r="E246" s="1">
        <v>0</v>
      </c>
      <c r="F246" s="1">
        <v>0</v>
      </c>
      <c r="G246" s="1">
        <v>0</v>
      </c>
      <c r="H246" s="1">
        <v>0</v>
      </c>
      <c r="I246" s="1">
        <f>IF(H246 + I245 &lt; 0, H246 + I245, 0)</f>
        <v>0</v>
      </c>
      <c r="J246" s="1">
        <v>0</v>
      </c>
      <c r="K246" s="1">
        <f>IF(J246 + K245 &lt; 0, J246 + K245, 0)</f>
        <v>0</v>
      </c>
      <c r="L246" s="1">
        <v>0</v>
      </c>
      <c r="M246" s="1">
        <f>IF(L246 + M245 &lt; 0, L246 + M245, 0)</f>
        <v>0</v>
      </c>
      <c r="N246" s="1">
        <v>0</v>
      </c>
      <c r="O246" s="1">
        <f>IF(N246 + O245 &lt; 0, N246 + O245, 0)</f>
        <v>0</v>
      </c>
      <c r="P246" s="1">
        <v>0</v>
      </c>
      <c r="Q246" s="1">
        <f>IF(P246 + Q245 &lt; 0, P246 + Q245, 0)</f>
        <v>0</v>
      </c>
    </row>
    <row r="247" spans="1:17" s="1" customFormat="1">
      <c r="A247" s="3">
        <v>45657</v>
      </c>
      <c r="B247" s="1" t="s">
        <v>23</v>
      </c>
      <c r="C247" s="1">
        <v>23</v>
      </c>
      <c r="D247" s="1">
        <v>1</v>
      </c>
      <c r="E247" s="1">
        <v>0</v>
      </c>
      <c r="F247" s="1">
        <v>0</v>
      </c>
      <c r="G247" s="1">
        <v>0</v>
      </c>
      <c r="H247" s="1">
        <v>0</v>
      </c>
      <c r="I247" s="1">
        <f>IF(H247 + I246 &lt; 0, H247 + I246, 0)</f>
        <v>0</v>
      </c>
      <c r="J247" s="1">
        <v>0</v>
      </c>
      <c r="K247" s="1">
        <f>IF(J247 + K246 &lt; 0, J247 + K246, 0)</f>
        <v>0</v>
      </c>
      <c r="L247" s="1">
        <v>0</v>
      </c>
      <c r="M247" s="1">
        <f>IF(L247 + M246 &lt; 0, L247 + M246, 0)</f>
        <v>0</v>
      </c>
      <c r="N247" s="1">
        <v>0</v>
      </c>
      <c r="O247" s="1">
        <f>IF(N247 + O246 &lt; 0, N247 + O246, 0)</f>
        <v>0</v>
      </c>
      <c r="P247" s="1">
        <v>0</v>
      </c>
      <c r="Q247" s="1">
        <f>IF(P247 + Q246 &lt; 0, P247 + Q246, 0)</f>
        <v>0</v>
      </c>
    </row>
    <row r="248" spans="1:17" s="1" customFormat="1">
      <c r="A248" s="3">
        <v>45658</v>
      </c>
      <c r="B248" s="1" t="s">
        <v>24</v>
      </c>
      <c r="C248" s="1">
        <v>22</v>
      </c>
      <c r="D248" s="1">
        <v>22</v>
      </c>
      <c r="E248" s="1">
        <v>0</v>
      </c>
      <c r="F248" s="1">
        <v>0</v>
      </c>
      <c r="G248" s="1">
        <v>0</v>
      </c>
      <c r="H248" s="1">
        <v>0</v>
      </c>
      <c r="I248" s="1">
        <f>IF(H248 + I247 &lt; 0, H248 + I247, 0)</f>
        <v>0</v>
      </c>
      <c r="J248" s="1">
        <v>0</v>
      </c>
      <c r="K248" s="1">
        <f>IF(J248 + K247 &lt; 0, J248 + K247, 0)</f>
        <v>0</v>
      </c>
      <c r="L248" s="1">
        <v>0</v>
      </c>
      <c r="M248" s="1">
        <f>IF(L248 + M247 &lt; 0, L248 + M247, 0)</f>
        <v>0</v>
      </c>
      <c r="N248" s="1">
        <v>0</v>
      </c>
      <c r="O248" s="1">
        <f>IF(N248 + O247 &lt; 0, N248 + O247, 0)</f>
        <v>0</v>
      </c>
      <c r="P248" s="1">
        <v>0</v>
      </c>
      <c r="Q248" s="1">
        <f>IF(P248 + Q247 &lt; 0, P248 + Q247, 0)</f>
        <v>0</v>
      </c>
    </row>
    <row r="249" spans="1:17" s="1" customFormat="1">
      <c r="A249" s="3">
        <v>45659</v>
      </c>
      <c r="B249" s="1" t="s">
        <v>25</v>
      </c>
      <c r="C249" s="1">
        <v>21</v>
      </c>
      <c r="D249" s="1">
        <v>21</v>
      </c>
      <c r="E249" s="1">
        <v>0</v>
      </c>
      <c r="F249" s="1">
        <v>0</v>
      </c>
      <c r="G249" s="1">
        <v>0</v>
      </c>
      <c r="H249" s="1">
        <v>0</v>
      </c>
      <c r="I249" s="1">
        <f>IF(H249 + I248 &lt; 0, H249 + I248, 0)</f>
        <v>0</v>
      </c>
      <c r="J249" s="1">
        <v>0</v>
      </c>
      <c r="K249" s="1">
        <f>IF(J249 + K248 &lt; 0, J249 + K248, 0)</f>
        <v>0</v>
      </c>
      <c r="L249" s="1">
        <v>-1685872.32088911</v>
      </c>
      <c r="M249" s="1">
        <f>IF(L249 + M248 &lt; 0, L249 + M248, 0)</f>
        <v>0</v>
      </c>
      <c r="N249" s="1">
        <v>0</v>
      </c>
      <c r="O249" s="1">
        <f>IF(N249 + O248 &lt; 0, N249 + O248, 0)</f>
        <v>0</v>
      </c>
      <c r="P249" s="1">
        <v>0</v>
      </c>
      <c r="Q249" s="1">
        <f>IF(P249 + Q248 &lt; 0, P249 + Q248, 0)</f>
        <v>0</v>
      </c>
    </row>
    <row r="250" spans="1:17" s="1" customFormat="1">
      <c r="A250" s="3">
        <v>45660</v>
      </c>
      <c r="B250" s="1" t="s">
        <v>26</v>
      </c>
      <c r="C250" s="1">
        <v>20</v>
      </c>
      <c r="D250" s="1">
        <v>20</v>
      </c>
      <c r="E250" s="1">
        <v>0</v>
      </c>
      <c r="F250" s="1">
        <v>0</v>
      </c>
      <c r="G250" s="1">
        <v>0</v>
      </c>
      <c r="H250" s="1">
        <v>0</v>
      </c>
      <c r="I250" s="1">
        <f>IF(H250 + I249 &lt; 0, H250 + I249, 0)</f>
        <v>0</v>
      </c>
      <c r="J250" s="1">
        <v>0</v>
      </c>
      <c r="K250" s="1">
        <f>IF(J250 + K249 &lt; 0, J250 + K249, 0)</f>
        <v>0</v>
      </c>
      <c r="L250" s="1">
        <v>0</v>
      </c>
      <c r="M250" s="1">
        <f>IF(L250 + M249 &lt; 0, L250 + M249, 0)</f>
        <v>0</v>
      </c>
      <c r="N250" s="1">
        <v>0</v>
      </c>
      <c r="O250" s="1">
        <f>IF(N250 + O249 &lt; 0, N250 + O249, 0)</f>
        <v>0</v>
      </c>
      <c r="P250" s="1">
        <v>278949.9830513733</v>
      </c>
      <c r="Q250" s="1">
        <f>IF(P250 + Q249 &lt; 0, P250 + Q249, 0)</f>
        <v>0</v>
      </c>
    </row>
    <row r="251" spans="1:17" s="1" customFormat="1">
      <c r="A251" s="3">
        <v>45663</v>
      </c>
      <c r="B251" s="1" t="s">
        <v>22</v>
      </c>
      <c r="C251" s="1">
        <v>19</v>
      </c>
      <c r="D251" s="1">
        <v>19</v>
      </c>
      <c r="E251" s="1">
        <v>0</v>
      </c>
      <c r="F251" s="1">
        <v>0</v>
      </c>
      <c r="G251" s="1">
        <v>0</v>
      </c>
      <c r="H251" s="1">
        <v>0</v>
      </c>
      <c r="I251" s="1">
        <f>IF(H251 + I250 &lt; 0, H251 + I250, 0)</f>
        <v>0</v>
      </c>
      <c r="J251" s="1">
        <v>0</v>
      </c>
      <c r="K251" s="1">
        <f>IF(J251 + K250 &lt; 0, J251 + K250, 0)</f>
        <v>0</v>
      </c>
      <c r="L251" s="1">
        <v>0</v>
      </c>
      <c r="M251" s="1">
        <f>IF(L251 + M250 &lt; 0, L251 + M250, 0)</f>
        <v>0</v>
      </c>
      <c r="N251" s="1">
        <v>0</v>
      </c>
      <c r="O251" s="1">
        <f>IF(N251 + O250 &lt; 0, N251 + O250, 0)</f>
        <v>0</v>
      </c>
      <c r="P251" s="1">
        <v>0</v>
      </c>
      <c r="Q251" s="1">
        <f>IF(P251 + Q250 &lt; 0, P251 + Q250, 0)</f>
        <v>0</v>
      </c>
    </row>
    <row r="252" spans="1:17" s="1" customFormat="1">
      <c r="A252" s="3">
        <v>45664</v>
      </c>
      <c r="B252" s="1" t="s">
        <v>23</v>
      </c>
      <c r="C252" s="1">
        <v>18</v>
      </c>
      <c r="D252" s="1">
        <v>18</v>
      </c>
      <c r="E252" s="1">
        <v>0</v>
      </c>
      <c r="F252" s="1">
        <v>0</v>
      </c>
      <c r="G252" s="1">
        <v>0</v>
      </c>
      <c r="H252" s="1">
        <v>0</v>
      </c>
      <c r="I252" s="1">
        <f>IF(H252 + I251 &lt; 0, H252 + I251, 0)</f>
        <v>0</v>
      </c>
      <c r="J252" s="1">
        <v>0</v>
      </c>
      <c r="K252" s="1">
        <f>IF(J252 + K251 &lt; 0, J252 + K251, 0)</f>
        <v>0</v>
      </c>
      <c r="L252" s="1">
        <v>0</v>
      </c>
      <c r="M252" s="1">
        <f>IF(L252 + M251 &lt; 0, L252 + M251, 0)</f>
        <v>0</v>
      </c>
      <c r="N252" s="1">
        <v>0</v>
      </c>
      <c r="O252" s="1">
        <f>IF(N252 + O251 &lt; 0, N252 + O251, 0)</f>
        <v>0</v>
      </c>
      <c r="P252" s="1">
        <v>2025437.007486484</v>
      </c>
      <c r="Q252" s="1">
        <f>IF(P252 + Q251 &lt; 0, P252 + Q251, 0)</f>
        <v>0</v>
      </c>
    </row>
    <row r="253" spans="1:17" s="1" customFormat="1">
      <c r="A253" s="3">
        <v>45665</v>
      </c>
      <c r="B253" s="1" t="s">
        <v>24</v>
      </c>
      <c r="C253" s="1">
        <v>17</v>
      </c>
      <c r="D253" s="1">
        <v>17</v>
      </c>
      <c r="E253" s="1">
        <v>0</v>
      </c>
      <c r="F253" s="1">
        <v>0</v>
      </c>
      <c r="G253" s="1">
        <v>0</v>
      </c>
      <c r="H253" s="1">
        <v>0</v>
      </c>
      <c r="I253" s="1">
        <f>IF(H253 + I252 &lt; 0, H253 + I252, 0)</f>
        <v>0</v>
      </c>
      <c r="J253" s="1">
        <v>0</v>
      </c>
      <c r="K253" s="1">
        <f>IF(J253 + K252 &lt; 0, J253 + K252, 0)</f>
        <v>0</v>
      </c>
      <c r="L253" s="1">
        <v>0</v>
      </c>
      <c r="M253" s="1">
        <f>IF(L253 + M252 &lt; 0, L253 + M252, 0)</f>
        <v>0</v>
      </c>
      <c r="N253" s="1">
        <v>0</v>
      </c>
      <c r="O253" s="1">
        <f>IF(N253 + O252 &lt; 0, N253 + O252, 0)</f>
        <v>0</v>
      </c>
      <c r="P253" s="1">
        <v>0</v>
      </c>
      <c r="Q253" s="1">
        <f>IF(P253 + Q252 &lt; 0, P253 + Q252, 0)</f>
        <v>0</v>
      </c>
    </row>
    <row r="254" spans="1:17" s="1" customFormat="1">
      <c r="A254" s="3">
        <v>45666</v>
      </c>
      <c r="B254" s="1" t="s">
        <v>25</v>
      </c>
      <c r="C254" s="1">
        <v>16</v>
      </c>
      <c r="D254" s="1">
        <v>16</v>
      </c>
      <c r="E254" s="1">
        <v>0</v>
      </c>
      <c r="F254" s="1">
        <v>0</v>
      </c>
      <c r="G254" s="1">
        <v>0</v>
      </c>
      <c r="H254" s="1">
        <v>0</v>
      </c>
      <c r="I254" s="1">
        <f>IF(H254 + I253 &lt; 0, H254 + I253, 0)</f>
        <v>0</v>
      </c>
      <c r="J254" s="1">
        <v>0</v>
      </c>
      <c r="K254" s="1">
        <f>IF(J254 + K253 &lt; 0, J254 + K253, 0)</f>
        <v>0</v>
      </c>
      <c r="L254" s="1">
        <v>2127742.373818982</v>
      </c>
      <c r="M254" s="1">
        <f>IF(L254 + M253 &lt; 0, L254 + M253, 0)</f>
        <v>0</v>
      </c>
      <c r="N254" s="1">
        <v>0</v>
      </c>
      <c r="O254" s="1">
        <f>IF(N254 + O253 &lt; 0, N254 + O253, 0)</f>
        <v>0</v>
      </c>
      <c r="P254" s="1">
        <v>0</v>
      </c>
      <c r="Q254" s="1">
        <f>IF(P254 + Q253 &lt; 0, P254 + Q253, 0)</f>
        <v>0</v>
      </c>
    </row>
    <row r="255" spans="1:17" s="1" customFormat="1">
      <c r="A255" s="3">
        <v>45667</v>
      </c>
      <c r="B255" s="1" t="s">
        <v>26</v>
      </c>
      <c r="C255" s="1">
        <v>15</v>
      </c>
      <c r="D255" s="1">
        <v>15</v>
      </c>
      <c r="E255" s="1">
        <v>0</v>
      </c>
      <c r="F255" s="1">
        <v>0</v>
      </c>
      <c r="G255" s="1">
        <v>0</v>
      </c>
      <c r="H255" s="1">
        <v>0</v>
      </c>
      <c r="I255" s="1">
        <f>IF(H255 + I254 &lt; 0, H255 + I254, 0)</f>
        <v>0</v>
      </c>
      <c r="J255" s="1">
        <v>0</v>
      </c>
      <c r="K255" s="1">
        <f>IF(J255 + K254 &lt; 0, J255 + K254, 0)</f>
        <v>0</v>
      </c>
      <c r="L255" s="1">
        <v>0</v>
      </c>
      <c r="M255" s="1">
        <f>IF(L255 + M254 &lt; 0, L255 + M254, 0)</f>
        <v>0</v>
      </c>
      <c r="N255" s="1">
        <v>0</v>
      </c>
      <c r="O255" s="1">
        <f>IF(N255 + O254 &lt; 0, N255 + O254, 0)</f>
        <v>0</v>
      </c>
      <c r="P255" s="1">
        <v>0</v>
      </c>
      <c r="Q255" s="1">
        <f>IF(P255 + Q254 &lt; 0, P255 + Q254, 0)</f>
        <v>0</v>
      </c>
    </row>
    <row r="256" spans="1:17" s="1" customFormat="1">
      <c r="A256" s="3">
        <v>45670</v>
      </c>
      <c r="B256" s="1" t="s">
        <v>22</v>
      </c>
      <c r="C256" s="1">
        <v>14</v>
      </c>
      <c r="D256" s="1">
        <v>14</v>
      </c>
      <c r="E256" s="1">
        <v>0</v>
      </c>
      <c r="F256" s="1">
        <v>0</v>
      </c>
      <c r="G256" s="1">
        <v>0</v>
      </c>
      <c r="H256" s="1">
        <v>0</v>
      </c>
      <c r="I256" s="1">
        <f>IF(H256 + I255 &lt; 0, H256 + I255, 0)</f>
        <v>0</v>
      </c>
      <c r="J256" s="1">
        <v>0</v>
      </c>
      <c r="K256" s="1">
        <f>IF(J256 + K255 &lt; 0, J256 + K255, 0)</f>
        <v>0</v>
      </c>
      <c r="L256" s="1">
        <v>0</v>
      </c>
      <c r="M256" s="1">
        <f>IF(L256 + M255 &lt; 0, L256 + M255, 0)</f>
        <v>0</v>
      </c>
      <c r="N256" s="1">
        <v>0</v>
      </c>
      <c r="O256" s="1">
        <f>IF(N256 + O255 &lt; 0, N256 + O255, 0)</f>
        <v>0</v>
      </c>
      <c r="P256" s="1">
        <v>0</v>
      </c>
      <c r="Q256" s="1">
        <f>IF(P256 + Q255 &lt; 0, P256 + Q255, 0)</f>
        <v>0</v>
      </c>
    </row>
    <row r="257" spans="1:17" s="1" customFormat="1">
      <c r="A257" s="3">
        <v>45671</v>
      </c>
      <c r="B257" s="1" t="s">
        <v>23</v>
      </c>
      <c r="C257" s="1">
        <v>13</v>
      </c>
      <c r="D257" s="1">
        <v>13</v>
      </c>
      <c r="E257" s="1">
        <v>0</v>
      </c>
      <c r="F257" s="1">
        <v>0</v>
      </c>
      <c r="G257" s="1">
        <v>0</v>
      </c>
      <c r="H257" s="1">
        <v>0</v>
      </c>
      <c r="I257" s="1">
        <f>IF(H257 + I256 &lt; 0, H257 + I256, 0)</f>
        <v>0</v>
      </c>
      <c r="J257" s="1">
        <v>0</v>
      </c>
      <c r="K257" s="1">
        <f>IF(J257 + K256 &lt; 0, J257 + K256, 0)</f>
        <v>0</v>
      </c>
      <c r="L257" s="1">
        <v>0</v>
      </c>
      <c r="M257" s="1">
        <f>IF(L257 + M256 &lt; 0, L257 + M256, 0)</f>
        <v>0</v>
      </c>
      <c r="N257" s="1">
        <v>0</v>
      </c>
      <c r="O257" s="1">
        <f>IF(N257 + O256 &lt; 0, N257 + O256, 0)</f>
        <v>0</v>
      </c>
      <c r="P257" s="1">
        <v>1601888.355350204</v>
      </c>
      <c r="Q257" s="1">
        <f>IF(P257 + Q256 &lt; 0, P257 + Q256, 0)</f>
        <v>0</v>
      </c>
    </row>
    <row r="258" spans="1:17" s="1" customFormat="1">
      <c r="A258" s="3">
        <v>45672</v>
      </c>
      <c r="B258" s="1" t="s">
        <v>24</v>
      </c>
      <c r="C258" s="1">
        <v>12</v>
      </c>
      <c r="D258" s="1">
        <v>12</v>
      </c>
      <c r="E258" s="1">
        <v>0</v>
      </c>
      <c r="F258" s="1">
        <v>0</v>
      </c>
      <c r="G258" s="1">
        <v>0</v>
      </c>
      <c r="H258" s="1">
        <v>0</v>
      </c>
      <c r="I258" s="1">
        <f>IF(H258 + I257 &lt; 0, H258 + I257, 0)</f>
        <v>0</v>
      </c>
      <c r="J258" s="1">
        <v>0</v>
      </c>
      <c r="K258" s="1">
        <f>IF(J258 + K257 &lt; 0, J258 + K257, 0)</f>
        <v>0</v>
      </c>
      <c r="L258" s="1">
        <v>0</v>
      </c>
      <c r="M258" s="1">
        <f>IF(L258 + M257 &lt; 0, L258 + M257, 0)</f>
        <v>0</v>
      </c>
      <c r="N258" s="1">
        <v>0</v>
      </c>
      <c r="O258" s="1">
        <f>IF(N258 + O257 &lt; 0, N258 + O257, 0)</f>
        <v>0</v>
      </c>
      <c r="P258" s="1">
        <v>0</v>
      </c>
      <c r="Q258" s="1">
        <f>IF(P258 + Q257 &lt; 0, P258 + Q257, 0)</f>
        <v>0</v>
      </c>
    </row>
    <row r="259" spans="1:17" s="1" customFormat="1">
      <c r="A259" s="3">
        <v>45673</v>
      </c>
      <c r="B259" s="1" t="s">
        <v>25</v>
      </c>
      <c r="C259" s="1">
        <v>11</v>
      </c>
      <c r="D259" s="1">
        <v>11</v>
      </c>
      <c r="E259" s="1">
        <v>0</v>
      </c>
      <c r="F259" s="1">
        <v>0</v>
      </c>
      <c r="G259" s="1">
        <v>0</v>
      </c>
      <c r="H259" s="1">
        <v>0</v>
      </c>
      <c r="I259" s="1">
        <f>IF(H259 + I258 &lt; 0, H259 + I258, 0)</f>
        <v>0</v>
      </c>
      <c r="J259" s="1">
        <v>0</v>
      </c>
      <c r="K259" s="1">
        <f>IF(J259 + K258 &lt; 0, J259 + K258, 0)</f>
        <v>0</v>
      </c>
      <c r="L259" s="1">
        <v>2144939.958633061</v>
      </c>
      <c r="M259" s="1">
        <f>IF(L259 + M258 &lt; 0, L259 + M258, 0)</f>
        <v>0</v>
      </c>
      <c r="N259" s="1">
        <v>0</v>
      </c>
      <c r="O259" s="1">
        <f>IF(N259 + O258 &lt; 0, N259 + O258, 0)</f>
        <v>0</v>
      </c>
      <c r="P259" s="1">
        <v>0</v>
      </c>
      <c r="Q259" s="1">
        <f>IF(P259 + Q258 &lt; 0, P259 + Q258, 0)</f>
        <v>0</v>
      </c>
    </row>
    <row r="260" spans="1:17" s="1" customFormat="1">
      <c r="A260" s="3">
        <v>45674</v>
      </c>
      <c r="B260" s="1" t="s">
        <v>26</v>
      </c>
      <c r="C260" s="1">
        <v>10</v>
      </c>
      <c r="D260" s="1">
        <v>10</v>
      </c>
      <c r="E260" s="1">
        <v>0</v>
      </c>
      <c r="F260" s="1">
        <v>0</v>
      </c>
      <c r="G260" s="1">
        <v>0</v>
      </c>
      <c r="H260" s="1">
        <v>0</v>
      </c>
      <c r="I260" s="1">
        <f>IF(H260 + I259 &lt; 0, H260 + I259, 0)</f>
        <v>0</v>
      </c>
      <c r="J260" s="1">
        <v>0</v>
      </c>
      <c r="K260" s="1">
        <f>IF(J260 + K259 &lt; 0, J260 + K259, 0)</f>
        <v>0</v>
      </c>
      <c r="L260" s="1">
        <v>0</v>
      </c>
      <c r="M260" s="1">
        <f>IF(L260 + M259 &lt; 0, L260 + M259, 0)</f>
        <v>0</v>
      </c>
      <c r="N260" s="1">
        <v>0</v>
      </c>
      <c r="O260" s="1">
        <f>IF(N260 + O259 &lt; 0, N260 + O259, 0)</f>
        <v>0</v>
      </c>
      <c r="P260" s="1">
        <v>0</v>
      </c>
      <c r="Q260" s="1">
        <f>IF(P260 + Q259 &lt; 0, P260 + Q259, 0)</f>
        <v>0</v>
      </c>
    </row>
    <row r="261" spans="1:17" s="1" customFormat="1">
      <c r="A261" s="3">
        <v>45677</v>
      </c>
      <c r="B261" s="1" t="s">
        <v>22</v>
      </c>
      <c r="C261" s="1">
        <v>9</v>
      </c>
      <c r="D261" s="1">
        <v>9</v>
      </c>
      <c r="E261" s="1">
        <v>0</v>
      </c>
      <c r="F261" s="1">
        <v>0</v>
      </c>
      <c r="G261" s="1">
        <v>0</v>
      </c>
      <c r="H261" s="1">
        <v>0</v>
      </c>
      <c r="I261" s="1">
        <f>IF(H261 + I260 &lt; 0, H261 + I260, 0)</f>
        <v>0</v>
      </c>
      <c r="J261" s="1">
        <v>0</v>
      </c>
      <c r="K261" s="1">
        <f>IF(J261 + K260 &lt; 0, J261 + K260, 0)</f>
        <v>0</v>
      </c>
      <c r="L261" s="1">
        <v>0</v>
      </c>
      <c r="M261" s="1">
        <f>IF(L261 + M260 &lt; 0, L261 + M260, 0)</f>
        <v>0</v>
      </c>
      <c r="N261" s="1">
        <v>0</v>
      </c>
      <c r="O261" s="1">
        <f>IF(N261 + O260 &lt; 0, N261 + O260, 0)</f>
        <v>0</v>
      </c>
      <c r="P261" s="1">
        <v>0</v>
      </c>
      <c r="Q261" s="1">
        <f>IF(P261 + Q260 &lt; 0, P261 + Q260, 0)</f>
        <v>0</v>
      </c>
    </row>
    <row r="262" spans="1:17" s="1" customFormat="1">
      <c r="A262" s="3">
        <v>45678</v>
      </c>
      <c r="B262" s="1" t="s">
        <v>23</v>
      </c>
      <c r="C262" s="1">
        <v>8</v>
      </c>
      <c r="D262" s="1">
        <v>8</v>
      </c>
      <c r="E262" s="1">
        <v>0</v>
      </c>
      <c r="F262" s="1">
        <v>0</v>
      </c>
      <c r="G262" s="1">
        <v>0</v>
      </c>
      <c r="H262" s="1">
        <v>0</v>
      </c>
      <c r="I262" s="1">
        <f>IF(H262 + I261 &lt; 0, H262 + I261, 0)</f>
        <v>0</v>
      </c>
      <c r="J262" s="1">
        <v>0</v>
      </c>
      <c r="K262" s="1">
        <f>IF(J262 + K261 &lt; 0, J262 + K261, 0)</f>
        <v>0</v>
      </c>
      <c r="L262" s="1">
        <v>0</v>
      </c>
      <c r="M262" s="1">
        <f>IF(L262 + M261 &lt; 0, L262 + M261, 0)</f>
        <v>0</v>
      </c>
      <c r="N262" s="1">
        <v>0</v>
      </c>
      <c r="O262" s="1">
        <f>IF(N262 + O261 &lt; 0, N262 + O261, 0)</f>
        <v>0</v>
      </c>
      <c r="P262" s="1">
        <v>-1421648.194448893</v>
      </c>
      <c r="Q262" s="1">
        <f>IF(P262 + Q261 &lt; 0, P262 + Q261, 0)</f>
        <v>0</v>
      </c>
    </row>
    <row r="263" spans="1:17" s="1" customFormat="1">
      <c r="A263" s="3">
        <v>45679</v>
      </c>
      <c r="B263" s="1" t="s">
        <v>24</v>
      </c>
      <c r="C263" s="1">
        <v>7</v>
      </c>
      <c r="D263" s="1">
        <v>7</v>
      </c>
      <c r="E263" s="1">
        <v>0</v>
      </c>
      <c r="F263" s="1">
        <v>0</v>
      </c>
      <c r="G263" s="1">
        <v>0</v>
      </c>
      <c r="H263" s="1">
        <v>0</v>
      </c>
      <c r="I263" s="1">
        <f>IF(H263 + I262 &lt; 0, H263 + I262, 0)</f>
        <v>0</v>
      </c>
      <c r="J263" s="1">
        <v>0</v>
      </c>
      <c r="K263" s="1">
        <f>IF(J263 + K262 &lt; 0, J263 + K262, 0)</f>
        <v>0</v>
      </c>
      <c r="L263" s="1">
        <v>0</v>
      </c>
      <c r="M263" s="1">
        <f>IF(L263 + M262 &lt; 0, L263 + M262, 0)</f>
        <v>0</v>
      </c>
      <c r="N263" s="1">
        <v>0</v>
      </c>
      <c r="O263" s="1">
        <f>IF(N263 + O262 &lt; 0, N263 + O262, 0)</f>
        <v>0</v>
      </c>
      <c r="P263" s="1">
        <v>0</v>
      </c>
      <c r="Q263" s="1">
        <f>IF(P263 + Q262 &lt; 0, P263 + Q262, 0)</f>
        <v>0</v>
      </c>
    </row>
    <row r="264" spans="1:17" s="1" customFormat="1">
      <c r="A264" s="3">
        <v>45680</v>
      </c>
      <c r="B264" s="1" t="s">
        <v>25</v>
      </c>
      <c r="C264" s="1">
        <v>6</v>
      </c>
      <c r="D264" s="1">
        <v>6</v>
      </c>
      <c r="E264" s="1">
        <v>0</v>
      </c>
      <c r="F264" s="1">
        <v>0</v>
      </c>
      <c r="G264" s="1">
        <v>0</v>
      </c>
      <c r="H264" s="1">
        <v>0</v>
      </c>
      <c r="I264" s="1">
        <f>IF(H264 + I263 &lt; 0, H264 + I263, 0)</f>
        <v>0</v>
      </c>
      <c r="J264" s="1">
        <v>0</v>
      </c>
      <c r="K264" s="1">
        <f>IF(J264 + K263 &lt; 0, J264 + K263, 0)</f>
        <v>0</v>
      </c>
      <c r="L264" s="1">
        <v>2019206.660381263</v>
      </c>
      <c r="M264" s="1">
        <f>IF(L264 + M263 &lt; 0, L264 + M263, 0)</f>
        <v>0</v>
      </c>
      <c r="N264" s="1">
        <v>0</v>
      </c>
      <c r="O264" s="1">
        <f>IF(N264 + O263 &lt; 0, N264 + O263, 0)</f>
        <v>0</v>
      </c>
      <c r="P264" s="1">
        <v>0</v>
      </c>
      <c r="Q264" s="1">
        <f>IF(P264 + Q263 &lt; 0, P264 + Q263, 0)</f>
        <v>0</v>
      </c>
    </row>
    <row r="265" spans="1:17" s="1" customFormat="1">
      <c r="A265" s="3">
        <v>45681</v>
      </c>
      <c r="B265" s="1" t="s">
        <v>26</v>
      </c>
      <c r="C265" s="1">
        <v>5</v>
      </c>
      <c r="D265" s="1">
        <v>5</v>
      </c>
      <c r="E265" s="1">
        <v>0</v>
      </c>
      <c r="F265" s="1">
        <v>0</v>
      </c>
      <c r="G265" s="1">
        <v>0</v>
      </c>
      <c r="H265" s="1">
        <v>0</v>
      </c>
      <c r="I265" s="1">
        <f>IF(H265 + I264 &lt; 0, H265 + I264, 0)</f>
        <v>0</v>
      </c>
      <c r="J265" s="1">
        <v>0</v>
      </c>
      <c r="K265" s="1">
        <f>IF(J265 + K264 &lt; 0, J265 + K264, 0)</f>
        <v>0</v>
      </c>
      <c r="L265" s="1">
        <v>0</v>
      </c>
      <c r="M265" s="1">
        <f>IF(L265 + M264 &lt; 0, L265 + M264, 0)</f>
        <v>0</v>
      </c>
      <c r="N265" s="1">
        <v>0</v>
      </c>
      <c r="O265" s="1">
        <f>IF(N265 + O264 &lt; 0, N265 + O264, 0)</f>
        <v>0</v>
      </c>
      <c r="P265" s="1">
        <v>0</v>
      </c>
      <c r="Q265" s="1">
        <f>IF(P265 + Q264 &lt; 0, P265 + Q264, 0)</f>
        <v>0</v>
      </c>
    </row>
    <row r="266" spans="1:17" s="1" customFormat="1">
      <c r="A266" s="3">
        <v>45684</v>
      </c>
      <c r="B266" s="1" t="s">
        <v>22</v>
      </c>
      <c r="C266" s="1">
        <v>4</v>
      </c>
      <c r="D266" s="1">
        <v>4</v>
      </c>
      <c r="E266" s="1">
        <v>0</v>
      </c>
      <c r="F266" s="1">
        <v>0</v>
      </c>
      <c r="G266" s="1">
        <v>0</v>
      </c>
      <c r="H266" s="1">
        <v>0</v>
      </c>
      <c r="I266" s="1">
        <f>IF(H266 + I265 &lt; 0, H266 + I265, 0)</f>
        <v>0</v>
      </c>
      <c r="J266" s="1">
        <v>0</v>
      </c>
      <c r="K266" s="1">
        <f>IF(J266 + K265 &lt; 0, J266 + K265, 0)</f>
        <v>0</v>
      </c>
      <c r="L266" s="1">
        <v>0</v>
      </c>
      <c r="M266" s="1">
        <f>IF(L266 + M265 &lt; 0, L266 + M265, 0)</f>
        <v>0</v>
      </c>
      <c r="N266" s="1">
        <v>0</v>
      </c>
      <c r="O266" s="1">
        <f>IF(N266 + O265 &lt; 0, N266 + O265, 0)</f>
        <v>0</v>
      </c>
      <c r="P266" s="1">
        <v>0</v>
      </c>
      <c r="Q266" s="1">
        <f>IF(P266 + Q265 &lt; 0, P266 + Q265, 0)</f>
        <v>0</v>
      </c>
    </row>
    <row r="267" spans="1:17" s="1" customFormat="1">
      <c r="A267" s="3">
        <v>45685</v>
      </c>
      <c r="B267" s="1" t="s">
        <v>23</v>
      </c>
      <c r="C267" s="1">
        <v>3</v>
      </c>
      <c r="D267" s="1">
        <v>3</v>
      </c>
      <c r="E267" s="1">
        <v>0</v>
      </c>
      <c r="F267" s="1">
        <v>0</v>
      </c>
      <c r="G267" s="1">
        <v>0</v>
      </c>
      <c r="H267" s="1">
        <v>0</v>
      </c>
      <c r="I267" s="1">
        <f>IF(H267 + I266 &lt; 0, H267 + I266, 0)</f>
        <v>0</v>
      </c>
      <c r="J267" s="1">
        <v>0</v>
      </c>
      <c r="K267" s="1">
        <f>IF(J267 + K266 &lt; 0, J267 + K266, 0)</f>
        <v>0</v>
      </c>
      <c r="L267" s="1">
        <v>0</v>
      </c>
      <c r="M267" s="1">
        <f>IF(L267 + M266 &lt; 0, L267 + M266, 0)</f>
        <v>0</v>
      </c>
      <c r="N267" s="1">
        <v>0</v>
      </c>
      <c r="O267" s="1">
        <f>IF(N267 + O266 &lt; 0, N267 + O266, 0)</f>
        <v>0</v>
      </c>
      <c r="P267" s="1">
        <v>259765.19355206</v>
      </c>
      <c r="Q267" s="1">
        <f>IF(P267 + Q266 &lt; 0, P267 + Q266, 0)</f>
        <v>0</v>
      </c>
    </row>
    <row r="268" spans="1:17" s="1" customFormat="1">
      <c r="A268" s="3">
        <v>45686</v>
      </c>
      <c r="B268" s="1" t="s">
        <v>24</v>
      </c>
      <c r="C268" s="1">
        <v>2</v>
      </c>
      <c r="D268" s="1">
        <v>2</v>
      </c>
      <c r="E268" s="1">
        <v>0</v>
      </c>
      <c r="F268" s="1">
        <v>0</v>
      </c>
      <c r="G268" s="1">
        <v>0</v>
      </c>
      <c r="H268" s="1">
        <v>0</v>
      </c>
      <c r="I268" s="1">
        <f>IF(H268 + I267 &lt; 0, H268 + I267, 0)</f>
        <v>0</v>
      </c>
      <c r="J268" s="1">
        <v>0</v>
      </c>
      <c r="K268" s="1">
        <f>IF(J268 + K267 &lt; 0, J268 + K267, 0)</f>
        <v>0</v>
      </c>
      <c r="L268" s="1">
        <v>0</v>
      </c>
      <c r="M268" s="1">
        <f>IF(L268 + M267 &lt; 0, L268 + M267, 0)</f>
        <v>0</v>
      </c>
      <c r="N268" s="1">
        <v>0</v>
      </c>
      <c r="O268" s="1">
        <f>IF(N268 + O267 &lt; 0, N268 + O267, 0)</f>
        <v>0</v>
      </c>
      <c r="P268" s="1">
        <v>0</v>
      </c>
      <c r="Q268" s="1">
        <f>IF(P268 + Q267 &lt; 0, P268 + Q267, 0)</f>
        <v>0</v>
      </c>
    </row>
    <row r="269" spans="1:17" s="1" customFormat="1">
      <c r="A269" s="3">
        <v>45687</v>
      </c>
      <c r="B269" s="1" t="s">
        <v>25</v>
      </c>
      <c r="C269" s="1">
        <v>1</v>
      </c>
      <c r="D269" s="1">
        <v>1</v>
      </c>
      <c r="E269" s="1">
        <v>0</v>
      </c>
      <c r="F269" s="1">
        <v>0</v>
      </c>
      <c r="G269" s="1">
        <v>0</v>
      </c>
      <c r="H269" s="1">
        <v>0</v>
      </c>
      <c r="I269" s="1">
        <f>IF(H269 + I268 &lt; 0, H269 + I268, 0)</f>
        <v>0</v>
      </c>
      <c r="J269" s="1">
        <v>0</v>
      </c>
      <c r="K269" s="1">
        <f>IF(J269 + K268 &lt; 0, J269 + K268, 0)</f>
        <v>0</v>
      </c>
      <c r="L269" s="1">
        <v>1532060.233836968</v>
      </c>
      <c r="M269" s="1">
        <f>IF(L269 + M268 &lt; 0, L269 + M268, 0)</f>
        <v>0</v>
      </c>
      <c r="N269" s="1">
        <v>0</v>
      </c>
      <c r="O269" s="1">
        <f>IF(N269 + O268 &lt; 0, N269 + O268, 0)</f>
        <v>0</v>
      </c>
      <c r="P269" s="1">
        <v>0</v>
      </c>
      <c r="Q269" s="1">
        <f>IF(P269 + Q268 &lt; 0, P269 + Q268, 0)</f>
        <v>0</v>
      </c>
    </row>
    <row r="270" spans="1:17" s="1" customFormat="1">
      <c r="A270" s="3">
        <v>45688</v>
      </c>
      <c r="B270" s="1" t="s">
        <v>26</v>
      </c>
      <c r="C270" s="1">
        <v>20</v>
      </c>
      <c r="D270" s="1">
        <v>20</v>
      </c>
      <c r="E270" s="1">
        <v>0</v>
      </c>
      <c r="F270" s="1">
        <v>0</v>
      </c>
      <c r="G270" s="1">
        <v>0</v>
      </c>
      <c r="H270" s="1">
        <v>0</v>
      </c>
      <c r="I270" s="1">
        <f>IF(H270 + I269 &lt; 0, H270 + I269, 0)</f>
        <v>0</v>
      </c>
      <c r="J270" s="1">
        <v>0</v>
      </c>
      <c r="K270" s="1">
        <f>IF(J270 + K269 &lt; 0, J270 + K269, 0)</f>
        <v>0</v>
      </c>
      <c r="L270" s="1">
        <v>0</v>
      </c>
      <c r="M270" s="1">
        <f>IF(L270 + M269 &lt; 0, L270 + M269, 0)</f>
        <v>0</v>
      </c>
      <c r="N270" s="1">
        <v>0</v>
      </c>
      <c r="O270" s="1">
        <f>IF(N270 + O269 &lt; 0, N270 + O269, 0)</f>
        <v>0</v>
      </c>
      <c r="P270" s="1">
        <v>0</v>
      </c>
      <c r="Q270" s="1">
        <f>IF(P270 + Q269 &lt; 0, P270 + Q269, 0)</f>
        <v>0</v>
      </c>
    </row>
    <row r="271" spans="1:17" s="1" customFormat="1">
      <c r="A271" s="3">
        <v>45689</v>
      </c>
      <c r="B271" s="1" t="s">
        <v>27</v>
      </c>
      <c r="C271" s="1">
        <v>19</v>
      </c>
      <c r="D271" s="1">
        <v>19</v>
      </c>
      <c r="E271" s="1">
        <v>0</v>
      </c>
      <c r="F271" s="1">
        <v>0</v>
      </c>
      <c r="G271" s="1">
        <v>0</v>
      </c>
      <c r="H271" s="1">
        <v>0</v>
      </c>
      <c r="I271" s="1">
        <f>IF(H271 + I270 &lt; 0, H271 + I270, 0)</f>
        <v>0</v>
      </c>
      <c r="J271" s="1">
        <v>0</v>
      </c>
      <c r="K271" s="1">
        <f>IF(J271 + K270 &lt; 0, J271 + K270, 0)</f>
        <v>0</v>
      </c>
      <c r="L271" s="1">
        <v>0</v>
      </c>
      <c r="M271" s="1">
        <f>IF(L271 + M270 &lt; 0, L271 + M270, 0)</f>
        <v>0</v>
      </c>
      <c r="N271" s="1">
        <v>0</v>
      </c>
      <c r="O271" s="1">
        <f>IF(N271 + O270 &lt; 0, N271 + O270, 0)</f>
        <v>0</v>
      </c>
      <c r="P271" s="1">
        <v>0</v>
      </c>
      <c r="Q271" s="1">
        <f>IF(P271 + Q270 &lt; 0, P271 + Q270, 0)</f>
        <v>0</v>
      </c>
    </row>
    <row r="272" spans="1:17" s="1" customFormat="1">
      <c r="A272" s="3">
        <v>45691</v>
      </c>
      <c r="B272" s="1" t="s">
        <v>22</v>
      </c>
      <c r="C272" s="1">
        <v>18</v>
      </c>
      <c r="D272" s="1">
        <v>18</v>
      </c>
      <c r="E272" s="1">
        <v>0</v>
      </c>
      <c r="F272" s="1">
        <v>0</v>
      </c>
      <c r="G272" s="1">
        <v>0</v>
      </c>
      <c r="H272" s="1">
        <v>0</v>
      </c>
      <c r="I272" s="1">
        <f>IF(H272 + I271 &lt; 0, H272 + I271, 0)</f>
        <v>0</v>
      </c>
      <c r="J272" s="1">
        <v>0</v>
      </c>
      <c r="K272" s="1">
        <f>IF(J272 + K271 &lt; 0, J272 + K271, 0)</f>
        <v>0</v>
      </c>
      <c r="L272" s="1">
        <v>0</v>
      </c>
      <c r="M272" s="1">
        <f>IF(L272 + M271 &lt; 0, L272 + M271, 0)</f>
        <v>0</v>
      </c>
      <c r="N272" s="1">
        <v>0</v>
      </c>
      <c r="O272" s="1">
        <f>IF(N272 + O271 &lt; 0, N272 + O271, 0)</f>
        <v>0</v>
      </c>
      <c r="P272" s="1">
        <v>0</v>
      </c>
      <c r="Q272" s="1">
        <f>IF(P272 + Q271 &lt; 0, P272 + Q271, 0)</f>
        <v>0</v>
      </c>
    </row>
    <row r="273" spans="1:17" s="1" customFormat="1">
      <c r="A273" s="3">
        <v>45692</v>
      </c>
      <c r="B273" s="1" t="s">
        <v>23</v>
      </c>
      <c r="C273" s="1">
        <v>17</v>
      </c>
      <c r="D273" s="1">
        <v>17</v>
      </c>
      <c r="E273" s="1">
        <v>0</v>
      </c>
      <c r="F273" s="1">
        <v>0</v>
      </c>
      <c r="G273" s="1">
        <v>0</v>
      </c>
      <c r="H273" s="1">
        <v>0</v>
      </c>
      <c r="I273" s="1">
        <f>IF(H273 + I272 &lt; 0, H273 + I272, 0)</f>
        <v>0</v>
      </c>
      <c r="J273" s="1">
        <v>0</v>
      </c>
      <c r="K273" s="1">
        <f>IF(J273 + K272 &lt; 0, J273 + K272, 0)</f>
        <v>0</v>
      </c>
      <c r="L273" s="1">
        <v>0</v>
      </c>
      <c r="M273" s="1">
        <f>IF(L273 + M272 &lt; 0, L273 + M272, 0)</f>
        <v>0</v>
      </c>
      <c r="N273" s="1">
        <v>0</v>
      </c>
      <c r="O273" s="1">
        <f>IF(N273 + O272 &lt; 0, N273 + O272, 0)</f>
        <v>0</v>
      </c>
      <c r="P273" s="1">
        <v>2995147.184567294</v>
      </c>
      <c r="Q273" s="1">
        <f>IF(P273 + Q272 &lt; 0, P273 + Q272, 0)</f>
        <v>0</v>
      </c>
    </row>
    <row r="274" spans="1:17" s="1" customFormat="1">
      <c r="A274" s="3">
        <v>45693</v>
      </c>
      <c r="B274" s="1" t="s">
        <v>24</v>
      </c>
      <c r="C274" s="1">
        <v>16</v>
      </c>
      <c r="D274" s="1">
        <v>16</v>
      </c>
      <c r="E274" s="1">
        <v>0</v>
      </c>
      <c r="F274" s="1">
        <v>0</v>
      </c>
      <c r="G274" s="1">
        <v>0</v>
      </c>
      <c r="H274" s="1">
        <v>0</v>
      </c>
      <c r="I274" s="1">
        <f>IF(H274 + I273 &lt; 0, H274 + I273, 0)</f>
        <v>0</v>
      </c>
      <c r="J274" s="1">
        <v>0</v>
      </c>
      <c r="K274" s="1">
        <f>IF(J274 + K273 &lt; 0, J274 + K273, 0)</f>
        <v>0</v>
      </c>
      <c r="L274" s="1">
        <v>0</v>
      </c>
      <c r="M274" s="1">
        <f>IF(L274 + M273 &lt; 0, L274 + M273, 0)</f>
        <v>0</v>
      </c>
      <c r="N274" s="1">
        <v>0</v>
      </c>
      <c r="O274" s="1">
        <f>IF(N274 + O273 &lt; 0, N274 + O273, 0)</f>
        <v>0</v>
      </c>
      <c r="P274" s="1">
        <v>0</v>
      </c>
      <c r="Q274" s="1">
        <f>IF(P274 + Q273 &lt; 0, P274 + Q273, 0)</f>
        <v>0</v>
      </c>
    </row>
    <row r="275" spans="1:17" s="1" customFormat="1">
      <c r="A275" s="3">
        <v>45694</v>
      </c>
      <c r="B275" s="1" t="s">
        <v>25</v>
      </c>
      <c r="C275" s="1">
        <v>15</v>
      </c>
      <c r="D275" s="1">
        <v>15</v>
      </c>
      <c r="E275" s="1">
        <v>0</v>
      </c>
      <c r="F275" s="1">
        <v>0</v>
      </c>
      <c r="G275" s="1">
        <v>0</v>
      </c>
      <c r="H275" s="1">
        <v>0</v>
      </c>
      <c r="I275" s="1">
        <f>IF(H275 + I274 &lt; 0, H275 + I274, 0)</f>
        <v>0</v>
      </c>
      <c r="J275" s="1">
        <v>0</v>
      </c>
      <c r="K275" s="1">
        <f>IF(J275 + K274 &lt; 0, J275 + K274, 0)</f>
        <v>0</v>
      </c>
      <c r="L275" s="1">
        <v>1414078.172277069</v>
      </c>
      <c r="M275" s="1">
        <f>IF(L275 + M274 &lt; 0, L275 + M274, 0)</f>
        <v>0</v>
      </c>
      <c r="N275" s="1">
        <v>0</v>
      </c>
      <c r="O275" s="1">
        <f>IF(N275 + O274 &lt; 0, N275 + O274, 0)</f>
        <v>0</v>
      </c>
      <c r="P275" s="1">
        <v>0</v>
      </c>
      <c r="Q275" s="1">
        <f>IF(P275 + Q274 &lt; 0, P275 + Q274, 0)</f>
        <v>0</v>
      </c>
    </row>
    <row r="276" spans="1:17" s="1" customFormat="1">
      <c r="A276" s="3">
        <v>45695</v>
      </c>
      <c r="B276" s="1" t="s">
        <v>26</v>
      </c>
      <c r="C276" s="1">
        <v>14</v>
      </c>
      <c r="D276" s="1">
        <v>14</v>
      </c>
      <c r="E276" s="1">
        <v>0</v>
      </c>
      <c r="F276" s="1">
        <v>0</v>
      </c>
      <c r="G276" s="1">
        <v>0</v>
      </c>
      <c r="H276" s="1">
        <v>0</v>
      </c>
      <c r="I276" s="1">
        <f>IF(H276 + I275 &lt; 0, H276 + I275, 0)</f>
        <v>0</v>
      </c>
      <c r="J276" s="1">
        <v>0</v>
      </c>
      <c r="K276" s="1">
        <f>IF(J276 + K275 &lt; 0, J276 + K275, 0)</f>
        <v>0</v>
      </c>
      <c r="L276" s="1">
        <v>0</v>
      </c>
      <c r="M276" s="1">
        <f>IF(L276 + M275 &lt; 0, L276 + M275, 0)</f>
        <v>0</v>
      </c>
      <c r="N276" s="1">
        <v>0</v>
      </c>
      <c r="O276" s="1">
        <f>IF(N276 + O275 &lt; 0, N276 + O275, 0)</f>
        <v>0</v>
      </c>
      <c r="P276" s="1">
        <v>0</v>
      </c>
      <c r="Q276" s="1">
        <f>IF(P276 + Q275 &lt; 0, P276 + Q275, 0)</f>
        <v>0</v>
      </c>
    </row>
    <row r="277" spans="1:17" s="1" customFormat="1">
      <c r="A277" s="3">
        <v>45698</v>
      </c>
      <c r="B277" s="1" t="s">
        <v>22</v>
      </c>
      <c r="C277" s="1">
        <v>13</v>
      </c>
      <c r="D277" s="1">
        <v>13</v>
      </c>
      <c r="E277" s="1">
        <v>0</v>
      </c>
      <c r="F277" s="1">
        <v>0</v>
      </c>
      <c r="G277" s="1">
        <v>0</v>
      </c>
      <c r="H277" s="1">
        <v>0</v>
      </c>
      <c r="I277" s="1">
        <f>IF(H277 + I276 &lt; 0, H277 + I276, 0)</f>
        <v>0</v>
      </c>
      <c r="J277" s="1">
        <v>0</v>
      </c>
      <c r="K277" s="1">
        <f>IF(J277 + K276 &lt; 0, J277 + K276, 0)</f>
        <v>0</v>
      </c>
      <c r="L277" s="1">
        <v>0</v>
      </c>
      <c r="M277" s="1">
        <f>IF(L277 + M276 &lt; 0, L277 + M276, 0)</f>
        <v>0</v>
      </c>
      <c r="N277" s="1">
        <v>0</v>
      </c>
      <c r="O277" s="1">
        <f>IF(N277 + O276 &lt; 0, N277 + O276, 0)</f>
        <v>0</v>
      </c>
      <c r="P277" s="1">
        <v>0</v>
      </c>
      <c r="Q277" s="1">
        <f>IF(P277 + Q276 &lt; 0, P277 + Q276, 0)</f>
        <v>0</v>
      </c>
    </row>
    <row r="278" spans="1:17" s="1" customFormat="1">
      <c r="A278" s="3">
        <v>45699</v>
      </c>
      <c r="B278" s="1" t="s">
        <v>23</v>
      </c>
      <c r="C278" s="1">
        <v>12</v>
      </c>
      <c r="D278" s="1">
        <v>12</v>
      </c>
      <c r="E278" s="1">
        <v>0</v>
      </c>
      <c r="F278" s="1">
        <v>0</v>
      </c>
      <c r="G278" s="1">
        <v>0</v>
      </c>
      <c r="H278" s="1">
        <v>0</v>
      </c>
      <c r="I278" s="1">
        <f>IF(H278 + I277 &lt; 0, H278 + I277, 0)</f>
        <v>0</v>
      </c>
      <c r="J278" s="1">
        <v>0</v>
      </c>
      <c r="K278" s="1">
        <f>IF(J278 + K277 &lt; 0, J278 + K277, 0)</f>
        <v>0</v>
      </c>
      <c r="L278" s="1">
        <v>0</v>
      </c>
      <c r="M278" s="1">
        <f>IF(L278 + M277 &lt; 0, L278 + M277, 0)</f>
        <v>0</v>
      </c>
      <c r="N278" s="1">
        <v>0</v>
      </c>
      <c r="O278" s="1">
        <f>IF(N278 + O277 &lt; 0, N278 + O277, 0)</f>
        <v>0</v>
      </c>
      <c r="P278" s="1">
        <v>477556.2397029066</v>
      </c>
      <c r="Q278" s="1">
        <f>IF(P278 + Q277 &lt; 0, P278 + Q277, 0)</f>
        <v>0</v>
      </c>
    </row>
    <row r="279" spans="1:17" s="1" customFormat="1">
      <c r="A279" s="3">
        <v>45700</v>
      </c>
      <c r="B279" s="1" t="s">
        <v>24</v>
      </c>
      <c r="C279" s="1">
        <v>11</v>
      </c>
      <c r="D279" s="1">
        <v>11</v>
      </c>
      <c r="E279" s="1">
        <v>0</v>
      </c>
      <c r="F279" s="1">
        <v>0</v>
      </c>
      <c r="G279" s="1">
        <v>0</v>
      </c>
      <c r="H279" s="1">
        <v>0</v>
      </c>
      <c r="I279" s="1">
        <f>IF(H279 + I278 &lt; 0, H279 + I278, 0)</f>
        <v>0</v>
      </c>
      <c r="J279" s="1">
        <v>0</v>
      </c>
      <c r="K279" s="1">
        <f>IF(J279 + K278 &lt; 0, J279 + K278, 0)</f>
        <v>0</v>
      </c>
      <c r="L279" s="1">
        <v>0</v>
      </c>
      <c r="M279" s="1">
        <f>IF(L279 + M278 &lt; 0, L279 + M278, 0)</f>
        <v>0</v>
      </c>
      <c r="N279" s="1">
        <v>0</v>
      </c>
      <c r="O279" s="1">
        <f>IF(N279 + O278 &lt; 0, N279 + O278, 0)</f>
        <v>0</v>
      </c>
      <c r="P279" s="1">
        <v>0</v>
      </c>
      <c r="Q279" s="1">
        <f>IF(P279 + Q278 &lt; 0, P279 + Q278, 0)</f>
        <v>0</v>
      </c>
    </row>
    <row r="280" spans="1:17" s="1" customFormat="1">
      <c r="A280" s="3">
        <v>45701</v>
      </c>
      <c r="B280" s="1" t="s">
        <v>25</v>
      </c>
      <c r="C280" s="1">
        <v>10</v>
      </c>
      <c r="D280" s="1">
        <v>10</v>
      </c>
      <c r="E280" s="1">
        <v>0</v>
      </c>
      <c r="F280" s="1">
        <v>0</v>
      </c>
      <c r="G280" s="1">
        <v>0</v>
      </c>
      <c r="H280" s="1">
        <v>0</v>
      </c>
      <c r="I280" s="1">
        <f>IF(H280 + I279 &lt; 0, H280 + I279, 0)</f>
        <v>0</v>
      </c>
      <c r="J280" s="1">
        <v>0</v>
      </c>
      <c r="K280" s="1">
        <f>IF(J280 + K279 &lt; 0, J280 + K279, 0)</f>
        <v>0</v>
      </c>
      <c r="L280" s="1">
        <v>-2510929.817486767</v>
      </c>
      <c r="M280" s="1">
        <f>IF(L280 + M279 &lt; 0, L280 + M279, 0)</f>
        <v>0</v>
      </c>
      <c r="N280" s="1">
        <v>0</v>
      </c>
      <c r="O280" s="1">
        <f>IF(N280 + O279 &lt; 0, N280 + O279, 0)</f>
        <v>0</v>
      </c>
      <c r="P280" s="1">
        <v>0</v>
      </c>
      <c r="Q280" s="1">
        <f>IF(P280 + Q279 &lt; 0, P280 + Q279, 0)</f>
        <v>0</v>
      </c>
    </row>
    <row r="281" spans="1:17" s="1" customFormat="1">
      <c r="A281" s="3">
        <v>45702</v>
      </c>
      <c r="B281" s="1" t="s">
        <v>26</v>
      </c>
      <c r="C281" s="1">
        <v>9</v>
      </c>
      <c r="D281" s="1">
        <v>9</v>
      </c>
      <c r="E281" s="1">
        <v>0</v>
      </c>
      <c r="F281" s="1">
        <v>0</v>
      </c>
      <c r="G281" s="1">
        <v>0</v>
      </c>
      <c r="H281" s="1">
        <v>0</v>
      </c>
      <c r="I281" s="1">
        <f>IF(H281 + I280 &lt; 0, H281 + I280, 0)</f>
        <v>0</v>
      </c>
      <c r="J281" s="1">
        <v>0</v>
      </c>
      <c r="K281" s="1">
        <f>IF(J281 + K280 &lt; 0, J281 + K280, 0)</f>
        <v>0</v>
      </c>
      <c r="L281" s="1">
        <v>0</v>
      </c>
      <c r="M281" s="1">
        <f>IF(L281 + M280 &lt; 0, L281 + M280, 0)</f>
        <v>0</v>
      </c>
      <c r="N281" s="1">
        <v>0</v>
      </c>
      <c r="O281" s="1">
        <f>IF(N281 + O280 &lt; 0, N281 + O280, 0)</f>
        <v>0</v>
      </c>
      <c r="P281" s="1">
        <v>0</v>
      </c>
      <c r="Q281" s="1">
        <f>IF(P281 + Q280 &lt; 0, P281 + Q280, 0)</f>
        <v>0</v>
      </c>
    </row>
    <row r="282" spans="1:17" s="1" customFormat="1">
      <c r="A282" s="3">
        <v>45705</v>
      </c>
      <c r="B282" s="1" t="s">
        <v>22</v>
      </c>
      <c r="C282" s="1">
        <v>8</v>
      </c>
      <c r="D282" s="1">
        <v>8</v>
      </c>
      <c r="E282" s="1">
        <v>0</v>
      </c>
      <c r="F282" s="1">
        <v>0</v>
      </c>
      <c r="G282" s="1">
        <v>0</v>
      </c>
      <c r="H282" s="1">
        <v>0</v>
      </c>
      <c r="I282" s="1">
        <f>IF(H282 + I281 &lt; 0, H282 + I281, 0)</f>
        <v>0</v>
      </c>
      <c r="J282" s="1">
        <v>0</v>
      </c>
      <c r="K282" s="1">
        <f>IF(J282 + K281 &lt; 0, J282 + K281, 0)</f>
        <v>0</v>
      </c>
      <c r="L282" s="1">
        <v>0</v>
      </c>
      <c r="M282" s="1">
        <f>IF(L282 + M281 &lt; 0, L282 + M281, 0)</f>
        <v>0</v>
      </c>
      <c r="N282" s="1">
        <v>0</v>
      </c>
      <c r="O282" s="1">
        <f>IF(N282 + O281 &lt; 0, N282 + O281, 0)</f>
        <v>0</v>
      </c>
      <c r="P282" s="1">
        <v>0</v>
      </c>
      <c r="Q282" s="1">
        <f>IF(P282 + Q281 &lt; 0, P282 + Q281, 0)</f>
        <v>0</v>
      </c>
    </row>
    <row r="283" spans="1:17" s="1" customFormat="1">
      <c r="A283" s="3">
        <v>45706</v>
      </c>
      <c r="B283" s="1" t="s">
        <v>23</v>
      </c>
      <c r="C283" s="1">
        <v>7</v>
      </c>
      <c r="D283" s="1">
        <v>7</v>
      </c>
      <c r="E283" s="1">
        <v>0</v>
      </c>
      <c r="F283" s="1">
        <v>0</v>
      </c>
      <c r="G283" s="1">
        <v>0</v>
      </c>
      <c r="H283" s="1">
        <v>0</v>
      </c>
      <c r="I283" s="1">
        <f>IF(H283 + I282 &lt; 0, H283 + I282, 0)</f>
        <v>0</v>
      </c>
      <c r="J283" s="1">
        <v>0</v>
      </c>
      <c r="K283" s="1">
        <f>IF(J283 + K282 &lt; 0, J283 + K282, 0)</f>
        <v>0</v>
      </c>
      <c r="L283" s="1">
        <v>0</v>
      </c>
      <c r="M283" s="1">
        <f>IF(L283 + M282 &lt; 0, L283 + M282, 0)</f>
        <v>0</v>
      </c>
      <c r="N283" s="1">
        <v>0</v>
      </c>
      <c r="O283" s="1">
        <f>IF(N283 + O282 &lt; 0, N283 + O282, 0)</f>
        <v>0</v>
      </c>
      <c r="P283" s="1">
        <v>2488393.702935853</v>
      </c>
      <c r="Q283" s="1">
        <f>IF(P283 + Q282 &lt; 0, P283 + Q282, 0)</f>
        <v>0</v>
      </c>
    </row>
    <row r="284" spans="1:17" s="1" customFormat="1">
      <c r="A284" s="3">
        <v>45707</v>
      </c>
      <c r="B284" s="1" t="s">
        <v>24</v>
      </c>
      <c r="C284" s="1">
        <v>6</v>
      </c>
      <c r="D284" s="1">
        <v>6</v>
      </c>
      <c r="E284" s="1">
        <v>0</v>
      </c>
      <c r="F284" s="1">
        <v>0</v>
      </c>
      <c r="G284" s="1">
        <v>0</v>
      </c>
      <c r="H284" s="1">
        <v>0</v>
      </c>
      <c r="I284" s="1">
        <f>IF(H284 + I283 &lt; 0, H284 + I283, 0)</f>
        <v>0</v>
      </c>
      <c r="J284" s="1">
        <v>0</v>
      </c>
      <c r="K284" s="1">
        <f>IF(J284 + K283 &lt; 0, J284 + K283, 0)</f>
        <v>0</v>
      </c>
      <c r="L284" s="1">
        <v>0</v>
      </c>
      <c r="M284" s="1">
        <f>IF(L284 + M283 &lt; 0, L284 + M283, 0)</f>
        <v>0</v>
      </c>
      <c r="N284" s="1">
        <v>0</v>
      </c>
      <c r="O284" s="1">
        <f>IF(N284 + O283 &lt; 0, N284 + O283, 0)</f>
        <v>0</v>
      </c>
      <c r="P284" s="1">
        <v>0</v>
      </c>
      <c r="Q284" s="1">
        <f>IF(P284 + Q283 &lt; 0, P284 + Q283, 0)</f>
        <v>0</v>
      </c>
    </row>
    <row r="285" spans="1:17" s="1" customFormat="1">
      <c r="A285" s="3">
        <v>45708</v>
      </c>
      <c r="B285" s="1" t="s">
        <v>25</v>
      </c>
      <c r="C285" s="1">
        <v>5</v>
      </c>
      <c r="D285" s="1">
        <v>5</v>
      </c>
      <c r="E285" s="1">
        <v>0</v>
      </c>
      <c r="F285" s="1">
        <v>0</v>
      </c>
      <c r="G285" s="1">
        <v>0</v>
      </c>
      <c r="H285" s="1">
        <v>0</v>
      </c>
      <c r="I285" s="1">
        <f>IF(H285 + I284 &lt; 0, H285 + I284, 0)</f>
        <v>0</v>
      </c>
      <c r="J285" s="1">
        <v>0</v>
      </c>
      <c r="K285" s="1">
        <f>IF(J285 + K284 &lt; 0, J285 + K284, 0)</f>
        <v>0</v>
      </c>
      <c r="L285" s="1">
        <v>2891755.667363905</v>
      </c>
      <c r="M285" s="1">
        <f>IF(L285 + M284 &lt; 0, L285 + M284, 0)</f>
        <v>0</v>
      </c>
      <c r="N285" s="1">
        <v>0</v>
      </c>
      <c r="O285" s="1">
        <f>IF(N285 + O284 &lt; 0, N285 + O284, 0)</f>
        <v>0</v>
      </c>
      <c r="P285" s="1">
        <v>0</v>
      </c>
      <c r="Q285" s="1">
        <f>IF(P285 + Q284 &lt; 0, P285 + Q284, 0)</f>
        <v>0</v>
      </c>
    </row>
    <row r="286" spans="1:17" s="1" customFormat="1">
      <c r="A286" s="3">
        <v>45709</v>
      </c>
      <c r="B286" s="1" t="s">
        <v>26</v>
      </c>
      <c r="C286" s="1">
        <v>4</v>
      </c>
      <c r="D286" s="1">
        <v>4</v>
      </c>
      <c r="E286" s="1">
        <v>0</v>
      </c>
      <c r="F286" s="1">
        <v>0</v>
      </c>
      <c r="G286" s="1">
        <v>0</v>
      </c>
      <c r="H286" s="1">
        <v>0</v>
      </c>
      <c r="I286" s="1">
        <f>IF(H286 + I285 &lt; 0, H286 + I285, 0)</f>
        <v>0</v>
      </c>
      <c r="J286" s="1">
        <v>0</v>
      </c>
      <c r="K286" s="1">
        <f>IF(J286 + K285 &lt; 0, J286 + K285, 0)</f>
        <v>0</v>
      </c>
      <c r="L286" s="1">
        <v>0</v>
      </c>
      <c r="M286" s="1">
        <f>IF(L286 + M285 &lt; 0, L286 + M285, 0)</f>
        <v>0</v>
      </c>
      <c r="N286" s="1">
        <v>0</v>
      </c>
      <c r="O286" s="1">
        <f>IF(N286 + O285 &lt; 0, N286 + O285, 0)</f>
        <v>0</v>
      </c>
      <c r="P286" s="1">
        <v>0</v>
      </c>
      <c r="Q286" s="1">
        <f>IF(P286 + Q285 &lt; 0, P286 + Q285, 0)</f>
        <v>0</v>
      </c>
    </row>
    <row r="287" spans="1:17" s="1" customFormat="1">
      <c r="A287" s="3">
        <v>45712</v>
      </c>
      <c r="B287" s="1" t="s">
        <v>22</v>
      </c>
      <c r="C287" s="1">
        <v>3</v>
      </c>
      <c r="D287" s="1">
        <v>3</v>
      </c>
      <c r="E287" s="1">
        <v>0</v>
      </c>
      <c r="F287" s="1">
        <v>0</v>
      </c>
      <c r="G287" s="1">
        <v>0</v>
      </c>
      <c r="H287" s="1">
        <v>0</v>
      </c>
      <c r="I287" s="1">
        <f>IF(H287 + I286 &lt; 0, H287 + I286, 0)</f>
        <v>0</v>
      </c>
      <c r="J287" s="1">
        <v>0</v>
      </c>
      <c r="K287" s="1">
        <f>IF(J287 + K286 &lt; 0, J287 + K286, 0)</f>
        <v>0</v>
      </c>
      <c r="L287" s="1">
        <v>0</v>
      </c>
      <c r="M287" s="1">
        <f>IF(L287 + M286 &lt; 0, L287 + M286, 0)</f>
        <v>0</v>
      </c>
      <c r="N287" s="1">
        <v>0</v>
      </c>
      <c r="O287" s="1">
        <f>IF(N287 + O286 &lt; 0, N287 + O286, 0)</f>
        <v>0</v>
      </c>
      <c r="P287" s="1">
        <v>0</v>
      </c>
      <c r="Q287" s="1">
        <f>IF(P287 + Q286 &lt; 0, P287 + Q286, 0)</f>
        <v>0</v>
      </c>
    </row>
    <row r="288" spans="1:17" s="1" customFormat="1">
      <c r="A288" s="3">
        <v>45713</v>
      </c>
      <c r="B288" s="1" t="s">
        <v>23</v>
      </c>
      <c r="C288" s="1">
        <v>2</v>
      </c>
      <c r="D288" s="1">
        <v>2</v>
      </c>
      <c r="E288" s="1">
        <v>0</v>
      </c>
      <c r="F288" s="1">
        <v>0</v>
      </c>
      <c r="G288" s="1">
        <v>0</v>
      </c>
      <c r="H288" s="1">
        <v>0</v>
      </c>
      <c r="I288" s="1">
        <f>IF(H288 + I287 &lt; 0, H288 + I287, 0)</f>
        <v>0</v>
      </c>
      <c r="J288" s="1">
        <v>0</v>
      </c>
      <c r="K288" s="1">
        <f>IF(J288 + K287 &lt; 0, J288 + K287, 0)</f>
        <v>0</v>
      </c>
      <c r="L288" s="1">
        <v>0</v>
      </c>
      <c r="M288" s="1">
        <f>IF(L288 + M287 &lt; 0, L288 + M287, 0)</f>
        <v>0</v>
      </c>
      <c r="N288" s="1">
        <v>0</v>
      </c>
      <c r="O288" s="1">
        <f>IF(N288 + O287 &lt; 0, N288 + O287, 0)</f>
        <v>0</v>
      </c>
      <c r="P288" s="1">
        <v>2006439.260699694</v>
      </c>
      <c r="Q288" s="1">
        <f>IF(P288 + Q287 &lt; 0, P288 + Q287, 0)</f>
        <v>0</v>
      </c>
    </row>
    <row r="289" spans="1:17" s="1" customFormat="1">
      <c r="A289" s="3">
        <v>45715</v>
      </c>
      <c r="B289" s="1" t="s">
        <v>25</v>
      </c>
      <c r="C289" s="1">
        <v>1</v>
      </c>
      <c r="D289" s="1">
        <v>1</v>
      </c>
      <c r="E289" s="1">
        <v>0</v>
      </c>
      <c r="F289" s="1">
        <v>0</v>
      </c>
      <c r="G289" s="1">
        <v>0</v>
      </c>
      <c r="H289" s="1">
        <v>0</v>
      </c>
      <c r="I289" s="1">
        <f>IF(H289 + I288 &lt; 0, H289 + I288, 0)</f>
        <v>0</v>
      </c>
      <c r="J289" s="1">
        <v>0</v>
      </c>
      <c r="K289" s="1">
        <f>IF(J289 + K288 &lt; 0, J289 + K288, 0)</f>
        <v>0</v>
      </c>
      <c r="L289" s="1">
        <v>2498142.373497733</v>
      </c>
      <c r="M289" s="1">
        <f>IF(L289 + M288 &lt; 0, L289 + M288, 0)</f>
        <v>0</v>
      </c>
      <c r="N289" s="1">
        <v>0</v>
      </c>
      <c r="O289" s="1">
        <f>IF(N289 + O288 &lt; 0, N289 + O288, 0)</f>
        <v>0</v>
      </c>
      <c r="P289" s="1">
        <v>0</v>
      </c>
      <c r="Q289" s="1">
        <f>IF(P289 + Q288 &lt; 0, P289 + Q288, 0)</f>
        <v>0</v>
      </c>
    </row>
    <row r="290" spans="1:17" s="1" customFormat="1">
      <c r="A290" s="3">
        <v>45716</v>
      </c>
      <c r="B290" s="1" t="s">
        <v>26</v>
      </c>
      <c r="C290" s="1">
        <v>19</v>
      </c>
      <c r="D290" s="1">
        <v>19</v>
      </c>
      <c r="E290" s="1">
        <v>0</v>
      </c>
      <c r="F290" s="1">
        <v>0</v>
      </c>
      <c r="G290" s="1">
        <v>0</v>
      </c>
      <c r="H290" s="1">
        <v>0</v>
      </c>
      <c r="I290" s="1">
        <f>IF(H290 + I289 &lt; 0, H290 + I289, 0)</f>
        <v>0</v>
      </c>
      <c r="J290" s="1">
        <v>0</v>
      </c>
      <c r="K290" s="1">
        <f>IF(J290 + K289 &lt; 0, J290 + K289, 0)</f>
        <v>0</v>
      </c>
      <c r="L290" s="1">
        <v>0</v>
      </c>
      <c r="M290" s="1">
        <f>IF(L290 + M289 &lt; 0, L290 + M289, 0)</f>
        <v>0</v>
      </c>
      <c r="N290" s="1">
        <v>0</v>
      </c>
      <c r="O290" s="1">
        <f>IF(N290 + O289 &lt; 0, N290 + O289, 0)</f>
        <v>0</v>
      </c>
      <c r="P290" s="1">
        <v>0</v>
      </c>
      <c r="Q290" s="1">
        <f>IF(P290 + Q289 &lt; 0, P290 + Q289, 0)</f>
        <v>0</v>
      </c>
    </row>
    <row r="291" spans="1:17" s="1" customFormat="1">
      <c r="A291" s="3">
        <v>45719</v>
      </c>
      <c r="B291" s="1" t="s">
        <v>22</v>
      </c>
      <c r="C291" s="1">
        <v>18</v>
      </c>
      <c r="D291" s="1">
        <v>18</v>
      </c>
      <c r="E291" s="1">
        <v>0</v>
      </c>
      <c r="F291" s="1">
        <v>0</v>
      </c>
      <c r="G291" s="1">
        <v>0</v>
      </c>
      <c r="H291" s="1">
        <v>0</v>
      </c>
      <c r="I291" s="1">
        <f>IF(H291 + I290 &lt; 0, H291 + I290, 0)</f>
        <v>0</v>
      </c>
      <c r="J291" s="1">
        <v>0</v>
      </c>
      <c r="K291" s="1">
        <f>IF(J291 + K290 &lt; 0, J291 + K290, 0)</f>
        <v>0</v>
      </c>
      <c r="L291" s="1">
        <v>0</v>
      </c>
      <c r="M291" s="1">
        <f>IF(L291 + M290 &lt; 0, L291 + M290, 0)</f>
        <v>0</v>
      </c>
      <c r="N291" s="1">
        <v>0</v>
      </c>
      <c r="O291" s="1">
        <f>IF(N291 + O290 &lt; 0, N291 + O290, 0)</f>
        <v>0</v>
      </c>
      <c r="P291" s="1">
        <v>0</v>
      </c>
      <c r="Q291" s="1">
        <f>IF(P291 + Q290 &lt; 0, P291 + Q290, 0)</f>
        <v>0</v>
      </c>
    </row>
    <row r="292" spans="1:17" s="1" customFormat="1">
      <c r="A292" s="3">
        <v>45720</v>
      </c>
      <c r="B292" s="1" t="s">
        <v>23</v>
      </c>
      <c r="C292" s="1">
        <v>17</v>
      </c>
      <c r="D292" s="1">
        <v>17</v>
      </c>
      <c r="E292" s="1">
        <v>0</v>
      </c>
      <c r="F292" s="1">
        <v>0</v>
      </c>
      <c r="G292" s="1">
        <v>0</v>
      </c>
      <c r="H292" s="1">
        <v>0</v>
      </c>
      <c r="I292" s="1">
        <f>IF(H292 + I291 &lt; 0, H292 + I291, 0)</f>
        <v>0</v>
      </c>
      <c r="J292" s="1">
        <v>0</v>
      </c>
      <c r="K292" s="1">
        <f>IF(J292 + K291 &lt; 0, J292 + K291, 0)</f>
        <v>0</v>
      </c>
      <c r="L292" s="1">
        <v>0</v>
      </c>
      <c r="M292" s="1">
        <f>IF(L292 + M291 &lt; 0, L292 + M291, 0)</f>
        <v>0</v>
      </c>
      <c r="N292" s="1">
        <v>0</v>
      </c>
      <c r="O292" s="1">
        <f>IF(N292 + O291 &lt; 0, N292 + O291, 0)</f>
        <v>0</v>
      </c>
      <c r="P292" s="1">
        <v>-672677.9587649099</v>
      </c>
      <c r="Q292" s="1">
        <f>IF(P292 + Q291 &lt; 0, P292 + Q291, 0)</f>
        <v>0</v>
      </c>
    </row>
    <row r="293" spans="1:17" s="1" customFormat="1">
      <c r="A293" s="3">
        <v>45721</v>
      </c>
      <c r="B293" s="1" t="s">
        <v>24</v>
      </c>
      <c r="C293" s="1">
        <v>16</v>
      </c>
      <c r="D293" s="1">
        <v>16</v>
      </c>
      <c r="E293" s="1">
        <v>0</v>
      </c>
      <c r="F293" s="1">
        <v>0</v>
      </c>
      <c r="G293" s="1">
        <v>0</v>
      </c>
      <c r="H293" s="1">
        <v>0</v>
      </c>
      <c r="I293" s="1">
        <f>IF(H293 + I292 &lt; 0, H293 + I292, 0)</f>
        <v>0</v>
      </c>
      <c r="J293" s="1">
        <v>0</v>
      </c>
      <c r="K293" s="1">
        <f>IF(J293 + K292 &lt; 0, J293 + K292, 0)</f>
        <v>0</v>
      </c>
      <c r="L293" s="1">
        <v>0</v>
      </c>
      <c r="M293" s="1">
        <f>IF(L293 + M292 &lt; 0, L293 + M292, 0)</f>
        <v>0</v>
      </c>
      <c r="N293" s="1">
        <v>0</v>
      </c>
      <c r="O293" s="1">
        <f>IF(N293 + O292 &lt; 0, N293 + O292, 0)</f>
        <v>0</v>
      </c>
      <c r="P293" s="1">
        <v>0</v>
      </c>
      <c r="Q293" s="1">
        <f>IF(P293 + Q292 &lt; 0, P293 + Q292, 0)</f>
        <v>0</v>
      </c>
    </row>
    <row r="294" spans="1:17" s="1" customFormat="1">
      <c r="A294" s="3">
        <v>45722</v>
      </c>
      <c r="B294" s="1" t="s">
        <v>25</v>
      </c>
      <c r="C294" s="1">
        <v>15</v>
      </c>
      <c r="D294" s="1">
        <v>15</v>
      </c>
      <c r="E294" s="1">
        <v>0</v>
      </c>
      <c r="F294" s="1">
        <v>0</v>
      </c>
      <c r="G294" s="1">
        <v>0</v>
      </c>
      <c r="H294" s="1">
        <v>0</v>
      </c>
      <c r="I294" s="1">
        <f>IF(H294 + I293 &lt; 0, H294 + I293, 0)</f>
        <v>0</v>
      </c>
      <c r="J294" s="1">
        <v>0</v>
      </c>
      <c r="K294" s="1">
        <f>IF(J294 + K293 &lt; 0, J294 + K293, 0)</f>
        <v>0</v>
      </c>
      <c r="L294" s="1">
        <v>-210342.3917615104</v>
      </c>
      <c r="M294" s="1">
        <f>IF(L294 + M293 &lt; 0, L294 + M293, 0)</f>
        <v>0</v>
      </c>
      <c r="N294" s="1">
        <v>0</v>
      </c>
      <c r="O294" s="1">
        <f>IF(N294 + O293 &lt; 0, N294 + O293, 0)</f>
        <v>0</v>
      </c>
      <c r="P294" s="1">
        <v>0</v>
      </c>
      <c r="Q294" s="1">
        <f>IF(P294 + Q293 &lt; 0, P294 + Q293, 0)</f>
        <v>0</v>
      </c>
    </row>
    <row r="295" spans="1:17" s="1" customFormat="1">
      <c r="A295" s="3">
        <v>45723</v>
      </c>
      <c r="B295" s="1" t="s">
        <v>26</v>
      </c>
      <c r="C295" s="1">
        <v>14</v>
      </c>
      <c r="D295" s="1">
        <v>14</v>
      </c>
      <c r="E295" s="1">
        <v>0</v>
      </c>
      <c r="F295" s="1">
        <v>0</v>
      </c>
      <c r="G295" s="1">
        <v>0</v>
      </c>
      <c r="H295" s="1">
        <v>0</v>
      </c>
      <c r="I295" s="1">
        <f>IF(H295 + I294 &lt; 0, H295 + I294, 0)</f>
        <v>0</v>
      </c>
      <c r="J295" s="1">
        <v>0</v>
      </c>
      <c r="K295" s="1">
        <f>IF(J295 + K294 &lt; 0, J295 + K294, 0)</f>
        <v>0</v>
      </c>
      <c r="L295" s="1">
        <v>0</v>
      </c>
      <c r="M295" s="1">
        <f>IF(L295 + M294 &lt; 0, L295 + M294, 0)</f>
        <v>0</v>
      </c>
      <c r="N295" s="1">
        <v>0</v>
      </c>
      <c r="O295" s="1">
        <f>IF(N295 + O294 &lt; 0, N295 + O294, 0)</f>
        <v>0</v>
      </c>
      <c r="P295" s="1">
        <v>0</v>
      </c>
      <c r="Q295" s="1">
        <f>IF(P295 + Q294 &lt; 0, P295 + Q294, 0)</f>
        <v>0</v>
      </c>
    </row>
    <row r="296" spans="1:17" s="1" customFormat="1">
      <c r="A296" s="3">
        <v>45726</v>
      </c>
      <c r="B296" s="1" t="s">
        <v>22</v>
      </c>
      <c r="C296" s="1">
        <v>13</v>
      </c>
      <c r="D296" s="1">
        <v>13</v>
      </c>
      <c r="E296" s="1">
        <v>0</v>
      </c>
      <c r="F296" s="1">
        <v>0</v>
      </c>
      <c r="G296" s="1">
        <v>0</v>
      </c>
      <c r="H296" s="1">
        <v>0</v>
      </c>
      <c r="I296" s="1">
        <f>IF(H296 + I295 &lt; 0, H296 + I295, 0)</f>
        <v>0</v>
      </c>
      <c r="J296" s="1">
        <v>0</v>
      </c>
      <c r="K296" s="1">
        <f>IF(J296 + K295 &lt; 0, J296 + K295, 0)</f>
        <v>0</v>
      </c>
      <c r="L296" s="1">
        <v>0</v>
      </c>
      <c r="M296" s="1">
        <f>IF(L296 + M295 &lt; 0, L296 + M295, 0)</f>
        <v>0</v>
      </c>
      <c r="N296" s="1">
        <v>0</v>
      </c>
      <c r="O296" s="1">
        <f>IF(N296 + O295 &lt; 0, N296 + O295, 0)</f>
        <v>0</v>
      </c>
      <c r="P296" s="1">
        <v>0</v>
      </c>
      <c r="Q296" s="1">
        <f>IF(P296 + Q295 &lt; 0, P296 + Q295, 0)</f>
        <v>0</v>
      </c>
    </row>
    <row r="297" spans="1:17" s="1" customFormat="1">
      <c r="A297" s="3">
        <v>45727</v>
      </c>
      <c r="B297" s="1" t="s">
        <v>23</v>
      </c>
      <c r="C297" s="1">
        <v>12</v>
      </c>
      <c r="D297" s="1">
        <v>12</v>
      </c>
      <c r="E297" s="1">
        <v>0</v>
      </c>
      <c r="F297" s="1">
        <v>0</v>
      </c>
      <c r="G297" s="1">
        <v>0</v>
      </c>
      <c r="H297" s="1">
        <v>0</v>
      </c>
      <c r="I297" s="1">
        <f>IF(H297 + I296 &lt; 0, H297 + I296, 0)</f>
        <v>0</v>
      </c>
      <c r="J297" s="1">
        <v>0</v>
      </c>
      <c r="K297" s="1">
        <f>IF(J297 + K296 &lt; 0, J297 + K296, 0)</f>
        <v>0</v>
      </c>
      <c r="L297" s="1">
        <v>0</v>
      </c>
      <c r="M297" s="1">
        <f>IF(L297 + M296 &lt; 0, L297 + M296, 0)</f>
        <v>0</v>
      </c>
      <c r="N297" s="1">
        <v>0</v>
      </c>
      <c r="O297" s="1">
        <f>IF(N297 + O296 &lt; 0, N297 + O296, 0)</f>
        <v>0</v>
      </c>
      <c r="P297" s="1">
        <v>583940.160974605</v>
      </c>
      <c r="Q297" s="1">
        <f>IF(P297 + Q296 &lt; 0, P297 + Q296, 0)</f>
        <v>0</v>
      </c>
    </row>
    <row r="298" spans="1:17" s="1" customFormat="1">
      <c r="A298" s="3">
        <v>45728</v>
      </c>
      <c r="B298" s="1" t="s">
        <v>24</v>
      </c>
      <c r="C298" s="1">
        <v>11</v>
      </c>
      <c r="D298" s="1">
        <v>11</v>
      </c>
      <c r="E298" s="1">
        <v>0</v>
      </c>
      <c r="F298" s="1">
        <v>0</v>
      </c>
      <c r="G298" s="1">
        <v>0</v>
      </c>
      <c r="H298" s="1">
        <v>0</v>
      </c>
      <c r="I298" s="1">
        <f>IF(H298 + I297 &lt; 0, H298 + I297, 0)</f>
        <v>0</v>
      </c>
      <c r="J298" s="1">
        <v>0</v>
      </c>
      <c r="K298" s="1">
        <f>IF(J298 + K297 &lt; 0, J298 + K297, 0)</f>
        <v>0</v>
      </c>
      <c r="L298" s="1">
        <v>0</v>
      </c>
      <c r="M298" s="1">
        <f>IF(L298 + M297 &lt; 0, L298 + M297, 0)</f>
        <v>0</v>
      </c>
      <c r="N298" s="1">
        <v>0</v>
      </c>
      <c r="O298" s="1">
        <f>IF(N298 + O297 &lt; 0, N298 + O297, 0)</f>
        <v>0</v>
      </c>
      <c r="P298" s="1">
        <v>0</v>
      </c>
      <c r="Q298" s="1">
        <f>IF(P298 + Q297 &lt; 0, P298 + Q297, 0)</f>
        <v>0</v>
      </c>
    </row>
    <row r="299" spans="1:17" s="1" customFormat="1">
      <c r="A299" s="3">
        <v>45729</v>
      </c>
      <c r="B299" s="1" t="s">
        <v>25</v>
      </c>
      <c r="C299" s="1">
        <v>10</v>
      </c>
      <c r="D299" s="1">
        <v>10</v>
      </c>
      <c r="E299" s="1">
        <v>0</v>
      </c>
      <c r="F299" s="1">
        <v>0</v>
      </c>
      <c r="G299" s="1">
        <v>0</v>
      </c>
      <c r="H299" s="1">
        <v>0</v>
      </c>
      <c r="I299" s="1">
        <f>IF(H299 + I298 &lt; 0, H299 + I298, 0)</f>
        <v>0</v>
      </c>
      <c r="J299" s="1">
        <v>0</v>
      </c>
      <c r="K299" s="1">
        <f>IF(J299 + K298 &lt; 0, J299 + K298, 0)</f>
        <v>0</v>
      </c>
      <c r="L299" s="1">
        <v>317734.0400861686</v>
      </c>
      <c r="M299" s="1">
        <f>IF(L299 + M298 &lt; 0, L299 + M298, 0)</f>
        <v>0</v>
      </c>
      <c r="N299" s="1">
        <v>0</v>
      </c>
      <c r="O299" s="1">
        <f>IF(N299 + O298 &lt; 0, N299 + O298, 0)</f>
        <v>0</v>
      </c>
      <c r="P299" s="1">
        <v>0</v>
      </c>
      <c r="Q299" s="1">
        <f>IF(P299 + Q298 &lt; 0, P299 + Q298, 0)</f>
        <v>0</v>
      </c>
    </row>
    <row r="300" spans="1:17" s="1" customFormat="1">
      <c r="A300" s="3">
        <v>45733</v>
      </c>
      <c r="B300" s="1" t="s">
        <v>22</v>
      </c>
      <c r="C300" s="1">
        <v>9</v>
      </c>
      <c r="D300" s="1">
        <v>9</v>
      </c>
      <c r="E300" s="1">
        <v>0</v>
      </c>
      <c r="F300" s="1">
        <v>0</v>
      </c>
      <c r="G300" s="1">
        <v>0</v>
      </c>
      <c r="H300" s="1">
        <v>0</v>
      </c>
      <c r="I300" s="1">
        <f>IF(H300 + I299 &lt; 0, H300 + I299, 0)</f>
        <v>0</v>
      </c>
      <c r="J300" s="1">
        <v>0</v>
      </c>
      <c r="K300" s="1">
        <f>IF(J300 + K299 &lt; 0, J300 + K299, 0)</f>
        <v>0</v>
      </c>
      <c r="L300" s="1">
        <v>0</v>
      </c>
      <c r="M300" s="1">
        <f>IF(L300 + M299 &lt; 0, L300 + M299, 0)</f>
        <v>0</v>
      </c>
      <c r="N300" s="1">
        <v>0</v>
      </c>
      <c r="O300" s="1">
        <f>IF(N300 + O299 &lt; 0, N300 + O299, 0)</f>
        <v>0</v>
      </c>
      <c r="P300" s="1">
        <v>0</v>
      </c>
      <c r="Q300" s="1">
        <f>IF(P300 + Q299 &lt; 0, P300 + Q299, 0)</f>
        <v>0</v>
      </c>
    </row>
    <row r="301" spans="1:17" s="1" customFormat="1">
      <c r="A301" s="3">
        <v>45734</v>
      </c>
      <c r="B301" s="1" t="s">
        <v>23</v>
      </c>
      <c r="C301" s="1">
        <v>8</v>
      </c>
      <c r="D301" s="1">
        <v>8</v>
      </c>
      <c r="E301" s="1">
        <v>0</v>
      </c>
      <c r="F301" s="1">
        <v>0</v>
      </c>
      <c r="G301" s="1">
        <v>0</v>
      </c>
      <c r="H301" s="1">
        <v>0</v>
      </c>
      <c r="I301" s="1">
        <f>IF(H301 + I300 &lt; 0, H301 + I300, 0)</f>
        <v>0</v>
      </c>
      <c r="J301" s="1">
        <v>0</v>
      </c>
      <c r="K301" s="1">
        <f>IF(J301 + K300 &lt; 0, J301 + K300, 0)</f>
        <v>0</v>
      </c>
      <c r="L301" s="1">
        <v>0</v>
      </c>
      <c r="M301" s="1">
        <f>IF(L301 + M300 &lt; 0, L301 + M300, 0)</f>
        <v>0</v>
      </c>
      <c r="N301" s="1">
        <v>0</v>
      </c>
      <c r="O301" s="1">
        <f>IF(N301 + O300 &lt; 0, N301 + O300, 0)</f>
        <v>0</v>
      </c>
      <c r="P301" s="1">
        <v>221394.3787906554</v>
      </c>
      <c r="Q301" s="1">
        <f>IF(P301 + Q300 &lt; 0, P301 + Q300, 0)</f>
        <v>0</v>
      </c>
    </row>
    <row r="302" spans="1:17" s="1" customFormat="1">
      <c r="A302" s="3">
        <v>45735</v>
      </c>
      <c r="B302" s="1" t="s">
        <v>24</v>
      </c>
      <c r="C302" s="1">
        <v>7</v>
      </c>
      <c r="D302" s="1">
        <v>7</v>
      </c>
      <c r="E302" s="1">
        <v>0</v>
      </c>
      <c r="F302" s="1">
        <v>0</v>
      </c>
      <c r="G302" s="1">
        <v>0</v>
      </c>
      <c r="H302" s="1">
        <v>0</v>
      </c>
      <c r="I302" s="1">
        <f>IF(H302 + I301 &lt; 0, H302 + I301, 0)</f>
        <v>0</v>
      </c>
      <c r="J302" s="1">
        <v>0</v>
      </c>
      <c r="K302" s="1">
        <f>IF(J302 + K301 &lt; 0, J302 + K301, 0)</f>
        <v>0</v>
      </c>
      <c r="L302" s="1">
        <v>0</v>
      </c>
      <c r="M302" s="1">
        <f>IF(L302 + M301 &lt; 0, L302 + M301, 0)</f>
        <v>0</v>
      </c>
      <c r="N302" s="1">
        <v>0</v>
      </c>
      <c r="O302" s="1">
        <f>IF(N302 + O301 &lt; 0, N302 + O301, 0)</f>
        <v>0</v>
      </c>
      <c r="P302" s="1">
        <v>0</v>
      </c>
      <c r="Q302" s="1">
        <f>IF(P302 + Q301 &lt; 0, P302 + Q301, 0)</f>
        <v>0</v>
      </c>
    </row>
    <row r="303" spans="1:17" s="1" customFormat="1">
      <c r="A303" s="3">
        <v>45736</v>
      </c>
      <c r="B303" s="1" t="s">
        <v>25</v>
      </c>
      <c r="C303" s="1">
        <v>6</v>
      </c>
      <c r="D303" s="1">
        <v>6</v>
      </c>
      <c r="E303" s="1">
        <v>0</v>
      </c>
      <c r="F303" s="1">
        <v>0</v>
      </c>
      <c r="G303" s="1">
        <v>0</v>
      </c>
      <c r="H303" s="1">
        <v>0</v>
      </c>
      <c r="I303" s="1">
        <f>IF(H303 + I302 &lt; 0, H303 + I302, 0)</f>
        <v>0</v>
      </c>
      <c r="J303" s="1">
        <v>0</v>
      </c>
      <c r="K303" s="1">
        <f>IF(J303 + K302 &lt; 0, J303 + K302, 0)</f>
        <v>0</v>
      </c>
      <c r="L303" s="1">
        <v>-1196788.997621079</v>
      </c>
      <c r="M303" s="1">
        <f>IF(L303 + M302 &lt; 0, L303 + M302, 0)</f>
        <v>0</v>
      </c>
      <c r="N303" s="1">
        <v>0</v>
      </c>
      <c r="O303" s="1">
        <f>IF(N303 + O302 &lt; 0, N303 + O302, 0)</f>
        <v>0</v>
      </c>
      <c r="P303" s="1">
        <v>0</v>
      </c>
      <c r="Q303" s="1">
        <f>IF(P303 + Q302 &lt; 0, P303 + Q302, 0)</f>
        <v>0</v>
      </c>
    </row>
    <row r="304" spans="1:17" s="1" customFormat="1">
      <c r="A304" s="3">
        <v>45737</v>
      </c>
      <c r="B304" s="1" t="s">
        <v>26</v>
      </c>
      <c r="C304" s="1">
        <v>5</v>
      </c>
      <c r="D304" s="1">
        <v>5</v>
      </c>
      <c r="E304" s="1">
        <v>0</v>
      </c>
      <c r="F304" s="1">
        <v>0</v>
      </c>
      <c r="G304" s="1">
        <v>0</v>
      </c>
      <c r="H304" s="1">
        <v>0</v>
      </c>
      <c r="I304" s="1">
        <f>IF(H304 + I303 &lt; 0, H304 + I303, 0)</f>
        <v>0</v>
      </c>
      <c r="J304" s="1">
        <v>0</v>
      </c>
      <c r="K304" s="1">
        <f>IF(J304 + K303 &lt; 0, J304 + K303, 0)</f>
        <v>0</v>
      </c>
      <c r="L304" s="1">
        <v>0</v>
      </c>
      <c r="M304" s="1">
        <f>IF(L304 + M303 &lt; 0, L304 + M303, 0)</f>
        <v>0</v>
      </c>
      <c r="N304" s="1">
        <v>0</v>
      </c>
      <c r="O304" s="1">
        <f>IF(N304 + O303 &lt; 0, N304 + O303, 0)</f>
        <v>0</v>
      </c>
      <c r="P304" s="1">
        <v>0</v>
      </c>
      <c r="Q304" s="1">
        <f>IF(P304 + Q303 &lt; 0, P304 + Q303, 0)</f>
        <v>0</v>
      </c>
    </row>
    <row r="305" spans="1:17" s="1" customFormat="1">
      <c r="A305" s="3">
        <v>45740</v>
      </c>
      <c r="B305" s="1" t="s">
        <v>22</v>
      </c>
      <c r="C305" s="1">
        <v>4</v>
      </c>
      <c r="D305" s="1">
        <v>4</v>
      </c>
      <c r="E305" s="1">
        <v>0</v>
      </c>
      <c r="F305" s="1">
        <v>0</v>
      </c>
      <c r="G305" s="1">
        <v>0</v>
      </c>
      <c r="H305" s="1">
        <v>0</v>
      </c>
      <c r="I305" s="1">
        <f>IF(H305 + I304 &lt; 0, H305 + I304, 0)</f>
        <v>0</v>
      </c>
      <c r="J305" s="1">
        <v>0</v>
      </c>
      <c r="K305" s="1">
        <f>IF(J305 + K304 &lt; 0, J305 + K304, 0)</f>
        <v>0</v>
      </c>
      <c r="L305" s="1">
        <v>0</v>
      </c>
      <c r="M305" s="1">
        <f>IF(L305 + M304 &lt; 0, L305 + M304, 0)</f>
        <v>0</v>
      </c>
      <c r="N305" s="1">
        <v>0</v>
      </c>
      <c r="O305" s="1">
        <f>IF(N305 + O304 &lt; 0, N305 + O304, 0)</f>
        <v>0</v>
      </c>
      <c r="P305" s="1">
        <v>0</v>
      </c>
      <c r="Q305" s="1">
        <f>IF(P305 + Q304 &lt; 0, P305 + Q304, 0)</f>
        <v>0</v>
      </c>
    </row>
    <row r="306" spans="1:17" s="1" customFormat="1">
      <c r="A306" s="3">
        <v>45741</v>
      </c>
      <c r="B306" s="1" t="s">
        <v>23</v>
      </c>
      <c r="C306" s="1">
        <v>3</v>
      </c>
      <c r="D306" s="1">
        <v>3</v>
      </c>
      <c r="E306" s="1">
        <v>0</v>
      </c>
      <c r="F306" s="1">
        <v>0</v>
      </c>
      <c r="G306" s="1">
        <v>0</v>
      </c>
      <c r="H306" s="1">
        <v>0</v>
      </c>
      <c r="I306" s="1">
        <f>IF(H306 + I305 &lt; 0, H306 + I305, 0)</f>
        <v>0</v>
      </c>
      <c r="J306" s="1">
        <v>0</v>
      </c>
      <c r="K306" s="1">
        <f>IF(J306 + K305 &lt; 0, J306 + K305, 0)</f>
        <v>0</v>
      </c>
      <c r="L306" s="1">
        <v>0</v>
      </c>
      <c r="M306" s="1">
        <f>IF(L306 + M305 &lt; 0, L306 + M305, 0)</f>
        <v>0</v>
      </c>
      <c r="N306" s="1">
        <v>0</v>
      </c>
      <c r="O306" s="1">
        <f>IF(N306 + O305 &lt; 0, N306 + O305, 0)</f>
        <v>0</v>
      </c>
      <c r="P306" s="1">
        <v>-3097173.936604919</v>
      </c>
      <c r="Q306" s="1">
        <f>IF(P306 + Q305 &lt; 0, P306 + Q305, 0)</f>
        <v>0</v>
      </c>
    </row>
    <row r="307" spans="1:17" s="1" customFormat="1">
      <c r="A307" s="3">
        <v>45742</v>
      </c>
      <c r="B307" s="1" t="s">
        <v>24</v>
      </c>
      <c r="C307" s="1">
        <v>2</v>
      </c>
      <c r="D307" s="1">
        <v>2</v>
      </c>
      <c r="E307" s="1">
        <v>0</v>
      </c>
      <c r="F307" s="1">
        <v>0</v>
      </c>
      <c r="G307" s="1">
        <v>0</v>
      </c>
      <c r="H307" s="1">
        <v>0</v>
      </c>
      <c r="I307" s="1">
        <f>IF(H307 + I306 &lt; 0, H307 + I306, 0)</f>
        <v>0</v>
      </c>
      <c r="J307" s="1">
        <v>0</v>
      </c>
      <c r="K307" s="1">
        <f>IF(J307 + K306 &lt; 0, J307 + K306, 0)</f>
        <v>0</v>
      </c>
      <c r="L307" s="1">
        <v>0</v>
      </c>
      <c r="M307" s="1">
        <f>IF(L307 + M306 &lt; 0, L307 + M306, 0)</f>
        <v>0</v>
      </c>
      <c r="N307" s="1">
        <v>0</v>
      </c>
      <c r="O307" s="1">
        <f>IF(N307 + O306 &lt; 0, N307 + O306, 0)</f>
        <v>0</v>
      </c>
      <c r="P307" s="1">
        <v>0</v>
      </c>
      <c r="Q307" s="1">
        <f>IF(P307 + Q306 &lt; 0, P307 + Q306, 0)</f>
        <v>0</v>
      </c>
    </row>
    <row r="308" spans="1:17" s="1" customFormat="1">
      <c r="A308" s="3">
        <v>45743</v>
      </c>
      <c r="B308" s="1" t="s">
        <v>25</v>
      </c>
      <c r="C308" s="1">
        <v>1</v>
      </c>
      <c r="D308" s="1">
        <v>1</v>
      </c>
      <c r="E308" s="1">
        <v>0</v>
      </c>
      <c r="F308" s="1">
        <v>0</v>
      </c>
      <c r="G308" s="1">
        <v>0</v>
      </c>
      <c r="H308" s="1">
        <v>0</v>
      </c>
      <c r="I308" s="1">
        <f>IF(H308 + I307 &lt; 0, H308 + I307, 0)</f>
        <v>0</v>
      </c>
      <c r="J308" s="1">
        <v>0</v>
      </c>
      <c r="K308" s="1">
        <f>IF(J308 + K307 &lt; 0, J308 + K307, 0)</f>
        <v>0</v>
      </c>
      <c r="L308" s="1">
        <v>883381.9842730076</v>
      </c>
      <c r="M308" s="1">
        <f>IF(L308 + M307 &lt; 0, L308 + M307, 0)</f>
        <v>0</v>
      </c>
      <c r="N308" s="1">
        <v>0</v>
      </c>
      <c r="O308" s="1">
        <f>IF(N308 + O307 &lt; 0, N308 + O307, 0)</f>
        <v>0</v>
      </c>
      <c r="P308" s="1">
        <v>0</v>
      </c>
      <c r="Q308" s="1">
        <f>IF(P308 + Q307 &lt; 0, P308 + Q307, 0)</f>
        <v>0</v>
      </c>
    </row>
    <row r="309" spans="1:17" s="1" customFormat="1">
      <c r="A309" s="3">
        <v>45744</v>
      </c>
      <c r="B309" s="1" t="s">
        <v>26</v>
      </c>
      <c r="C309" s="1">
        <v>16</v>
      </c>
      <c r="D309" s="1">
        <v>16</v>
      </c>
      <c r="E309" s="1">
        <v>0</v>
      </c>
      <c r="F309" s="1">
        <v>0</v>
      </c>
      <c r="G309" s="1">
        <v>0</v>
      </c>
      <c r="H309" s="1">
        <v>0</v>
      </c>
      <c r="I309" s="1">
        <f>IF(H309 + I308 &lt; 0, H309 + I308, 0)</f>
        <v>0</v>
      </c>
      <c r="J309" s="1">
        <v>0</v>
      </c>
      <c r="K309" s="1">
        <f>IF(J309 + K308 &lt; 0, J309 + K308, 0)</f>
        <v>0</v>
      </c>
      <c r="L309" s="1">
        <v>0</v>
      </c>
      <c r="M309" s="1">
        <f>IF(L309 + M308 &lt; 0, L309 + M308, 0)</f>
        <v>0</v>
      </c>
      <c r="N309" s="1">
        <v>0</v>
      </c>
      <c r="O309" s="1">
        <f>IF(N309 + O308 &lt; 0, N309 + O308, 0)</f>
        <v>0</v>
      </c>
      <c r="P309" s="1">
        <v>0</v>
      </c>
      <c r="Q309" s="1">
        <f>IF(P309 + Q308 &lt; 0, P309 + Q308, 0)</f>
        <v>0</v>
      </c>
    </row>
    <row r="310" spans="1:17" s="1" customFormat="1">
      <c r="A310" s="3">
        <v>45748</v>
      </c>
      <c r="B310" s="1" t="s">
        <v>23</v>
      </c>
      <c r="C310" s="1">
        <v>15</v>
      </c>
      <c r="D310" s="1">
        <v>15</v>
      </c>
      <c r="E310" s="1">
        <v>0</v>
      </c>
      <c r="F310" s="1">
        <v>0</v>
      </c>
      <c r="G310" s="1">
        <v>0</v>
      </c>
      <c r="H310" s="1">
        <v>0</v>
      </c>
      <c r="I310" s="1">
        <f>IF(H310 + I309 &lt; 0, H310 + I309, 0)</f>
        <v>0</v>
      </c>
      <c r="J310" s="1">
        <v>0</v>
      </c>
      <c r="K310" s="1">
        <f>IF(J310 + K309 &lt; 0, J310 + K309, 0)</f>
        <v>0</v>
      </c>
      <c r="L310" s="1">
        <v>0</v>
      </c>
      <c r="M310" s="1">
        <f>IF(L310 + M309 &lt; 0, L310 + M309, 0)</f>
        <v>0</v>
      </c>
      <c r="N310" s="1">
        <v>0</v>
      </c>
      <c r="O310" s="1">
        <f>IF(N310 + O309 &lt; 0, N310 + O309, 0)</f>
        <v>0</v>
      </c>
      <c r="P310" s="1">
        <v>-32151.60679882456</v>
      </c>
      <c r="Q310" s="1">
        <f>IF(P310 + Q309 &lt; 0, P310 + Q309, 0)</f>
        <v>0</v>
      </c>
    </row>
    <row r="311" spans="1:17" s="1" customFormat="1">
      <c r="A311" s="3">
        <v>45749</v>
      </c>
      <c r="B311" s="1" t="s">
        <v>24</v>
      </c>
      <c r="C311" s="1">
        <v>14</v>
      </c>
      <c r="D311" s="1">
        <v>14</v>
      </c>
      <c r="E311" s="1">
        <v>0</v>
      </c>
      <c r="F311" s="1">
        <v>0</v>
      </c>
      <c r="G311" s="1">
        <v>0</v>
      </c>
      <c r="H311" s="1">
        <v>0</v>
      </c>
      <c r="I311" s="1">
        <f>IF(H311 + I310 &lt; 0, H311 + I310, 0)</f>
        <v>0</v>
      </c>
      <c r="J311" s="1">
        <v>0</v>
      </c>
      <c r="K311" s="1">
        <f>IF(J311 + K310 &lt; 0, J311 + K310, 0)</f>
        <v>0</v>
      </c>
      <c r="L311" s="1">
        <v>0</v>
      </c>
      <c r="M311" s="1">
        <f>IF(L311 + M310 &lt; 0, L311 + M310, 0)</f>
        <v>0</v>
      </c>
      <c r="N311" s="1">
        <v>0</v>
      </c>
      <c r="O311" s="1">
        <f>IF(N311 + O310 &lt; 0, N311 + O310, 0)</f>
        <v>0</v>
      </c>
      <c r="P311" s="1">
        <v>0</v>
      </c>
      <c r="Q311" s="1">
        <f>IF(P311 + Q310 &lt; 0, P311 + Q310, 0)</f>
        <v>0</v>
      </c>
    </row>
    <row r="312" spans="1:17" s="1" customFormat="1">
      <c r="A312" s="3">
        <v>45750</v>
      </c>
      <c r="B312" s="1" t="s">
        <v>25</v>
      </c>
      <c r="C312" s="1">
        <v>13</v>
      </c>
      <c r="D312" s="1">
        <v>13</v>
      </c>
      <c r="E312" s="1">
        <v>0</v>
      </c>
      <c r="F312" s="1">
        <v>0</v>
      </c>
      <c r="G312" s="1">
        <v>0</v>
      </c>
      <c r="H312" s="1">
        <v>0</v>
      </c>
      <c r="I312" s="1">
        <f>IF(H312 + I311 &lt; 0, H312 + I311, 0)</f>
        <v>0</v>
      </c>
      <c r="J312" s="1">
        <v>0</v>
      </c>
      <c r="K312" s="1">
        <f>IF(J312 + K311 &lt; 0, J312 + K311, 0)</f>
        <v>0</v>
      </c>
      <c r="L312" s="1">
        <v>1636864.794401015</v>
      </c>
      <c r="M312" s="1">
        <f>IF(L312 + M311 &lt; 0, L312 + M311, 0)</f>
        <v>0</v>
      </c>
      <c r="N312" s="1">
        <v>0</v>
      </c>
      <c r="O312" s="1">
        <f>IF(N312 + O311 &lt; 0, N312 + O311, 0)</f>
        <v>0</v>
      </c>
      <c r="P312" s="1">
        <v>0</v>
      </c>
      <c r="Q312" s="1">
        <f>IF(P312 + Q311 &lt; 0, P312 + Q311, 0)</f>
        <v>0</v>
      </c>
    </row>
    <row r="313" spans="1:17" s="1" customFormat="1">
      <c r="A313" s="3">
        <v>45751</v>
      </c>
      <c r="B313" s="1" t="s">
        <v>26</v>
      </c>
      <c r="C313" s="1">
        <v>12</v>
      </c>
      <c r="D313" s="1">
        <v>12</v>
      </c>
      <c r="E313" s="1">
        <v>0</v>
      </c>
      <c r="F313" s="1">
        <v>0</v>
      </c>
      <c r="G313" s="1">
        <v>0</v>
      </c>
      <c r="H313" s="1">
        <v>0</v>
      </c>
      <c r="I313" s="1">
        <f>IF(H313 + I312 &lt; 0, H313 + I312, 0)</f>
        <v>0</v>
      </c>
      <c r="J313" s="1">
        <v>0</v>
      </c>
      <c r="K313" s="1">
        <f>IF(J313 + K312 &lt; 0, J313 + K312, 0)</f>
        <v>0</v>
      </c>
      <c r="L313" s="1">
        <v>0</v>
      </c>
      <c r="M313" s="1">
        <f>IF(L313 + M312 &lt; 0, L313 + M312, 0)</f>
        <v>0</v>
      </c>
      <c r="N313" s="1">
        <v>0</v>
      </c>
      <c r="O313" s="1">
        <f>IF(N313 + O312 &lt; 0, N313 + O312, 0)</f>
        <v>0</v>
      </c>
      <c r="P313" s="1">
        <v>0</v>
      </c>
      <c r="Q313" s="1">
        <f>IF(P313 + Q312 &lt; 0, P313 + Q312, 0)</f>
        <v>0</v>
      </c>
    </row>
    <row r="314" spans="1:17" s="1" customFormat="1">
      <c r="A314" s="3">
        <v>45754</v>
      </c>
      <c r="B314" s="1" t="s">
        <v>22</v>
      </c>
      <c r="C314" s="1">
        <v>11</v>
      </c>
      <c r="D314" s="1">
        <v>11</v>
      </c>
      <c r="E314" s="1">
        <v>0</v>
      </c>
      <c r="F314" s="1">
        <v>0</v>
      </c>
      <c r="G314" s="1">
        <v>0</v>
      </c>
      <c r="H314" s="1">
        <v>0</v>
      </c>
      <c r="I314" s="1">
        <f>IF(H314 + I313 &lt; 0, H314 + I313, 0)</f>
        <v>0</v>
      </c>
      <c r="J314" s="1">
        <v>0</v>
      </c>
      <c r="K314" s="1">
        <f>IF(J314 + K313 &lt; 0, J314 + K313, 0)</f>
        <v>0</v>
      </c>
      <c r="L314" s="1">
        <v>0</v>
      </c>
      <c r="M314" s="1">
        <f>IF(L314 + M313 &lt; 0, L314 + M313, 0)</f>
        <v>0</v>
      </c>
      <c r="N314" s="1">
        <v>0</v>
      </c>
      <c r="O314" s="1">
        <f>IF(N314 + O313 &lt; 0, N314 + O313, 0)</f>
        <v>0</v>
      </c>
      <c r="P314" s="1">
        <v>0</v>
      </c>
      <c r="Q314" s="1">
        <f>IF(P314 + Q313 &lt; 0, P314 + Q313, 0)</f>
        <v>0</v>
      </c>
    </row>
    <row r="315" spans="1:17" s="1" customFormat="1">
      <c r="A315" s="3">
        <v>45755</v>
      </c>
      <c r="B315" s="1" t="s">
        <v>23</v>
      </c>
      <c r="C315" s="1">
        <v>10</v>
      </c>
      <c r="D315" s="1">
        <v>10</v>
      </c>
      <c r="E315" s="1">
        <v>0</v>
      </c>
      <c r="F315" s="1">
        <v>0</v>
      </c>
      <c r="G315" s="1">
        <v>0</v>
      </c>
      <c r="H315" s="1">
        <v>0</v>
      </c>
      <c r="I315" s="1">
        <f>IF(H315 + I314 &lt; 0, H315 + I314, 0)</f>
        <v>0</v>
      </c>
      <c r="J315" s="1">
        <v>0</v>
      </c>
      <c r="K315" s="1">
        <f>IF(J315 + K314 &lt; 0, J315 + K314, 0)</f>
        <v>0</v>
      </c>
      <c r="L315" s="1">
        <v>0</v>
      </c>
      <c r="M315" s="1">
        <f>IF(L315 + M314 &lt; 0, L315 + M314, 0)</f>
        <v>0</v>
      </c>
      <c r="N315" s="1">
        <v>0</v>
      </c>
      <c r="O315" s="1">
        <f>IF(N315 + O314 &lt; 0, N315 + O314, 0)</f>
        <v>0</v>
      </c>
      <c r="P315" s="1">
        <v>-2897064.33287445</v>
      </c>
      <c r="Q315" s="1">
        <f>IF(P315 + Q314 &lt; 0, P315 + Q314, 0)</f>
        <v>0</v>
      </c>
    </row>
    <row r="316" spans="1:17" s="1" customFormat="1">
      <c r="A316" s="3">
        <v>45756</v>
      </c>
      <c r="B316" s="1" t="s">
        <v>24</v>
      </c>
      <c r="C316" s="1">
        <v>9</v>
      </c>
      <c r="D316" s="1">
        <v>9</v>
      </c>
      <c r="E316" s="1">
        <v>0</v>
      </c>
      <c r="F316" s="1">
        <v>0</v>
      </c>
      <c r="G316" s="1">
        <v>0</v>
      </c>
      <c r="H316" s="1">
        <v>0</v>
      </c>
      <c r="I316" s="1">
        <f>IF(H316 + I315 &lt; 0, H316 + I315, 0)</f>
        <v>0</v>
      </c>
      <c r="J316" s="1">
        <v>0</v>
      </c>
      <c r="K316" s="1">
        <f>IF(J316 + K315 &lt; 0, J316 + K315, 0)</f>
        <v>0</v>
      </c>
      <c r="L316" s="1">
        <v>-5644942.295765784</v>
      </c>
      <c r="M316" s="1">
        <f>IF(L316 + M315 &lt; 0, L316 + M315, 0)</f>
        <v>0</v>
      </c>
      <c r="N316" s="1">
        <v>0</v>
      </c>
      <c r="O316" s="1">
        <f>IF(N316 + O315 &lt; 0, N316 + O315, 0)</f>
        <v>0</v>
      </c>
      <c r="P316" s="1">
        <v>0</v>
      </c>
      <c r="Q316" s="1">
        <f>IF(P316 + Q315 &lt; 0, P316 + Q315, 0)</f>
        <v>0</v>
      </c>
    </row>
    <row r="317" spans="1:17" s="1" customFormat="1">
      <c r="A317" s="3">
        <v>45758</v>
      </c>
      <c r="B317" s="1" t="s">
        <v>26</v>
      </c>
      <c r="C317" s="1">
        <v>8</v>
      </c>
      <c r="D317" s="1">
        <v>8</v>
      </c>
      <c r="E317" s="1">
        <v>0</v>
      </c>
      <c r="F317" s="1">
        <v>0</v>
      </c>
      <c r="G317" s="1">
        <v>0</v>
      </c>
      <c r="H317" s="1">
        <v>0</v>
      </c>
      <c r="I317" s="1">
        <f>IF(H317 + I316 &lt; 0, H317 + I316, 0)</f>
        <v>0</v>
      </c>
      <c r="J317" s="1">
        <v>0</v>
      </c>
      <c r="K317" s="1">
        <f>IF(J317 + K316 &lt; 0, J317 + K316, 0)</f>
        <v>0</v>
      </c>
      <c r="L317" s="1">
        <v>0</v>
      </c>
      <c r="M317" s="1">
        <f>IF(L317 + M316 &lt; 0, L317 + M316, 0)</f>
        <v>0</v>
      </c>
      <c r="N317" s="1">
        <v>0</v>
      </c>
      <c r="O317" s="1">
        <f>IF(N317 + O316 &lt; 0, N317 + O316, 0)</f>
        <v>0</v>
      </c>
      <c r="P317" s="1">
        <v>0</v>
      </c>
      <c r="Q317" s="1">
        <f>IF(P317 + Q316 &lt; 0, P317 + Q316, 0)</f>
        <v>0</v>
      </c>
    </row>
    <row r="318" spans="1:17" s="1" customFormat="1">
      <c r="A318" s="3">
        <v>45762</v>
      </c>
      <c r="B318" s="1" t="s">
        <v>23</v>
      </c>
      <c r="C318" s="1">
        <v>7</v>
      </c>
      <c r="D318" s="1">
        <v>7</v>
      </c>
      <c r="E318" s="1">
        <v>0</v>
      </c>
      <c r="F318" s="1">
        <v>0</v>
      </c>
      <c r="G318" s="1">
        <v>0</v>
      </c>
      <c r="H318" s="1">
        <v>0</v>
      </c>
      <c r="I318" s="1">
        <f>IF(H318 + I317 &lt; 0, H318 + I317, 0)</f>
        <v>0</v>
      </c>
      <c r="J318" s="1">
        <v>0</v>
      </c>
      <c r="K318" s="1">
        <f>IF(J318 + K317 &lt; 0, J318 + K317, 0)</f>
        <v>0</v>
      </c>
      <c r="L318" s="1">
        <v>0</v>
      </c>
      <c r="M318" s="1">
        <f>IF(L318 + M317 &lt; 0, L318 + M317, 0)</f>
        <v>0</v>
      </c>
      <c r="N318" s="1">
        <v>0</v>
      </c>
      <c r="O318" s="1">
        <f>IF(N318 + O317 &lt; 0, N318 + O317, 0)</f>
        <v>0</v>
      </c>
      <c r="P318" s="1">
        <v>311655.2704228431</v>
      </c>
      <c r="Q318" s="1">
        <f>IF(P318 + Q317 &lt; 0, P318 + Q317, 0)</f>
        <v>0</v>
      </c>
    </row>
    <row r="319" spans="1:17" s="1" customFormat="1">
      <c r="A319" s="3">
        <v>45763</v>
      </c>
      <c r="B319" s="1" t="s">
        <v>24</v>
      </c>
      <c r="C319" s="1">
        <v>6</v>
      </c>
      <c r="D319" s="1">
        <v>6</v>
      </c>
      <c r="E319" s="1">
        <v>0</v>
      </c>
      <c r="F319" s="1">
        <v>0</v>
      </c>
      <c r="G319" s="1">
        <v>0</v>
      </c>
      <c r="H319" s="1">
        <v>0</v>
      </c>
      <c r="I319" s="1">
        <f>IF(H319 + I318 &lt; 0, H319 + I318, 0)</f>
        <v>0</v>
      </c>
      <c r="J319" s="1">
        <v>0</v>
      </c>
      <c r="K319" s="1">
        <f>IF(J319 + K318 &lt; 0, J319 + K318, 0)</f>
        <v>0</v>
      </c>
      <c r="L319" s="1">
        <v>0</v>
      </c>
      <c r="M319" s="1">
        <f>IF(L319 + M318 &lt; 0, L319 + M318, 0)</f>
        <v>0</v>
      </c>
      <c r="N319" s="1">
        <v>0</v>
      </c>
      <c r="O319" s="1">
        <f>IF(N319 + O318 &lt; 0, N319 + O318, 0)</f>
        <v>0</v>
      </c>
      <c r="P319" s="1">
        <v>0</v>
      </c>
      <c r="Q319" s="1">
        <f>IF(P319 + Q318 &lt; 0, P319 + Q318, 0)</f>
        <v>0</v>
      </c>
    </row>
    <row r="320" spans="1:17" s="1" customFormat="1">
      <c r="A320" s="3">
        <v>45764</v>
      </c>
      <c r="B320" s="1" t="s">
        <v>25</v>
      </c>
      <c r="C320" s="1">
        <v>5</v>
      </c>
      <c r="D320" s="1">
        <v>5</v>
      </c>
      <c r="E320" s="1">
        <v>0</v>
      </c>
      <c r="F320" s="1">
        <v>0</v>
      </c>
      <c r="G320" s="1">
        <v>0</v>
      </c>
      <c r="H320" s="1">
        <v>0</v>
      </c>
      <c r="I320" s="1">
        <f>IF(H320 + I319 &lt; 0, H320 + I319, 0)</f>
        <v>0</v>
      </c>
      <c r="J320" s="1">
        <v>0</v>
      </c>
      <c r="K320" s="1">
        <f>IF(J320 + K319 &lt; 0, J320 + K319, 0)</f>
        <v>0</v>
      </c>
      <c r="L320" s="1">
        <v>-304363.8188760572</v>
      </c>
      <c r="M320" s="1">
        <f>IF(L320 + M319 &lt; 0, L320 + M319, 0)</f>
        <v>0</v>
      </c>
      <c r="N320" s="1">
        <v>0</v>
      </c>
      <c r="O320" s="1">
        <f>IF(N320 + O319 &lt; 0, N320 + O319, 0)</f>
        <v>0</v>
      </c>
      <c r="P320" s="1">
        <v>0</v>
      </c>
      <c r="Q320" s="1">
        <f>IF(P320 + Q319 &lt; 0, P320 + Q319, 0)</f>
        <v>0</v>
      </c>
    </row>
    <row r="321" spans="1:17" s="1" customFormat="1">
      <c r="A321" s="3">
        <v>45768</v>
      </c>
      <c r="B321" s="1" t="s">
        <v>22</v>
      </c>
      <c r="C321" s="1">
        <v>4</v>
      </c>
      <c r="D321" s="1">
        <v>4</v>
      </c>
      <c r="E321" s="1">
        <v>0</v>
      </c>
      <c r="F321" s="1">
        <v>0</v>
      </c>
      <c r="G321" s="1">
        <v>0</v>
      </c>
      <c r="H321" s="1">
        <v>0</v>
      </c>
      <c r="I321" s="1">
        <f>IF(H321 + I320 &lt; 0, H321 + I320, 0)</f>
        <v>0</v>
      </c>
      <c r="J321" s="1">
        <v>0</v>
      </c>
      <c r="K321" s="1">
        <f>IF(J321 + K320 &lt; 0, J321 + K320, 0)</f>
        <v>0</v>
      </c>
      <c r="L321" s="1">
        <v>0</v>
      </c>
      <c r="M321" s="1">
        <f>IF(L321 + M320 &lt; 0, L321 + M320, 0)</f>
        <v>0</v>
      </c>
      <c r="N321" s="1">
        <v>0</v>
      </c>
      <c r="O321" s="1">
        <f>IF(N321 + O320 &lt; 0, N321 + O320, 0)</f>
        <v>0</v>
      </c>
      <c r="P321" s="1">
        <v>0</v>
      </c>
      <c r="Q321" s="1">
        <f>IF(P321 + Q320 &lt; 0, P321 + Q320, 0)</f>
        <v>0</v>
      </c>
    </row>
    <row r="322" spans="1:17" s="1" customFormat="1">
      <c r="A322" s="3">
        <v>45769</v>
      </c>
      <c r="B322" s="1" t="s">
        <v>23</v>
      </c>
      <c r="C322" s="1">
        <v>3</v>
      </c>
      <c r="D322" s="1">
        <v>3</v>
      </c>
      <c r="E322" s="1">
        <v>0</v>
      </c>
      <c r="F322" s="1">
        <v>0</v>
      </c>
      <c r="G322" s="1">
        <v>0</v>
      </c>
      <c r="H322" s="1">
        <v>0</v>
      </c>
      <c r="I322" s="1">
        <f>IF(H322 + I321 &lt; 0, H322 + I321, 0)</f>
        <v>0</v>
      </c>
      <c r="J322" s="1">
        <v>0</v>
      </c>
      <c r="K322" s="1">
        <f>IF(J322 + K321 &lt; 0, J322 + K321, 0)</f>
        <v>0</v>
      </c>
      <c r="L322" s="1">
        <v>0</v>
      </c>
      <c r="M322" s="1">
        <f>IF(L322 + M321 &lt; 0, L322 + M321, 0)</f>
        <v>0</v>
      </c>
      <c r="N322" s="1">
        <v>0</v>
      </c>
      <c r="O322" s="1">
        <f>IF(N322 + O321 &lt; 0, N322 + O321, 0)</f>
        <v>0</v>
      </c>
      <c r="P322" s="1">
        <v>-552622.6586232216</v>
      </c>
      <c r="Q322" s="1">
        <f>IF(P322 + Q321 &lt; 0, P322 + Q321, 0)</f>
        <v>0</v>
      </c>
    </row>
    <row r="323" spans="1:17" s="1" customFormat="1">
      <c r="A323" s="3">
        <v>45770</v>
      </c>
      <c r="B323" s="1" t="s">
        <v>24</v>
      </c>
      <c r="C323" s="1">
        <v>2</v>
      </c>
      <c r="D323" s="1">
        <v>2</v>
      </c>
      <c r="E323" s="1">
        <v>0</v>
      </c>
      <c r="F323" s="1">
        <v>0</v>
      </c>
      <c r="G323" s="1">
        <v>0</v>
      </c>
      <c r="H323" s="1">
        <v>0</v>
      </c>
      <c r="I323" s="1">
        <f>IF(H323 + I322 &lt; 0, H323 + I322, 0)</f>
        <v>0</v>
      </c>
      <c r="J323" s="1">
        <v>0</v>
      </c>
      <c r="K323" s="1">
        <f>IF(J323 + K322 &lt; 0, J323 + K322, 0)</f>
        <v>0</v>
      </c>
      <c r="L323" s="1">
        <v>0</v>
      </c>
      <c r="M323" s="1">
        <f>IF(L323 + M322 &lt; 0, L323 + M322, 0)</f>
        <v>0</v>
      </c>
      <c r="N323" s="1">
        <v>0</v>
      </c>
      <c r="O323" s="1">
        <f>IF(N323 + O322 &lt; 0, N323 + O322, 0)</f>
        <v>0</v>
      </c>
      <c r="P323" s="1">
        <v>0</v>
      </c>
      <c r="Q323" s="1">
        <f>IF(P323 + Q322 &lt; 0, P323 + Q322, 0)</f>
        <v>0</v>
      </c>
    </row>
    <row r="324" spans="1:17" s="1" customFormat="1">
      <c r="A324" s="3">
        <v>45771</v>
      </c>
      <c r="B324" s="1" t="s">
        <v>25</v>
      </c>
      <c r="C324" s="1">
        <v>1</v>
      </c>
      <c r="D324" s="1">
        <v>1</v>
      </c>
      <c r="E324" s="1">
        <v>0</v>
      </c>
      <c r="F324" s="1">
        <v>0</v>
      </c>
      <c r="G324" s="1">
        <v>0</v>
      </c>
      <c r="H324" s="1">
        <v>0</v>
      </c>
      <c r="I324" s="1">
        <f>IF(H324 + I323 &lt; 0, H324 + I323, 0)</f>
        <v>0</v>
      </c>
      <c r="J324" s="1">
        <v>0</v>
      </c>
      <c r="K324" s="1">
        <f>IF(J324 + K323 &lt; 0, J324 + K323, 0)</f>
        <v>0</v>
      </c>
      <c r="L324" s="1">
        <v>996517.2074075254</v>
      </c>
      <c r="M324" s="1">
        <f>IF(L324 + M323 &lt; 0, L324 + M323, 0)</f>
        <v>0</v>
      </c>
      <c r="N324" s="1">
        <v>0</v>
      </c>
      <c r="O324" s="1">
        <f>IF(N324 + O323 &lt; 0, N324 + O323, 0)</f>
        <v>0</v>
      </c>
      <c r="P324" s="1">
        <v>0</v>
      </c>
      <c r="Q324" s="1">
        <f>IF(P324 + Q323 &lt; 0, P324 + Q323, 0)</f>
        <v>0</v>
      </c>
    </row>
    <row r="325" spans="1:17" s="1" customFormat="1">
      <c r="A325" s="3">
        <v>45772</v>
      </c>
      <c r="B325" s="1" t="s">
        <v>26</v>
      </c>
      <c r="C325" s="1">
        <v>24</v>
      </c>
      <c r="D325" s="1">
        <v>24</v>
      </c>
      <c r="E325" s="1">
        <v>0</v>
      </c>
      <c r="F325" s="1">
        <v>0</v>
      </c>
      <c r="G325" s="1">
        <v>0</v>
      </c>
      <c r="H325" s="1">
        <v>0</v>
      </c>
      <c r="I325" s="1">
        <f>IF(H325 + I324 &lt; 0, H325 + I324, 0)</f>
        <v>0</v>
      </c>
      <c r="J325" s="1">
        <v>0</v>
      </c>
      <c r="K325" s="1">
        <f>IF(J325 + K324 &lt; 0, J325 + K324, 0)</f>
        <v>0</v>
      </c>
      <c r="L325" s="1">
        <v>0</v>
      </c>
      <c r="M325" s="1">
        <f>IF(L325 + M324 &lt; 0, L325 + M324, 0)</f>
        <v>0</v>
      </c>
      <c r="N325" s="1">
        <v>0</v>
      </c>
      <c r="O325" s="1">
        <f>IF(N325 + O324 &lt; 0, N325 + O324, 0)</f>
        <v>0</v>
      </c>
      <c r="P325" s="1">
        <v>0</v>
      </c>
      <c r="Q325" s="1">
        <f>IF(P325 + Q324 &lt; 0, P325 + Q324, 0)</f>
        <v>0</v>
      </c>
    </row>
    <row r="326" spans="1:17" s="1" customFormat="1">
      <c r="A326" s="3">
        <v>45775</v>
      </c>
      <c r="B326" s="1" t="s">
        <v>22</v>
      </c>
      <c r="C326" s="1">
        <v>23</v>
      </c>
      <c r="D326" s="1">
        <v>23</v>
      </c>
      <c r="E326" s="1">
        <v>0</v>
      </c>
      <c r="F326" s="1">
        <v>0</v>
      </c>
      <c r="G326" s="1">
        <v>0</v>
      </c>
      <c r="H326" s="1">
        <v>0</v>
      </c>
      <c r="I326" s="1">
        <f>IF(H326 + I325 &lt; 0, H326 + I325, 0)</f>
        <v>0</v>
      </c>
      <c r="J326" s="1">
        <v>0</v>
      </c>
      <c r="K326" s="1">
        <f>IF(J326 + K325 &lt; 0, J326 + K325, 0)</f>
        <v>0</v>
      </c>
      <c r="L326" s="1">
        <v>0</v>
      </c>
      <c r="M326" s="1">
        <f>IF(L326 + M325 &lt; 0, L326 + M325, 0)</f>
        <v>0</v>
      </c>
      <c r="N326" s="1">
        <v>0</v>
      </c>
      <c r="O326" s="1">
        <f>IF(N326 + O325 &lt; 0, N326 + O325, 0)</f>
        <v>0</v>
      </c>
      <c r="P326" s="1">
        <v>0</v>
      </c>
      <c r="Q326" s="1">
        <f>IF(P326 + Q325 &lt; 0, P326 + Q325, 0)</f>
        <v>0</v>
      </c>
    </row>
    <row r="327" spans="1:17" s="1" customFormat="1">
      <c r="A327" s="3">
        <v>45776</v>
      </c>
      <c r="B327" s="1" t="s">
        <v>23</v>
      </c>
      <c r="C327" s="1">
        <v>22</v>
      </c>
      <c r="D327" s="1">
        <v>22</v>
      </c>
      <c r="E327" s="1">
        <v>0</v>
      </c>
      <c r="F327" s="1">
        <v>0</v>
      </c>
      <c r="G327" s="1">
        <v>0</v>
      </c>
      <c r="H327" s="1">
        <v>0</v>
      </c>
      <c r="I327" s="1">
        <f>IF(H327 + I326 &lt; 0, H327 + I326, 0)</f>
        <v>0</v>
      </c>
      <c r="J327" s="1">
        <v>0</v>
      </c>
      <c r="K327" s="1">
        <f>IF(J327 + K326 &lt; 0, J327 + K326, 0)</f>
        <v>0</v>
      </c>
      <c r="L327" s="1">
        <v>0</v>
      </c>
      <c r="M327" s="1">
        <f>IF(L327 + M326 &lt; 0, L327 + M326, 0)</f>
        <v>0</v>
      </c>
      <c r="N327" s="1">
        <v>0</v>
      </c>
      <c r="O327" s="1">
        <f>IF(N327 + O326 &lt; 0, N327 + O326, 0)</f>
        <v>0</v>
      </c>
      <c r="P327" s="1">
        <v>-1007885.593938618</v>
      </c>
      <c r="Q327" s="1">
        <f>IF(P327 + Q326 &lt; 0, P327 + Q326, 0)</f>
        <v>0</v>
      </c>
    </row>
    <row r="328" spans="1:17" s="1" customFormat="1">
      <c r="A328" s="3">
        <v>45777</v>
      </c>
      <c r="B328" s="1" t="s">
        <v>24</v>
      </c>
      <c r="C328" s="1">
        <v>21</v>
      </c>
      <c r="D328" s="1">
        <v>21</v>
      </c>
      <c r="E328" s="1">
        <v>0</v>
      </c>
      <c r="F328" s="1">
        <v>0</v>
      </c>
      <c r="G328" s="1">
        <v>0</v>
      </c>
      <c r="H328" s="1">
        <v>0</v>
      </c>
      <c r="I328" s="1">
        <f>IF(H328 + I327 &lt; 0, H328 + I327, 0)</f>
        <v>0</v>
      </c>
      <c r="J328" s="1">
        <v>0</v>
      </c>
      <c r="K328" s="1">
        <f>IF(J328 + K327 &lt; 0, J328 + K327, 0)</f>
        <v>0</v>
      </c>
      <c r="L328" s="1">
        <v>1313311.628445074</v>
      </c>
      <c r="M328" s="1">
        <f>IF(L328 + M327 &lt; 0, L328 + M327, 0)</f>
        <v>0</v>
      </c>
      <c r="N328" s="1">
        <v>0</v>
      </c>
      <c r="O328" s="1">
        <f>IF(N328 + O327 &lt; 0, N328 + O327, 0)</f>
        <v>0</v>
      </c>
      <c r="P328" s="1">
        <v>0</v>
      </c>
      <c r="Q328" s="1">
        <f>IF(P328 + Q327 &lt; 0, P328 + Q327, 0)</f>
        <v>0</v>
      </c>
    </row>
    <row r="329" spans="1:17" s="1" customFormat="1">
      <c r="A329" s="3">
        <v>45779</v>
      </c>
      <c r="B329" s="1" t="s">
        <v>26</v>
      </c>
      <c r="C329" s="1">
        <v>20</v>
      </c>
      <c r="D329" s="1">
        <v>20</v>
      </c>
      <c r="E329" s="1">
        <v>0</v>
      </c>
      <c r="F329" s="1">
        <v>0</v>
      </c>
      <c r="G329" s="1">
        <v>0</v>
      </c>
      <c r="H329" s="1">
        <v>0</v>
      </c>
      <c r="I329" s="1">
        <f>IF(H329 + I328 &lt; 0, H329 + I328, 0)</f>
        <v>0</v>
      </c>
      <c r="J329" s="1">
        <v>0</v>
      </c>
      <c r="K329" s="1">
        <f>IF(J329 + K328 &lt; 0, J329 + K328, 0)</f>
        <v>0</v>
      </c>
      <c r="L329" s="1">
        <v>0</v>
      </c>
      <c r="M329" s="1">
        <f>IF(L329 + M328 &lt; 0, L329 + M328, 0)</f>
        <v>0</v>
      </c>
      <c r="N329" s="1">
        <v>0</v>
      </c>
      <c r="O329" s="1">
        <f>IF(N329 + O328 &lt; 0, N329 + O328, 0)</f>
        <v>0</v>
      </c>
      <c r="P329" s="1">
        <v>0</v>
      </c>
      <c r="Q329" s="1">
        <f>IF(P329 + Q328 &lt; 0, P329 + Q328, 0)</f>
        <v>0</v>
      </c>
    </row>
    <row r="330" spans="1:17" s="1" customFormat="1">
      <c r="A330" s="3">
        <v>45782</v>
      </c>
      <c r="B330" s="1" t="s">
        <v>22</v>
      </c>
      <c r="C330" s="1">
        <v>19</v>
      </c>
      <c r="D330" s="1">
        <v>19</v>
      </c>
      <c r="E330" s="1">
        <v>0</v>
      </c>
      <c r="F330" s="1">
        <v>0</v>
      </c>
      <c r="G330" s="1">
        <v>0</v>
      </c>
      <c r="H330" s="1">
        <v>0</v>
      </c>
      <c r="I330" s="1">
        <f>IF(H330 + I329 &lt; 0, H330 + I329, 0)</f>
        <v>0</v>
      </c>
      <c r="J330" s="1">
        <v>0</v>
      </c>
      <c r="K330" s="1">
        <f>IF(J330 + K329 &lt; 0, J330 + K329, 0)</f>
        <v>0</v>
      </c>
      <c r="L330" s="1">
        <v>0</v>
      </c>
      <c r="M330" s="1">
        <f>IF(L330 + M329 &lt; 0, L330 + M329, 0)</f>
        <v>0</v>
      </c>
      <c r="N330" s="1">
        <v>0</v>
      </c>
      <c r="O330" s="1">
        <f>IF(N330 + O329 &lt; 0, N330 + O329, 0)</f>
        <v>0</v>
      </c>
      <c r="P330" s="1">
        <v>0</v>
      </c>
      <c r="Q330" s="1">
        <f>IF(P330 + Q329 &lt; 0, P330 + Q329, 0)</f>
        <v>0</v>
      </c>
    </row>
    <row r="331" spans="1:17" s="1" customFormat="1">
      <c r="A331" s="3">
        <v>45783</v>
      </c>
      <c r="B331" s="1" t="s">
        <v>23</v>
      </c>
      <c r="C331" s="1">
        <v>18</v>
      </c>
      <c r="D331" s="1">
        <v>18</v>
      </c>
      <c r="E331" s="1">
        <v>0</v>
      </c>
      <c r="F331" s="1">
        <v>0</v>
      </c>
      <c r="G331" s="1">
        <v>0</v>
      </c>
      <c r="H331" s="1">
        <v>0</v>
      </c>
      <c r="I331" s="1">
        <f>IF(H331 + I330 &lt; 0, H331 + I330, 0)</f>
        <v>0</v>
      </c>
      <c r="J331" s="1">
        <v>0</v>
      </c>
      <c r="K331" s="1">
        <f>IF(J331 + K330 &lt; 0, J331 + K330, 0)</f>
        <v>0</v>
      </c>
      <c r="L331" s="1">
        <v>0</v>
      </c>
      <c r="M331" s="1">
        <f>IF(L331 + M330 &lt; 0, L331 + M330, 0)</f>
        <v>0</v>
      </c>
      <c r="N331" s="1">
        <v>0</v>
      </c>
      <c r="O331" s="1">
        <f>IF(N331 + O330 &lt; 0, N331 + O330, 0)</f>
        <v>0</v>
      </c>
      <c r="P331" s="1">
        <v>2937858.808673217</v>
      </c>
      <c r="Q331" s="1">
        <f>IF(P331 + Q330 &lt; 0, P331 + Q330, 0)</f>
        <v>0</v>
      </c>
    </row>
    <row r="332" spans="1:17" s="1" customFormat="1">
      <c r="A332" s="3">
        <v>45784</v>
      </c>
      <c r="B332" s="1" t="s">
        <v>24</v>
      </c>
      <c r="C332" s="1">
        <v>17</v>
      </c>
      <c r="D332" s="1">
        <v>17</v>
      </c>
      <c r="E332" s="1">
        <v>0</v>
      </c>
      <c r="F332" s="1">
        <v>0</v>
      </c>
      <c r="G332" s="1">
        <v>0</v>
      </c>
      <c r="H332" s="1">
        <v>0</v>
      </c>
      <c r="I332" s="1">
        <f>IF(H332 + I331 &lt; 0, H332 + I331, 0)</f>
        <v>0</v>
      </c>
      <c r="J332" s="1">
        <v>0</v>
      </c>
      <c r="K332" s="1">
        <f>IF(J332 + K331 &lt; 0, J332 + K331, 0)</f>
        <v>0</v>
      </c>
      <c r="L332" s="1">
        <v>0</v>
      </c>
      <c r="M332" s="1">
        <f>IF(L332 + M331 &lt; 0, L332 + M331, 0)</f>
        <v>0</v>
      </c>
      <c r="N332" s="1">
        <v>0</v>
      </c>
      <c r="O332" s="1">
        <f>IF(N332 + O331 &lt; 0, N332 + O331, 0)</f>
        <v>0</v>
      </c>
      <c r="P332" s="1">
        <v>0</v>
      </c>
      <c r="Q332" s="1">
        <f>IF(P332 + Q331 &lt; 0, P332 + Q331, 0)</f>
        <v>0</v>
      </c>
    </row>
    <row r="333" spans="1:17" s="1" customFormat="1">
      <c r="A333" s="3">
        <v>45785</v>
      </c>
      <c r="B333" s="1" t="s">
        <v>25</v>
      </c>
      <c r="C333" s="1">
        <v>16</v>
      </c>
      <c r="D333" s="1">
        <v>16</v>
      </c>
      <c r="E333" s="1">
        <v>0</v>
      </c>
      <c r="F333" s="1">
        <v>0</v>
      </c>
      <c r="G333" s="1">
        <v>0</v>
      </c>
      <c r="H333" s="1">
        <v>0</v>
      </c>
      <c r="I333" s="1">
        <f>IF(H333 + I332 &lt; 0, H333 + I332, 0)</f>
        <v>0</v>
      </c>
      <c r="J333" s="1">
        <v>0</v>
      </c>
      <c r="K333" s="1">
        <f>IF(J333 + K332 &lt; 0, J333 + K332, 0)</f>
        <v>0</v>
      </c>
      <c r="L333" s="1">
        <v>1930644.609104344</v>
      </c>
      <c r="M333" s="1">
        <f>IF(L333 + M332 &lt; 0, L333 + M332, 0)</f>
        <v>0</v>
      </c>
      <c r="N333" s="1">
        <v>0</v>
      </c>
      <c r="O333" s="1">
        <f>IF(N333 + O332 &lt; 0, N333 + O332, 0)</f>
        <v>0</v>
      </c>
      <c r="P333" s="1">
        <v>0</v>
      </c>
      <c r="Q333" s="1">
        <f>IF(P333 + Q332 &lt; 0, P333 + Q332, 0)</f>
        <v>0</v>
      </c>
    </row>
    <row r="334" spans="1:17" s="1" customFormat="1">
      <c r="A334" s="3">
        <v>45786</v>
      </c>
      <c r="B334" s="1" t="s">
        <v>26</v>
      </c>
      <c r="C334" s="1">
        <v>15</v>
      </c>
      <c r="D334" s="1">
        <v>15</v>
      </c>
      <c r="E334" s="1">
        <v>0</v>
      </c>
      <c r="F334" s="1">
        <v>0</v>
      </c>
      <c r="G334" s="1">
        <v>0</v>
      </c>
      <c r="H334" s="1">
        <v>0</v>
      </c>
      <c r="I334" s="1">
        <f>IF(H334 + I333 &lt; 0, H334 + I333, 0)</f>
        <v>0</v>
      </c>
      <c r="J334" s="1">
        <v>0</v>
      </c>
      <c r="K334" s="1">
        <f>IF(J334 + K333 &lt; 0, J334 + K333, 0)</f>
        <v>0</v>
      </c>
      <c r="L334" s="1">
        <v>0</v>
      </c>
      <c r="M334" s="1">
        <f>IF(L334 + M333 &lt; 0, L334 + M333, 0)</f>
        <v>0</v>
      </c>
      <c r="N334" s="1">
        <v>0</v>
      </c>
      <c r="O334" s="1">
        <f>IF(N334 + O333 &lt; 0, N334 + O333, 0)</f>
        <v>0</v>
      </c>
      <c r="P334" s="1">
        <v>0</v>
      </c>
      <c r="Q334" s="1">
        <f>IF(P334 + Q333 &lt; 0, P334 + Q333, 0)</f>
        <v>0</v>
      </c>
    </row>
    <row r="335" spans="1:17" s="1" customFormat="1">
      <c r="A335" s="3">
        <v>45789</v>
      </c>
      <c r="B335" s="1" t="s">
        <v>22</v>
      </c>
      <c r="C335" s="1">
        <v>14</v>
      </c>
      <c r="D335" s="1">
        <v>14</v>
      </c>
      <c r="E335" s="1">
        <v>0</v>
      </c>
      <c r="F335" s="1">
        <v>0</v>
      </c>
      <c r="G335" s="1">
        <v>0</v>
      </c>
      <c r="H335" s="1">
        <v>0</v>
      </c>
      <c r="I335" s="1">
        <f>IF(H335 + I334 &lt; 0, H335 + I334, 0)</f>
        <v>0</v>
      </c>
      <c r="J335" s="1">
        <v>0</v>
      </c>
      <c r="K335" s="1">
        <f>IF(J335 + K334 &lt; 0, J335 + K334, 0)</f>
        <v>0</v>
      </c>
      <c r="L335" s="1">
        <v>0</v>
      </c>
      <c r="M335" s="1">
        <f>IF(L335 + M334 &lt; 0, L335 + M334, 0)</f>
        <v>0</v>
      </c>
      <c r="N335" s="1">
        <v>0</v>
      </c>
      <c r="O335" s="1">
        <f>IF(N335 + O334 &lt; 0, N335 + O334, 0)</f>
        <v>0</v>
      </c>
      <c r="P335" s="1">
        <v>0</v>
      </c>
      <c r="Q335" s="1">
        <f>IF(P335 + Q334 &lt; 0, P335 + Q334, 0)</f>
        <v>0</v>
      </c>
    </row>
    <row r="336" spans="1:17" s="1" customFormat="1">
      <c r="A336" s="3">
        <v>45790</v>
      </c>
      <c r="B336" s="1" t="s">
        <v>23</v>
      </c>
      <c r="C336" s="1">
        <v>13</v>
      </c>
      <c r="D336" s="1">
        <v>13</v>
      </c>
      <c r="E336" s="1">
        <v>0</v>
      </c>
      <c r="F336" s="1">
        <v>0</v>
      </c>
      <c r="G336" s="1">
        <v>0</v>
      </c>
      <c r="H336" s="1">
        <v>0</v>
      </c>
      <c r="I336" s="1">
        <f>IF(H336 + I335 &lt; 0, H336 + I335, 0)</f>
        <v>0</v>
      </c>
      <c r="J336" s="1">
        <v>0</v>
      </c>
      <c r="K336" s="1">
        <f>IF(J336 + K335 &lt; 0, J336 + K335, 0)</f>
        <v>0</v>
      </c>
      <c r="L336" s="1">
        <v>0</v>
      </c>
      <c r="M336" s="1">
        <f>IF(L336 + M335 &lt; 0, L336 + M335, 0)</f>
        <v>0</v>
      </c>
      <c r="N336" s="1">
        <v>0</v>
      </c>
      <c r="O336" s="1">
        <f>IF(N336 + O335 &lt; 0, N336 + O335, 0)</f>
        <v>0</v>
      </c>
      <c r="P336" s="1">
        <v>-3333241.939840392</v>
      </c>
      <c r="Q336" s="1">
        <f>IF(P336 + Q335 &lt; 0, P336 + Q335, 0)</f>
        <v>0</v>
      </c>
    </row>
    <row r="337" spans="1:17" s="1" customFormat="1">
      <c r="A337" s="3">
        <v>45791</v>
      </c>
      <c r="B337" s="1" t="s">
        <v>24</v>
      </c>
      <c r="C337" s="1">
        <v>12</v>
      </c>
      <c r="D337" s="1">
        <v>12</v>
      </c>
      <c r="E337" s="1">
        <v>0</v>
      </c>
      <c r="F337" s="1">
        <v>0</v>
      </c>
      <c r="G337" s="1">
        <v>0</v>
      </c>
      <c r="H337" s="1">
        <v>0</v>
      </c>
      <c r="I337" s="1">
        <f>IF(H337 + I336 &lt; 0, H337 + I336, 0)</f>
        <v>0</v>
      </c>
      <c r="J337" s="1">
        <v>0</v>
      </c>
      <c r="K337" s="1">
        <f>IF(J337 + K336 &lt; 0, J337 + K336, 0)</f>
        <v>0</v>
      </c>
      <c r="L337" s="1">
        <v>0</v>
      </c>
      <c r="M337" s="1">
        <f>IF(L337 + M336 &lt; 0, L337 + M336, 0)</f>
        <v>0</v>
      </c>
      <c r="N337" s="1">
        <v>0</v>
      </c>
      <c r="O337" s="1">
        <f>IF(N337 + O336 &lt; 0, N337 + O336, 0)</f>
        <v>0</v>
      </c>
      <c r="P337" s="1">
        <v>0</v>
      </c>
      <c r="Q337" s="1">
        <f>IF(P337 + Q336 &lt; 0, P337 + Q336, 0)</f>
        <v>0</v>
      </c>
    </row>
    <row r="338" spans="1:17" s="1" customFormat="1">
      <c r="A338" s="3">
        <v>45792</v>
      </c>
      <c r="B338" s="1" t="s">
        <v>25</v>
      </c>
      <c r="C338" s="1">
        <v>11</v>
      </c>
      <c r="D338" s="1">
        <v>11</v>
      </c>
      <c r="E338" s="1">
        <v>0</v>
      </c>
      <c r="F338" s="1">
        <v>0</v>
      </c>
      <c r="G338" s="1">
        <v>0</v>
      </c>
      <c r="H338" s="1">
        <v>0</v>
      </c>
      <c r="I338" s="1">
        <f>IF(H338 + I337 &lt; 0, H338 + I337, 0)</f>
        <v>0</v>
      </c>
      <c r="J338" s="1">
        <v>0</v>
      </c>
      <c r="K338" s="1">
        <f>IF(J338 + K337 &lt; 0, J338 + K337, 0)</f>
        <v>0</v>
      </c>
      <c r="L338" s="1">
        <v>-71818.95638009658</v>
      </c>
      <c r="M338" s="1">
        <f>IF(L338 + M337 &lt; 0, L338 + M337, 0)</f>
        <v>0</v>
      </c>
      <c r="N338" s="1">
        <v>0</v>
      </c>
      <c r="O338" s="1">
        <f>IF(N338 + O337 &lt; 0, N338 + O337, 0)</f>
        <v>0</v>
      </c>
      <c r="P338" s="1">
        <v>0</v>
      </c>
      <c r="Q338" s="1">
        <f>IF(P338 + Q337 &lt; 0, P338 + Q337, 0)</f>
        <v>0</v>
      </c>
    </row>
    <row r="339" spans="1:17" s="1" customFormat="1">
      <c r="A339" s="3">
        <v>45793</v>
      </c>
      <c r="B339" s="1" t="s">
        <v>26</v>
      </c>
      <c r="C339" s="1">
        <v>10</v>
      </c>
      <c r="D339" s="1">
        <v>10</v>
      </c>
      <c r="E339" s="1">
        <v>0</v>
      </c>
      <c r="F339" s="1">
        <v>0</v>
      </c>
      <c r="G339" s="1">
        <v>0</v>
      </c>
      <c r="H339" s="1">
        <v>0</v>
      </c>
      <c r="I339" s="1">
        <f>IF(H339 + I338 &lt; 0, H339 + I338, 0)</f>
        <v>0</v>
      </c>
      <c r="J339" s="1">
        <v>0</v>
      </c>
      <c r="K339" s="1">
        <f>IF(J339 + K338 &lt; 0, J339 + K338, 0)</f>
        <v>0</v>
      </c>
      <c r="L339" s="1">
        <v>0</v>
      </c>
      <c r="M339" s="1">
        <f>IF(L339 + M338 &lt; 0, L339 + M338, 0)</f>
        <v>0</v>
      </c>
      <c r="N339" s="1">
        <v>0</v>
      </c>
      <c r="O339" s="1">
        <f>IF(N339 + O338 &lt; 0, N339 + O338, 0)</f>
        <v>0</v>
      </c>
      <c r="P339" s="1">
        <v>0</v>
      </c>
      <c r="Q339" s="1">
        <f>IF(P339 + Q338 &lt; 0, P339 + Q338, 0)</f>
        <v>0</v>
      </c>
    </row>
    <row r="340" spans="1:17" s="1" customFormat="1">
      <c r="A340" s="3">
        <v>45796</v>
      </c>
      <c r="B340" s="1" t="s">
        <v>22</v>
      </c>
      <c r="C340" s="1">
        <v>9</v>
      </c>
      <c r="D340" s="1">
        <v>9</v>
      </c>
      <c r="E340" s="1">
        <v>0</v>
      </c>
      <c r="F340" s="1">
        <v>0</v>
      </c>
      <c r="G340" s="1">
        <v>0</v>
      </c>
      <c r="H340" s="1">
        <v>0</v>
      </c>
      <c r="I340" s="1">
        <f>IF(H340 + I339 &lt; 0, H340 + I339, 0)</f>
        <v>0</v>
      </c>
      <c r="J340" s="1">
        <v>0</v>
      </c>
      <c r="K340" s="1">
        <f>IF(J340 + K339 &lt; 0, J340 + K339, 0)</f>
        <v>0</v>
      </c>
      <c r="L340" s="1">
        <v>0</v>
      </c>
      <c r="M340" s="1">
        <f>IF(L340 + M339 &lt; 0, L340 + M339, 0)</f>
        <v>0</v>
      </c>
      <c r="N340" s="1">
        <v>0</v>
      </c>
      <c r="O340" s="1">
        <f>IF(N340 + O339 &lt; 0, N340 + O339, 0)</f>
        <v>0</v>
      </c>
      <c r="P340" s="1">
        <v>0</v>
      </c>
      <c r="Q340" s="1">
        <f>IF(P340 + Q339 &lt; 0, P340 + Q339, 0)</f>
        <v>0</v>
      </c>
    </row>
    <row r="341" spans="1:17" s="1" customFormat="1">
      <c r="A341" s="3">
        <v>45797</v>
      </c>
      <c r="B341" s="1" t="s">
        <v>23</v>
      </c>
      <c r="C341" s="1">
        <v>8</v>
      </c>
      <c r="D341" s="1">
        <v>8</v>
      </c>
      <c r="E341" s="1">
        <v>0</v>
      </c>
      <c r="F341" s="1">
        <v>0</v>
      </c>
      <c r="G341" s="1">
        <v>0</v>
      </c>
      <c r="H341" s="1">
        <v>0</v>
      </c>
      <c r="I341" s="1">
        <f>IF(H341 + I340 &lt; 0, H341 + I340, 0)</f>
        <v>0</v>
      </c>
      <c r="J341" s="1">
        <v>0</v>
      </c>
      <c r="K341" s="1">
        <f>IF(J341 + K340 &lt; 0, J341 + K340, 0)</f>
        <v>0</v>
      </c>
      <c r="L341" s="1">
        <v>0</v>
      </c>
      <c r="M341" s="1">
        <f>IF(L341 + M340 &lt; 0, L341 + M340, 0)</f>
        <v>0</v>
      </c>
      <c r="N341" s="1">
        <v>0</v>
      </c>
      <c r="O341" s="1">
        <f>IF(N341 + O340 &lt; 0, N341 + O340, 0)</f>
        <v>0</v>
      </c>
      <c r="P341" s="1">
        <v>1234735.454736854</v>
      </c>
      <c r="Q341" s="1">
        <f>IF(P341 + Q340 &lt; 0, P341 + Q340, 0)</f>
        <v>0</v>
      </c>
    </row>
    <row r="342" spans="1:17" s="1" customFormat="1">
      <c r="A342" s="3">
        <v>45798</v>
      </c>
      <c r="B342" s="1" t="s">
        <v>24</v>
      </c>
      <c r="C342" s="1">
        <v>7</v>
      </c>
      <c r="D342" s="1">
        <v>7</v>
      </c>
      <c r="E342" s="1">
        <v>0</v>
      </c>
      <c r="F342" s="1">
        <v>0</v>
      </c>
      <c r="G342" s="1">
        <v>0</v>
      </c>
      <c r="H342" s="1">
        <v>0</v>
      </c>
      <c r="I342" s="1">
        <f>IF(H342 + I341 &lt; 0, H342 + I341, 0)</f>
        <v>0</v>
      </c>
      <c r="J342" s="1">
        <v>0</v>
      </c>
      <c r="K342" s="1">
        <f>IF(J342 + K341 &lt; 0, J342 + K341, 0)</f>
        <v>0</v>
      </c>
      <c r="L342" s="1">
        <v>0</v>
      </c>
      <c r="M342" s="1">
        <f>IF(L342 + M341 &lt; 0, L342 + M341, 0)</f>
        <v>0</v>
      </c>
      <c r="N342" s="1">
        <v>0</v>
      </c>
      <c r="O342" s="1">
        <f>IF(N342 + O341 &lt; 0, N342 + O341, 0)</f>
        <v>0</v>
      </c>
      <c r="P342" s="1">
        <v>0</v>
      </c>
      <c r="Q342" s="1">
        <f>IF(P342 + Q341 &lt; 0, P342 + Q341, 0)</f>
        <v>0</v>
      </c>
    </row>
    <row r="343" spans="1:17" s="1" customFormat="1">
      <c r="A343" s="3">
        <v>45799</v>
      </c>
      <c r="B343" s="1" t="s">
        <v>25</v>
      </c>
      <c r="C343" s="1">
        <v>6</v>
      </c>
      <c r="D343" s="1">
        <v>6</v>
      </c>
      <c r="E343" s="1">
        <v>0</v>
      </c>
      <c r="F343" s="1">
        <v>0</v>
      </c>
      <c r="G343" s="1">
        <v>0</v>
      </c>
      <c r="H343" s="1">
        <v>0</v>
      </c>
      <c r="I343" s="1">
        <f>IF(H343 + I342 &lt; 0, H343 + I342, 0)</f>
        <v>0</v>
      </c>
      <c r="J343" s="1">
        <v>0</v>
      </c>
      <c r="K343" s="1">
        <f>IF(J343 + K342 &lt; 0, J343 + K342, 0)</f>
        <v>0</v>
      </c>
      <c r="L343" s="1">
        <v>-175259.5440119716</v>
      </c>
      <c r="M343" s="1">
        <f>IF(L343 + M342 &lt; 0, L343 + M342, 0)</f>
        <v>0</v>
      </c>
      <c r="N343" s="1">
        <v>0</v>
      </c>
      <c r="O343" s="1">
        <f>IF(N343 + O342 &lt; 0, N343 + O342, 0)</f>
        <v>0</v>
      </c>
      <c r="P343" s="1">
        <v>0</v>
      </c>
      <c r="Q343" s="1">
        <f>IF(P343 + Q342 &lt; 0, P343 + Q342, 0)</f>
        <v>0</v>
      </c>
    </row>
    <row r="344" spans="1:17" s="1" customFormat="1">
      <c r="A344" s="3">
        <v>45800</v>
      </c>
      <c r="B344" s="1" t="s">
        <v>26</v>
      </c>
      <c r="C344" s="1">
        <v>5</v>
      </c>
      <c r="D344" s="1">
        <v>5</v>
      </c>
      <c r="E344" s="1">
        <v>0</v>
      </c>
      <c r="F344" s="1">
        <v>0</v>
      </c>
      <c r="G344" s="1">
        <v>0</v>
      </c>
      <c r="H344" s="1">
        <v>0</v>
      </c>
      <c r="I344" s="1">
        <f>IF(H344 + I343 &lt; 0, H344 + I343, 0)</f>
        <v>0</v>
      </c>
      <c r="J344" s="1">
        <v>0</v>
      </c>
      <c r="K344" s="1">
        <f>IF(J344 + K343 &lt; 0, J344 + K343, 0)</f>
        <v>0</v>
      </c>
      <c r="L344" s="1">
        <v>0</v>
      </c>
      <c r="M344" s="1">
        <f>IF(L344 + M343 &lt; 0, L344 + M343, 0)</f>
        <v>0</v>
      </c>
      <c r="N344" s="1">
        <v>0</v>
      </c>
      <c r="O344" s="1">
        <f>IF(N344 + O343 &lt; 0, N344 + O343, 0)</f>
        <v>0</v>
      </c>
      <c r="P344" s="1">
        <v>0</v>
      </c>
      <c r="Q344" s="1">
        <f>IF(P344 + Q343 &lt; 0, P344 + Q343, 0)</f>
        <v>0</v>
      </c>
    </row>
    <row r="345" spans="1:17" s="1" customFormat="1">
      <c r="A345" s="3">
        <v>45803</v>
      </c>
      <c r="B345" s="1" t="s">
        <v>22</v>
      </c>
      <c r="C345" s="1">
        <v>4</v>
      </c>
      <c r="D345" s="1">
        <v>4</v>
      </c>
      <c r="E345" s="1">
        <v>0</v>
      </c>
      <c r="F345" s="1">
        <v>0</v>
      </c>
      <c r="G345" s="1">
        <v>0</v>
      </c>
      <c r="H345" s="1">
        <v>0</v>
      </c>
      <c r="I345" s="1">
        <f>IF(H345 + I344 &lt; 0, H345 + I344, 0)</f>
        <v>0</v>
      </c>
      <c r="J345" s="1">
        <v>0</v>
      </c>
      <c r="K345" s="1">
        <f>IF(J345 + K344 &lt; 0, J345 + K344, 0)</f>
        <v>0</v>
      </c>
      <c r="L345" s="1">
        <v>0</v>
      </c>
      <c r="M345" s="1">
        <f>IF(L345 + M344 &lt; 0, L345 + M344, 0)</f>
        <v>0</v>
      </c>
      <c r="N345" s="1">
        <v>0</v>
      </c>
      <c r="O345" s="1">
        <f>IF(N345 + O344 &lt; 0, N345 + O344, 0)</f>
        <v>0</v>
      </c>
      <c r="P345" s="1">
        <v>0</v>
      </c>
      <c r="Q345" s="1">
        <f>IF(P345 + Q344 &lt; 0, P345 + Q344, 0)</f>
        <v>0</v>
      </c>
    </row>
    <row r="346" spans="1:17" s="1" customFormat="1">
      <c r="A346" s="3">
        <v>45804</v>
      </c>
      <c r="B346" s="1" t="s">
        <v>23</v>
      </c>
      <c r="C346" s="1">
        <v>3</v>
      </c>
      <c r="D346" s="1">
        <v>3</v>
      </c>
      <c r="E346" s="1">
        <v>0</v>
      </c>
      <c r="F346" s="1">
        <v>0</v>
      </c>
      <c r="G346" s="1">
        <v>0</v>
      </c>
      <c r="H346" s="1">
        <v>0</v>
      </c>
      <c r="I346" s="1">
        <f>IF(H346 + I345 &lt; 0, H346 + I345, 0)</f>
        <v>0</v>
      </c>
      <c r="J346" s="1">
        <v>0</v>
      </c>
      <c r="K346" s="1">
        <f>IF(J346 + K345 &lt; 0, J346 + K345, 0)</f>
        <v>0</v>
      </c>
      <c r="L346" s="1">
        <v>0</v>
      </c>
      <c r="M346" s="1">
        <f>IF(L346 + M345 &lt; 0, L346 + M345, 0)</f>
        <v>0</v>
      </c>
      <c r="N346" s="1">
        <v>0</v>
      </c>
      <c r="O346" s="1">
        <f>IF(N346 + O345 &lt; 0, N346 + O345, 0)</f>
        <v>0</v>
      </c>
      <c r="P346" s="1">
        <v>388595.6380109345</v>
      </c>
      <c r="Q346" s="1">
        <f>IF(P346 + Q345 &lt; 0, P346 + Q345, 0)</f>
        <v>0</v>
      </c>
    </row>
    <row r="347" spans="1:17" s="1" customFormat="1">
      <c r="A347" s="3">
        <v>45805</v>
      </c>
      <c r="B347" s="1" t="s">
        <v>24</v>
      </c>
      <c r="C347" s="1">
        <v>2</v>
      </c>
      <c r="D347" s="1">
        <v>2</v>
      </c>
      <c r="E347" s="1">
        <v>0</v>
      </c>
      <c r="F347" s="1">
        <v>0</v>
      </c>
      <c r="G347" s="1">
        <v>0</v>
      </c>
      <c r="H347" s="1">
        <v>0</v>
      </c>
      <c r="I347" s="1">
        <f>IF(H347 + I346 &lt; 0, H347 + I346, 0)</f>
        <v>0</v>
      </c>
      <c r="J347" s="1">
        <v>0</v>
      </c>
      <c r="K347" s="1">
        <f>IF(J347 + K346 &lt; 0, J347 + K346, 0)</f>
        <v>0</v>
      </c>
      <c r="L347" s="1">
        <v>0</v>
      </c>
      <c r="M347" s="1">
        <f>IF(L347 + M346 &lt; 0, L347 + M346, 0)</f>
        <v>0</v>
      </c>
      <c r="N347" s="1">
        <v>0</v>
      </c>
      <c r="O347" s="1">
        <f>IF(N347 + O346 &lt; 0, N347 + O346, 0)</f>
        <v>0</v>
      </c>
      <c r="P347" s="1">
        <v>0</v>
      </c>
      <c r="Q347" s="1">
        <f>IF(P347 + Q346 &lt; 0, P347 + Q346, 0)</f>
        <v>0</v>
      </c>
    </row>
    <row r="348" spans="1:17" s="1" customFormat="1">
      <c r="A348" s="3">
        <v>45806</v>
      </c>
      <c r="B348" s="1" t="s">
        <v>25</v>
      </c>
      <c r="C348" s="1">
        <v>1</v>
      </c>
      <c r="D348" s="1">
        <v>1</v>
      </c>
      <c r="E348" s="1">
        <v>0</v>
      </c>
      <c r="F348" s="1">
        <v>0</v>
      </c>
      <c r="G348" s="1">
        <v>0</v>
      </c>
      <c r="H348" s="1">
        <v>0</v>
      </c>
      <c r="I348" s="1">
        <f>IF(H348 + I347 &lt; 0, H348 + I347, 0)</f>
        <v>0</v>
      </c>
      <c r="J348" s="1">
        <v>0</v>
      </c>
      <c r="K348" s="1">
        <f>IF(J348 + K347 &lt; 0, J348 + K347, 0)</f>
        <v>0</v>
      </c>
      <c r="L348" s="1">
        <v>3157953.830573674</v>
      </c>
      <c r="M348" s="1">
        <f>IF(L348 + M347 &lt; 0, L348 + M347, 0)</f>
        <v>0</v>
      </c>
      <c r="N348" s="1">
        <v>0</v>
      </c>
      <c r="O348" s="1">
        <f>IF(N348 + O347 &lt; 0, N348 + O347, 0)</f>
        <v>0</v>
      </c>
      <c r="P348" s="1">
        <v>0</v>
      </c>
      <c r="Q348" s="1">
        <f>IF(P348 + Q347 &lt; 0, P348 + Q347, 0)</f>
        <v>0</v>
      </c>
    </row>
    <row r="349" spans="1:17" s="1" customFormat="1">
      <c r="A349" s="3">
        <v>45807</v>
      </c>
      <c r="B349" s="1" t="s">
        <v>26</v>
      </c>
      <c r="C349" s="1">
        <v>20</v>
      </c>
      <c r="D349" s="1">
        <v>20</v>
      </c>
      <c r="E349" s="1">
        <v>0</v>
      </c>
      <c r="F349" s="1">
        <v>0</v>
      </c>
      <c r="G349" s="1">
        <v>0</v>
      </c>
      <c r="H349" s="1">
        <v>0</v>
      </c>
      <c r="I349" s="1">
        <f>IF(H349 + I348 &lt; 0, H349 + I348, 0)</f>
        <v>0</v>
      </c>
      <c r="J349" s="1">
        <v>0</v>
      </c>
      <c r="K349" s="1">
        <f>IF(J349 + K348 &lt; 0, J349 + K348, 0)</f>
        <v>0</v>
      </c>
      <c r="L349" s="1">
        <v>0</v>
      </c>
      <c r="M349" s="1">
        <f>IF(L349 + M348 &lt; 0, L349 + M348, 0)</f>
        <v>0</v>
      </c>
      <c r="N349" s="1">
        <v>0</v>
      </c>
      <c r="O349" s="1">
        <f>IF(N349 + O348 &lt; 0, N349 + O348, 0)</f>
        <v>0</v>
      </c>
      <c r="P349" s="1">
        <v>0</v>
      </c>
      <c r="Q349" s="1">
        <f>IF(P349 + Q348 &lt; 0, P349 + Q348, 0)</f>
        <v>0</v>
      </c>
    </row>
    <row r="350" spans="1:17" s="1" customFormat="1">
      <c r="A350" s="3">
        <v>45810</v>
      </c>
      <c r="B350" s="1" t="s">
        <v>22</v>
      </c>
      <c r="C350" s="1">
        <v>19</v>
      </c>
      <c r="D350" s="1">
        <v>19</v>
      </c>
      <c r="E350" s="1">
        <v>0</v>
      </c>
      <c r="F350" s="1">
        <v>0</v>
      </c>
      <c r="G350" s="1">
        <v>0</v>
      </c>
      <c r="H350" s="1">
        <v>0</v>
      </c>
      <c r="I350" s="1">
        <f>IF(H350 + I349 &lt; 0, H350 + I349, 0)</f>
        <v>0</v>
      </c>
      <c r="J350" s="1">
        <v>0</v>
      </c>
      <c r="K350" s="1">
        <f>IF(J350 + K349 &lt; 0, J350 + K349, 0)</f>
        <v>0</v>
      </c>
      <c r="L350" s="1">
        <v>0</v>
      </c>
      <c r="M350" s="1">
        <f>IF(L350 + M349 &lt; 0, L350 + M349, 0)</f>
        <v>0</v>
      </c>
      <c r="N350" s="1">
        <v>0</v>
      </c>
      <c r="O350" s="1">
        <f>IF(N350 + O349 &lt; 0, N350 + O349, 0)</f>
        <v>0</v>
      </c>
      <c r="P350" s="1">
        <v>0</v>
      </c>
      <c r="Q350" s="1">
        <f>IF(P350 + Q349 &lt; 0, P350 + Q349, 0)</f>
        <v>0</v>
      </c>
    </row>
    <row r="351" spans="1:17" s="1" customFormat="1">
      <c r="A351" s="3">
        <v>45811</v>
      </c>
      <c r="B351" s="1" t="s">
        <v>23</v>
      </c>
      <c r="C351" s="1">
        <v>18</v>
      </c>
      <c r="D351" s="1">
        <v>18</v>
      </c>
      <c r="E351" s="1">
        <v>0</v>
      </c>
      <c r="F351" s="1">
        <v>0</v>
      </c>
      <c r="G351" s="1">
        <v>0</v>
      </c>
      <c r="H351" s="1">
        <v>0</v>
      </c>
      <c r="I351" s="1">
        <f>IF(H351 + I350 &lt; 0, H351 + I350, 0)</f>
        <v>0</v>
      </c>
      <c r="J351" s="1">
        <v>0</v>
      </c>
      <c r="K351" s="1">
        <f>IF(J351 + K350 &lt; 0, J351 + K350, 0)</f>
        <v>0</v>
      </c>
      <c r="L351" s="1">
        <v>0</v>
      </c>
      <c r="M351" s="1">
        <f>IF(L351 + M350 &lt; 0, L351 + M350, 0)</f>
        <v>0</v>
      </c>
      <c r="N351" s="1">
        <v>0</v>
      </c>
      <c r="O351" s="1">
        <f>IF(N351 + O350 &lt; 0, N351 + O350, 0)</f>
        <v>0</v>
      </c>
      <c r="P351" s="1">
        <v>1522519.540800279</v>
      </c>
      <c r="Q351" s="1">
        <f>IF(P351 + Q350 &lt; 0, P351 + Q350, 0)</f>
        <v>0</v>
      </c>
    </row>
    <row r="352" spans="1:17" s="1" customFormat="1">
      <c r="A352" s="3">
        <v>45812</v>
      </c>
      <c r="B352" s="1" t="s">
        <v>24</v>
      </c>
      <c r="C352" s="1">
        <v>17</v>
      </c>
      <c r="D352" s="1">
        <v>17</v>
      </c>
      <c r="E352" s="1">
        <v>0</v>
      </c>
      <c r="F352" s="1">
        <v>0</v>
      </c>
      <c r="G352" s="1">
        <v>0</v>
      </c>
      <c r="H352" s="1">
        <v>0</v>
      </c>
      <c r="I352" s="1">
        <f>IF(H352 + I351 &lt; 0, H352 + I351, 0)</f>
        <v>0</v>
      </c>
      <c r="J352" s="1">
        <v>0</v>
      </c>
      <c r="K352" s="1">
        <f>IF(J352 + K351 &lt; 0, J352 + K351, 0)</f>
        <v>0</v>
      </c>
      <c r="L352" s="1">
        <v>0</v>
      </c>
      <c r="M352" s="1">
        <f>IF(L352 + M351 &lt; 0, L352 + M351, 0)</f>
        <v>0</v>
      </c>
      <c r="N352" s="1">
        <v>0</v>
      </c>
      <c r="O352" s="1">
        <f>IF(N352 + O351 &lt; 0, N352 + O351, 0)</f>
        <v>0</v>
      </c>
      <c r="P352" s="1">
        <v>0</v>
      </c>
      <c r="Q352" s="1">
        <f>IF(P352 + Q351 &lt; 0, P352 + Q351, 0)</f>
        <v>0</v>
      </c>
    </row>
    <row r="353" spans="1:17" s="1" customFormat="1">
      <c r="A353" s="3">
        <v>45813</v>
      </c>
      <c r="B353" s="1" t="s">
        <v>25</v>
      </c>
      <c r="C353" s="1">
        <v>16</v>
      </c>
      <c r="D353" s="1">
        <v>16</v>
      </c>
      <c r="E353" s="1">
        <v>0</v>
      </c>
      <c r="F353" s="1">
        <v>0</v>
      </c>
      <c r="G353" s="1">
        <v>0</v>
      </c>
      <c r="H353" s="1">
        <v>0</v>
      </c>
      <c r="I353" s="1">
        <f>IF(H353 + I352 &lt; 0, H353 + I352, 0)</f>
        <v>0</v>
      </c>
      <c r="J353" s="1">
        <v>0</v>
      </c>
      <c r="K353" s="1">
        <f>IF(J353 + K352 &lt; 0, J353 + K352, 0)</f>
        <v>0</v>
      </c>
      <c r="L353" s="1">
        <v>3221657.664636908</v>
      </c>
      <c r="M353" s="1">
        <f>IF(L353 + M352 &lt; 0, L353 + M352, 0)</f>
        <v>0</v>
      </c>
      <c r="N353" s="1">
        <v>0</v>
      </c>
      <c r="O353" s="1">
        <f>IF(N353 + O352 &lt; 0, N353 + O352, 0)</f>
        <v>0</v>
      </c>
      <c r="P353" s="1">
        <v>0</v>
      </c>
      <c r="Q353" s="1">
        <f>IF(P353 + Q352 &lt; 0, P353 + Q352, 0)</f>
        <v>0</v>
      </c>
    </row>
    <row r="354" spans="1:17" s="1" customFormat="1">
      <c r="A354" s="3">
        <v>45814</v>
      </c>
      <c r="B354" s="1" t="s">
        <v>26</v>
      </c>
      <c r="C354" s="1">
        <v>15</v>
      </c>
      <c r="D354" s="1">
        <v>15</v>
      </c>
      <c r="E354" s="1">
        <v>0</v>
      </c>
      <c r="F354" s="1">
        <v>0</v>
      </c>
      <c r="G354" s="1">
        <v>0</v>
      </c>
      <c r="H354" s="1">
        <v>0</v>
      </c>
      <c r="I354" s="1">
        <f>IF(H354 + I353 &lt; 0, H354 + I353, 0)</f>
        <v>0</v>
      </c>
      <c r="J354" s="1">
        <v>0</v>
      </c>
      <c r="K354" s="1">
        <f>IF(J354 + K353 &lt; 0, J354 + K353, 0)</f>
        <v>0</v>
      </c>
      <c r="L354" s="1">
        <v>0</v>
      </c>
      <c r="M354" s="1">
        <f>IF(L354 + M353 &lt; 0, L354 + M353, 0)</f>
        <v>0</v>
      </c>
      <c r="N354" s="1">
        <v>0</v>
      </c>
      <c r="O354" s="1">
        <f>IF(N354 + O353 &lt; 0, N354 + O353, 0)</f>
        <v>0</v>
      </c>
      <c r="P354" s="1">
        <v>0</v>
      </c>
      <c r="Q354" s="1">
        <f>IF(P354 + Q353 &lt; 0, P354 + Q353, 0)</f>
        <v>0</v>
      </c>
    </row>
    <row r="355" spans="1:17" s="1" customFormat="1">
      <c r="A355" s="3">
        <v>45817</v>
      </c>
      <c r="B355" s="1" t="s">
        <v>22</v>
      </c>
      <c r="C355" s="1">
        <v>14</v>
      </c>
      <c r="D355" s="1">
        <v>14</v>
      </c>
      <c r="E355" s="1">
        <v>0</v>
      </c>
      <c r="F355" s="1">
        <v>0</v>
      </c>
      <c r="G355" s="1">
        <v>0</v>
      </c>
      <c r="H355" s="1">
        <v>0</v>
      </c>
      <c r="I355" s="1">
        <f>IF(H355 + I354 &lt; 0, H355 + I354, 0)</f>
        <v>0</v>
      </c>
      <c r="J355" s="1">
        <v>0</v>
      </c>
      <c r="K355" s="1">
        <f>IF(J355 + K354 &lt; 0, J355 + K354, 0)</f>
        <v>0</v>
      </c>
      <c r="L355" s="1">
        <v>0</v>
      </c>
      <c r="M355" s="1">
        <f>IF(L355 + M354 &lt; 0, L355 + M354, 0)</f>
        <v>0</v>
      </c>
      <c r="N355" s="1">
        <v>0</v>
      </c>
      <c r="O355" s="1">
        <f>IF(N355 + O354 &lt; 0, N355 + O354, 0)</f>
        <v>0</v>
      </c>
      <c r="P355" s="1">
        <v>0</v>
      </c>
      <c r="Q355" s="1">
        <f>IF(P355 + Q354 &lt; 0, P355 + Q354, 0)</f>
        <v>0</v>
      </c>
    </row>
    <row r="356" spans="1:17" s="1" customFormat="1">
      <c r="A356" s="3">
        <v>45818</v>
      </c>
      <c r="B356" s="1" t="s">
        <v>23</v>
      </c>
      <c r="C356" s="1">
        <v>13</v>
      </c>
      <c r="D356" s="1">
        <v>13</v>
      </c>
      <c r="E356" s="1">
        <v>0</v>
      </c>
      <c r="F356" s="1">
        <v>0</v>
      </c>
      <c r="G356" s="1">
        <v>0</v>
      </c>
      <c r="H356" s="1">
        <v>0</v>
      </c>
      <c r="I356" s="1">
        <f>IF(H356 + I355 &lt; 0, H356 + I355, 0)</f>
        <v>0</v>
      </c>
      <c r="J356" s="1">
        <v>0</v>
      </c>
      <c r="K356" s="1">
        <f>IF(J356 + K355 &lt; 0, J356 + K355, 0)</f>
        <v>0</v>
      </c>
      <c r="L356" s="1">
        <v>0</v>
      </c>
      <c r="M356" s="1">
        <f>IF(L356 + M355 &lt; 0, L356 + M355, 0)</f>
        <v>0</v>
      </c>
      <c r="N356" s="1">
        <v>0</v>
      </c>
      <c r="O356" s="1">
        <f>IF(N356 + O355 &lt; 0, N356 + O355, 0)</f>
        <v>0</v>
      </c>
      <c r="P356" s="1">
        <v>2004014.590887082</v>
      </c>
      <c r="Q356" s="1">
        <f>IF(P356 + Q355 &lt; 0, P356 + Q355, 0)</f>
        <v>0</v>
      </c>
    </row>
    <row r="357" spans="1:17" s="1" customFormat="1">
      <c r="A357" s="3">
        <v>45819</v>
      </c>
      <c r="B357" s="1" t="s">
        <v>24</v>
      </c>
      <c r="C357" s="1">
        <v>12</v>
      </c>
      <c r="D357" s="1">
        <v>12</v>
      </c>
      <c r="E357" s="1">
        <v>0</v>
      </c>
      <c r="F357" s="1">
        <v>0</v>
      </c>
      <c r="G357" s="1">
        <v>0</v>
      </c>
      <c r="H357" s="1">
        <v>0</v>
      </c>
      <c r="I357" s="1">
        <f>IF(H357 + I356 &lt; 0, H357 + I356, 0)</f>
        <v>0</v>
      </c>
      <c r="J357" s="1">
        <v>0</v>
      </c>
      <c r="K357" s="1">
        <f>IF(J357 + K356 &lt; 0, J357 + K356, 0)</f>
        <v>0</v>
      </c>
      <c r="L357" s="1">
        <v>0</v>
      </c>
      <c r="M357" s="1">
        <f>IF(L357 + M356 &lt; 0, L357 + M356, 0)</f>
        <v>0</v>
      </c>
      <c r="N357" s="1">
        <v>0</v>
      </c>
      <c r="O357" s="1">
        <f>IF(N357 + O356 &lt; 0, N357 + O356, 0)</f>
        <v>0</v>
      </c>
      <c r="P357" s="1">
        <v>0</v>
      </c>
      <c r="Q357" s="1">
        <f>IF(P357 + Q356 &lt; 0, P357 + Q356, 0)</f>
        <v>0</v>
      </c>
    </row>
    <row r="358" spans="1:17" s="1" customFormat="1">
      <c r="A358" s="3">
        <v>45820</v>
      </c>
      <c r="B358" s="1" t="s">
        <v>25</v>
      </c>
      <c r="C358" s="1">
        <v>11</v>
      </c>
      <c r="D358" s="1">
        <v>11</v>
      </c>
      <c r="E358" s="1">
        <v>0</v>
      </c>
      <c r="F358" s="1">
        <v>0</v>
      </c>
      <c r="G358" s="1">
        <v>0</v>
      </c>
      <c r="H358" s="1">
        <v>0</v>
      </c>
      <c r="I358" s="1">
        <f>IF(H358 + I357 &lt; 0, H358 + I357, 0)</f>
        <v>0</v>
      </c>
      <c r="J358" s="1">
        <v>0</v>
      </c>
      <c r="K358" s="1">
        <f>IF(J358 + K357 &lt; 0, J358 + K357, 0)</f>
        <v>0</v>
      </c>
      <c r="L358" s="1">
        <v>1083948.457199016</v>
      </c>
      <c r="M358" s="1">
        <f>IF(L358 + M357 &lt; 0, L358 + M357, 0)</f>
        <v>0</v>
      </c>
      <c r="N358" s="1">
        <v>0</v>
      </c>
      <c r="O358" s="1">
        <f>IF(N358 + O357 &lt; 0, N358 + O357, 0)</f>
        <v>0</v>
      </c>
      <c r="P358" s="1">
        <v>0</v>
      </c>
      <c r="Q358" s="1">
        <f>IF(P358 + Q357 &lt; 0, P358 + Q357, 0)</f>
        <v>0</v>
      </c>
    </row>
    <row r="359" spans="1:17" s="1" customFormat="1">
      <c r="A359" s="3">
        <v>45821</v>
      </c>
      <c r="B359" s="1" t="s">
        <v>26</v>
      </c>
      <c r="C359" s="1">
        <v>10</v>
      </c>
      <c r="D359" s="1">
        <v>10</v>
      </c>
      <c r="E359" s="1">
        <v>0</v>
      </c>
      <c r="F359" s="1">
        <v>0</v>
      </c>
      <c r="G359" s="1">
        <v>0</v>
      </c>
      <c r="H359" s="1">
        <v>0</v>
      </c>
      <c r="I359" s="1">
        <f>IF(H359 + I358 &lt; 0, H359 + I358, 0)</f>
        <v>0</v>
      </c>
      <c r="J359" s="1">
        <v>0</v>
      </c>
      <c r="K359" s="1">
        <f>IF(J359 + K358 &lt; 0, J359 + K358, 0)</f>
        <v>0</v>
      </c>
      <c r="L359" s="1">
        <v>0</v>
      </c>
      <c r="M359" s="1">
        <f>IF(L359 + M358 &lt; 0, L359 + M358, 0)</f>
        <v>0</v>
      </c>
      <c r="N359" s="1">
        <v>0</v>
      </c>
      <c r="O359" s="1">
        <f>IF(N359 + O358 &lt; 0, N359 + O358, 0)</f>
        <v>0</v>
      </c>
      <c r="P359" s="1">
        <v>0</v>
      </c>
      <c r="Q359" s="1">
        <f>IF(P359 + Q358 &lt; 0, P359 + Q358, 0)</f>
        <v>0</v>
      </c>
    </row>
    <row r="360" spans="1:17" s="1" customFormat="1">
      <c r="A360" s="3">
        <v>45824</v>
      </c>
      <c r="B360" s="1" t="s">
        <v>22</v>
      </c>
      <c r="C360" s="1">
        <v>9</v>
      </c>
      <c r="D360" s="1">
        <v>9</v>
      </c>
      <c r="E360" s="1">
        <v>0</v>
      </c>
      <c r="F360" s="1">
        <v>0</v>
      </c>
      <c r="G360" s="1">
        <v>0</v>
      </c>
      <c r="H360" s="1">
        <v>0</v>
      </c>
      <c r="I360" s="1">
        <f>IF(H360 + I359 &lt; 0, H360 + I359, 0)</f>
        <v>0</v>
      </c>
      <c r="J360" s="1">
        <v>0</v>
      </c>
      <c r="K360" s="1">
        <f>IF(J360 + K359 &lt; 0, J360 + K359, 0)</f>
        <v>0</v>
      </c>
      <c r="L360" s="1">
        <v>0</v>
      </c>
      <c r="M360" s="1">
        <f>IF(L360 + M359 &lt; 0, L360 + M359, 0)</f>
        <v>0</v>
      </c>
      <c r="N360" s="1">
        <v>0</v>
      </c>
      <c r="O360" s="1">
        <f>IF(N360 + O359 &lt; 0, N360 + O359, 0)</f>
        <v>0</v>
      </c>
      <c r="P360" s="1">
        <v>0</v>
      </c>
      <c r="Q360" s="1">
        <f>IF(P360 + Q359 &lt; 0, P360 + Q359, 0)</f>
        <v>0</v>
      </c>
    </row>
    <row r="361" spans="1:17" s="1" customFormat="1">
      <c r="A361" s="3">
        <v>45825</v>
      </c>
      <c r="B361" s="1" t="s">
        <v>23</v>
      </c>
      <c r="C361" s="1">
        <v>8</v>
      </c>
      <c r="D361" s="1">
        <v>8</v>
      </c>
      <c r="E361" s="1">
        <v>0</v>
      </c>
      <c r="F361" s="1">
        <v>0</v>
      </c>
      <c r="G361" s="1">
        <v>0</v>
      </c>
      <c r="H361" s="1">
        <v>0</v>
      </c>
      <c r="I361" s="1">
        <f>IF(H361 + I360 &lt; 0, H361 + I360, 0)</f>
        <v>0</v>
      </c>
      <c r="J361" s="1">
        <v>0</v>
      </c>
      <c r="K361" s="1">
        <f>IF(J361 + K360 &lt; 0, J361 + K360, 0)</f>
        <v>0</v>
      </c>
      <c r="L361" s="1">
        <v>0</v>
      </c>
      <c r="M361" s="1">
        <f>IF(L361 + M360 &lt; 0, L361 + M360, 0)</f>
        <v>0</v>
      </c>
      <c r="N361" s="1">
        <v>0</v>
      </c>
      <c r="O361" s="1">
        <f>IF(N361 + O360 &lt; 0, N361 + O360, 0)</f>
        <v>0</v>
      </c>
      <c r="P361" s="1">
        <v>-222217.3713419315</v>
      </c>
      <c r="Q361" s="1">
        <f>IF(P361 + Q360 &lt; 0, P361 + Q360, 0)</f>
        <v>0</v>
      </c>
    </row>
    <row r="362" spans="1:17" s="1" customFormat="1">
      <c r="A362" s="3">
        <v>45826</v>
      </c>
      <c r="B362" s="1" t="s">
        <v>24</v>
      </c>
      <c r="C362" s="1">
        <v>7</v>
      </c>
      <c r="D362" s="1">
        <v>7</v>
      </c>
      <c r="E362" s="1">
        <v>0</v>
      </c>
      <c r="F362" s="1">
        <v>0</v>
      </c>
      <c r="G362" s="1">
        <v>0</v>
      </c>
      <c r="H362" s="1">
        <v>0</v>
      </c>
      <c r="I362" s="1">
        <f>IF(H362 + I361 &lt; 0, H362 + I361, 0)</f>
        <v>0</v>
      </c>
      <c r="J362" s="1">
        <v>0</v>
      </c>
      <c r="K362" s="1">
        <f>IF(J362 + K361 &lt; 0, J362 + K361, 0)</f>
        <v>0</v>
      </c>
      <c r="L362" s="1">
        <v>0</v>
      </c>
      <c r="M362" s="1">
        <f>IF(L362 + M361 &lt; 0, L362 + M361, 0)</f>
        <v>0</v>
      </c>
      <c r="N362" s="1">
        <v>0</v>
      </c>
      <c r="O362" s="1">
        <f>IF(N362 + O361 &lt; 0, N362 + O361, 0)</f>
        <v>0</v>
      </c>
      <c r="P362" s="1">
        <v>0</v>
      </c>
      <c r="Q362" s="1">
        <f>IF(P362 + Q361 &lt; 0, P362 + Q361, 0)</f>
        <v>0</v>
      </c>
    </row>
    <row r="363" spans="1:17" s="1" customFormat="1">
      <c r="A363" s="3">
        <v>45827</v>
      </c>
      <c r="B363" s="1" t="s">
        <v>25</v>
      </c>
      <c r="C363" s="1">
        <v>6</v>
      </c>
      <c r="D363" s="1">
        <v>6</v>
      </c>
      <c r="E363" s="1">
        <v>0</v>
      </c>
      <c r="F363" s="1">
        <v>0</v>
      </c>
      <c r="G363" s="1">
        <v>0</v>
      </c>
      <c r="H363" s="1">
        <v>0</v>
      </c>
      <c r="I363" s="1">
        <f>IF(H363 + I362 &lt; 0, H363 + I362, 0)</f>
        <v>0</v>
      </c>
      <c r="J363" s="1">
        <v>0</v>
      </c>
      <c r="K363" s="1">
        <f>IF(J363 + K362 &lt; 0, J363 + K362, 0)</f>
        <v>0</v>
      </c>
      <c r="L363" s="1">
        <v>1402394.85259298</v>
      </c>
      <c r="M363" s="1">
        <f>IF(L363 + M362 &lt; 0, L363 + M362, 0)</f>
        <v>0</v>
      </c>
      <c r="N363" s="1">
        <v>0</v>
      </c>
      <c r="O363" s="1">
        <f>IF(N363 + O362 &lt; 0, N363 + O362, 0)</f>
        <v>0</v>
      </c>
      <c r="P363" s="1">
        <v>0</v>
      </c>
      <c r="Q363" s="1">
        <f>IF(P363 + Q362 &lt; 0, P363 + Q362, 0)</f>
        <v>0</v>
      </c>
    </row>
    <row r="364" spans="1:17" s="1" customFormat="1">
      <c r="A364" s="3">
        <v>45828</v>
      </c>
      <c r="B364" s="1" t="s">
        <v>26</v>
      </c>
      <c r="C364" s="1">
        <v>5</v>
      </c>
      <c r="D364" s="1">
        <v>5</v>
      </c>
      <c r="E364" s="1">
        <v>0</v>
      </c>
      <c r="F364" s="1">
        <v>0</v>
      </c>
      <c r="G364" s="1">
        <v>0</v>
      </c>
      <c r="H364" s="1">
        <v>0</v>
      </c>
      <c r="I364" s="1">
        <f>IF(H364 + I363 &lt; 0, H364 + I363, 0)</f>
        <v>0</v>
      </c>
      <c r="J364" s="1">
        <v>0</v>
      </c>
      <c r="K364" s="1">
        <f>IF(J364 + K363 &lt; 0, J364 + K363, 0)</f>
        <v>0</v>
      </c>
      <c r="L364" s="1">
        <v>0</v>
      </c>
      <c r="M364" s="1">
        <f>IF(L364 + M363 &lt; 0, L364 + M363, 0)</f>
        <v>0</v>
      </c>
      <c r="N364" s="1">
        <v>0</v>
      </c>
      <c r="O364" s="1">
        <f>IF(N364 + O363 &lt; 0, N364 + O363, 0)</f>
        <v>0</v>
      </c>
      <c r="P364" s="1">
        <v>0</v>
      </c>
      <c r="Q364" s="1">
        <f>IF(P364 + Q363 &lt; 0, P364 + Q363, 0)</f>
        <v>0</v>
      </c>
    </row>
    <row r="365" spans="1:17" s="1" customFormat="1">
      <c r="A365" s="3">
        <v>45831</v>
      </c>
      <c r="B365" s="1" t="s">
        <v>22</v>
      </c>
      <c r="C365" s="1">
        <v>4</v>
      </c>
      <c r="D365" s="1">
        <v>4</v>
      </c>
      <c r="E365" s="1">
        <v>0</v>
      </c>
      <c r="F365" s="1">
        <v>0</v>
      </c>
      <c r="G365" s="1">
        <v>0</v>
      </c>
      <c r="H365" s="1">
        <v>0</v>
      </c>
      <c r="I365" s="1">
        <f>IF(H365 + I364 &lt; 0, H365 + I364, 0)</f>
        <v>0</v>
      </c>
      <c r="J365" s="1">
        <v>0</v>
      </c>
      <c r="K365" s="1">
        <f>IF(J365 + K364 &lt; 0, J365 + K364, 0)</f>
        <v>0</v>
      </c>
      <c r="L365" s="1">
        <v>0</v>
      </c>
      <c r="M365" s="1">
        <f>IF(L365 + M364 &lt; 0, L365 + M364, 0)</f>
        <v>0</v>
      </c>
      <c r="N365" s="1">
        <v>0</v>
      </c>
      <c r="O365" s="1">
        <f>IF(N365 + O364 &lt; 0, N365 + O364, 0)</f>
        <v>0</v>
      </c>
      <c r="P365" s="1">
        <v>0</v>
      </c>
      <c r="Q365" s="1">
        <f>IF(P365 + Q364 &lt; 0, P365 + Q364, 0)</f>
        <v>0</v>
      </c>
    </row>
    <row r="366" spans="1:17" s="1" customFormat="1">
      <c r="A366" s="3">
        <v>45832</v>
      </c>
      <c r="B366" s="1" t="s">
        <v>23</v>
      </c>
      <c r="C366" s="1">
        <v>3</v>
      </c>
      <c r="D366" s="1">
        <v>3</v>
      </c>
      <c r="E366" s="1">
        <v>0</v>
      </c>
      <c r="F366" s="1">
        <v>0</v>
      </c>
      <c r="G366" s="1">
        <v>0</v>
      </c>
      <c r="H366" s="1">
        <v>0</v>
      </c>
      <c r="I366" s="1">
        <f>IF(H366 + I365 &lt; 0, H366 + I365, 0)</f>
        <v>0</v>
      </c>
      <c r="J366" s="1">
        <v>0</v>
      </c>
      <c r="K366" s="1">
        <f>IF(J366 + K365 &lt; 0, J366 + K365, 0)</f>
        <v>0</v>
      </c>
      <c r="L366" s="1">
        <v>0</v>
      </c>
      <c r="M366" s="1">
        <f>IF(L366 + M365 &lt; 0, L366 + M365, 0)</f>
        <v>0</v>
      </c>
      <c r="N366" s="1">
        <v>0</v>
      </c>
      <c r="O366" s="1">
        <f>IF(N366 + O365 &lt; 0, N366 + O365, 0)</f>
        <v>0</v>
      </c>
      <c r="P366" s="1">
        <v>-3174934.186501615</v>
      </c>
      <c r="Q366" s="1">
        <f>IF(P366 + Q365 &lt; 0, P366 + Q365, 0)</f>
        <v>0</v>
      </c>
    </row>
    <row r="367" spans="1:17" s="1" customFormat="1">
      <c r="A367" s="3">
        <v>45833</v>
      </c>
      <c r="B367" s="1" t="s">
        <v>24</v>
      </c>
      <c r="C367" s="1">
        <v>2</v>
      </c>
      <c r="D367" s="1">
        <v>2</v>
      </c>
      <c r="E367" s="1">
        <v>0</v>
      </c>
      <c r="F367" s="1">
        <v>0</v>
      </c>
      <c r="G367" s="1">
        <v>0</v>
      </c>
      <c r="H367" s="1">
        <v>0</v>
      </c>
      <c r="I367" s="1">
        <f>IF(H367 + I366 &lt; 0, H367 + I366, 0)</f>
        <v>0</v>
      </c>
      <c r="J367" s="1">
        <v>0</v>
      </c>
      <c r="K367" s="1">
        <f>IF(J367 + K366 &lt; 0, J367 + K366, 0)</f>
        <v>0</v>
      </c>
      <c r="L367" s="1">
        <v>0</v>
      </c>
      <c r="M367" s="1">
        <f>IF(L367 + M366 &lt; 0, L367 + M366, 0)</f>
        <v>0</v>
      </c>
      <c r="N367" s="1">
        <v>0</v>
      </c>
      <c r="O367" s="1">
        <f>IF(N367 + O366 &lt; 0, N367 + O366, 0)</f>
        <v>0</v>
      </c>
      <c r="P367" s="1">
        <v>0</v>
      </c>
      <c r="Q367" s="1">
        <f>IF(P367 + Q366 &lt; 0, P367 + Q366, 0)</f>
        <v>0</v>
      </c>
    </row>
    <row r="368" spans="1:17" s="1" customFormat="1">
      <c r="A368" s="3">
        <v>45834</v>
      </c>
      <c r="B368" s="1" t="s">
        <v>25</v>
      </c>
      <c r="C368" s="1">
        <v>1</v>
      </c>
      <c r="D368" s="1">
        <v>1</v>
      </c>
      <c r="E368" s="1">
        <v>0</v>
      </c>
      <c r="F368" s="1">
        <v>0</v>
      </c>
      <c r="G368" s="1">
        <v>0</v>
      </c>
      <c r="H368" s="1">
        <v>0</v>
      </c>
      <c r="I368" s="1">
        <f>IF(H368 + I367 &lt; 0, H368 + I367, 0)</f>
        <v>0</v>
      </c>
      <c r="J368" s="1">
        <v>0</v>
      </c>
      <c r="K368" s="1">
        <f>IF(J368 + K367 &lt; 0, J368 + K367, 0)</f>
        <v>0</v>
      </c>
      <c r="L368" s="1">
        <v>-1242543.151367287</v>
      </c>
      <c r="M368" s="1">
        <f>IF(L368 + M367 &lt; 0, L368 + M367, 0)</f>
        <v>0</v>
      </c>
      <c r="N368" s="1">
        <v>0</v>
      </c>
      <c r="O368" s="1">
        <f>IF(N368 + O367 &lt; 0, N368 + O367, 0)</f>
        <v>0</v>
      </c>
      <c r="P368" s="1">
        <v>0</v>
      </c>
      <c r="Q368" s="1">
        <f>IF(P368 + Q367 &lt; 0, P368 + Q367, 0)</f>
        <v>0</v>
      </c>
    </row>
    <row r="369" spans="1:17" s="1" customFormat="1">
      <c r="A369" s="3">
        <v>45835</v>
      </c>
      <c r="B369" s="1" t="s">
        <v>26</v>
      </c>
      <c r="C369" s="1">
        <v>25</v>
      </c>
      <c r="D369" s="1">
        <v>25</v>
      </c>
      <c r="E369" s="1">
        <v>0</v>
      </c>
      <c r="F369" s="1">
        <v>0</v>
      </c>
      <c r="G369" s="1">
        <v>0</v>
      </c>
      <c r="H369" s="1">
        <v>0</v>
      </c>
      <c r="I369" s="1">
        <f>IF(H369 + I368 &lt; 0, H369 + I368, 0)</f>
        <v>0</v>
      </c>
      <c r="J369" s="1">
        <v>0</v>
      </c>
      <c r="K369" s="1">
        <f>IF(J369 + K368 &lt; 0, J369 + K368, 0)</f>
        <v>0</v>
      </c>
      <c r="L369" s="1">
        <v>0</v>
      </c>
      <c r="M369" s="1">
        <f>IF(L369 + M368 &lt; 0, L369 + M368, 0)</f>
        <v>0</v>
      </c>
      <c r="N369" s="1">
        <v>0</v>
      </c>
      <c r="O369" s="1">
        <f>IF(N369 + O368 &lt; 0, N369 + O368, 0)</f>
        <v>0</v>
      </c>
      <c r="P369" s="1">
        <v>0</v>
      </c>
      <c r="Q369" s="1">
        <f>IF(P369 + Q368 &lt; 0, P369 + Q368, 0)</f>
        <v>0</v>
      </c>
    </row>
    <row r="370" spans="1:17" s="1" customFormat="1">
      <c r="A370" s="3">
        <v>45838</v>
      </c>
      <c r="B370" s="1" t="s">
        <v>22</v>
      </c>
      <c r="C370" s="1">
        <v>24</v>
      </c>
      <c r="D370" s="1">
        <v>24</v>
      </c>
      <c r="E370" s="1">
        <v>0</v>
      </c>
      <c r="F370" s="1">
        <v>0</v>
      </c>
      <c r="G370" s="1">
        <v>0</v>
      </c>
      <c r="H370" s="1">
        <v>0</v>
      </c>
      <c r="I370" s="1">
        <f>IF(H370 + I369 &lt; 0, H370 + I369, 0)</f>
        <v>0</v>
      </c>
      <c r="J370" s="1">
        <v>0</v>
      </c>
      <c r="K370" s="1">
        <f>IF(J370 + K369 &lt; 0, J370 + K369, 0)</f>
        <v>0</v>
      </c>
      <c r="L370" s="1">
        <v>0</v>
      </c>
      <c r="M370" s="1">
        <f>IF(L370 + M369 &lt; 0, L370 + M369, 0)</f>
        <v>0</v>
      </c>
      <c r="N370" s="1">
        <v>0</v>
      </c>
      <c r="O370" s="1">
        <f>IF(N370 + O369 &lt; 0, N370 + O369, 0)</f>
        <v>0</v>
      </c>
      <c r="P370" s="1">
        <v>0</v>
      </c>
      <c r="Q370" s="1">
        <f>IF(P370 + Q369 &lt; 0, P370 + Q369, 0)</f>
        <v>0</v>
      </c>
    </row>
    <row r="371" spans="1:17" s="1" customFormat="1">
      <c r="A371" s="3">
        <v>45839</v>
      </c>
      <c r="B371" s="1" t="s">
        <v>23</v>
      </c>
      <c r="C371" s="1">
        <v>23</v>
      </c>
      <c r="D371" s="1">
        <v>23</v>
      </c>
      <c r="E371" s="1">
        <v>0</v>
      </c>
      <c r="F371" s="1">
        <v>0</v>
      </c>
      <c r="G371" s="1">
        <v>0</v>
      </c>
      <c r="H371" s="1">
        <v>0</v>
      </c>
      <c r="I371" s="1">
        <f>IF(H371 + I370 &lt; 0, H371 + I370, 0)</f>
        <v>0</v>
      </c>
      <c r="J371" s="1">
        <v>0</v>
      </c>
      <c r="K371" s="1">
        <f>IF(J371 + K370 &lt; 0, J371 + K370, 0)</f>
        <v>0</v>
      </c>
      <c r="L371" s="1">
        <v>0</v>
      </c>
      <c r="M371" s="1">
        <f>IF(L371 + M370 &lt; 0, L371 + M370, 0)</f>
        <v>0</v>
      </c>
      <c r="N371" s="1">
        <v>0</v>
      </c>
      <c r="O371" s="1">
        <f>IF(N371 + O370 &lt; 0, N371 + O370, 0)</f>
        <v>0</v>
      </c>
      <c r="P371" s="1">
        <v>1823284.372781663</v>
      </c>
      <c r="Q371" s="1">
        <f>IF(P371 + Q370 &lt; 0, P371 + Q370, 0)</f>
        <v>0</v>
      </c>
    </row>
    <row r="372" spans="1:17" s="1" customFormat="1">
      <c r="A372" s="3">
        <v>45840</v>
      </c>
      <c r="B372" s="1" t="s">
        <v>24</v>
      </c>
      <c r="C372" s="1">
        <v>22</v>
      </c>
      <c r="D372" s="1">
        <v>22</v>
      </c>
      <c r="E372" s="1">
        <v>0</v>
      </c>
      <c r="F372" s="1">
        <v>0</v>
      </c>
      <c r="G372" s="1">
        <v>0</v>
      </c>
      <c r="H372" s="1">
        <v>0</v>
      </c>
      <c r="I372" s="1">
        <f>IF(H372 + I371 &lt; 0, H372 + I371, 0)</f>
        <v>0</v>
      </c>
      <c r="J372" s="1">
        <v>0</v>
      </c>
      <c r="K372" s="1">
        <f>IF(J372 + K371 &lt; 0, J372 + K371, 0)</f>
        <v>0</v>
      </c>
      <c r="L372" s="1">
        <v>0</v>
      </c>
      <c r="M372" s="1">
        <f>IF(L372 + M371 &lt; 0, L372 + M371, 0)</f>
        <v>0</v>
      </c>
      <c r="N372" s="1">
        <v>0</v>
      </c>
      <c r="O372" s="1">
        <f>IF(N372 + O371 &lt; 0, N372 + O371, 0)</f>
        <v>0</v>
      </c>
      <c r="P372" s="1">
        <v>0</v>
      </c>
      <c r="Q372" s="1">
        <f>IF(P372 + Q371 &lt; 0, P372 + Q371, 0)</f>
        <v>0</v>
      </c>
    </row>
    <row r="373" spans="1:17" s="1" customFormat="1">
      <c r="A373" s="3">
        <v>45841</v>
      </c>
      <c r="B373" s="1" t="s">
        <v>25</v>
      </c>
      <c r="C373" s="1">
        <v>21</v>
      </c>
      <c r="D373" s="1">
        <v>21</v>
      </c>
      <c r="E373" s="1">
        <v>0</v>
      </c>
      <c r="F373" s="1">
        <v>0</v>
      </c>
      <c r="G373" s="1">
        <v>0</v>
      </c>
      <c r="H373" s="1">
        <v>0</v>
      </c>
      <c r="I373" s="1">
        <f>IF(H373 + I372 &lt; 0, H373 + I372, 0)</f>
        <v>0</v>
      </c>
      <c r="J373" s="1">
        <v>0</v>
      </c>
      <c r="K373" s="1">
        <f>IF(J373 + K372 &lt; 0, J373 + K372, 0)</f>
        <v>0</v>
      </c>
      <c r="L373" s="1">
        <v>1261448.164160743</v>
      </c>
      <c r="M373" s="1">
        <f>IF(L373 + M372 &lt; 0, L373 + M372, 0)</f>
        <v>0</v>
      </c>
      <c r="N373" s="1">
        <v>0</v>
      </c>
      <c r="O373" s="1">
        <f>IF(N373 + O372 &lt; 0, N373 + O372, 0)</f>
        <v>0</v>
      </c>
      <c r="P373" s="1">
        <v>0</v>
      </c>
      <c r="Q373" s="1">
        <f>IF(P373 + Q372 &lt; 0, P373 + Q372, 0)</f>
        <v>0</v>
      </c>
    </row>
    <row r="374" spans="1:17" s="1" customFormat="1">
      <c r="A374" s="3">
        <v>45842</v>
      </c>
      <c r="B374" s="1" t="s">
        <v>26</v>
      </c>
      <c r="C374" s="1">
        <v>20</v>
      </c>
      <c r="D374" s="1">
        <v>20</v>
      </c>
      <c r="E374" s="1">
        <v>0</v>
      </c>
      <c r="F374" s="1">
        <v>0</v>
      </c>
      <c r="G374" s="1">
        <v>0</v>
      </c>
      <c r="H374" s="1">
        <v>0</v>
      </c>
      <c r="I374" s="1">
        <f>IF(H374 + I373 &lt; 0, H374 + I373, 0)</f>
        <v>0</v>
      </c>
      <c r="J374" s="1">
        <v>0</v>
      </c>
      <c r="K374" s="1">
        <f>IF(J374 + K373 &lt; 0, J374 + K373, 0)</f>
        <v>0</v>
      </c>
      <c r="L374" s="1">
        <v>0</v>
      </c>
      <c r="M374" s="1">
        <f>IF(L374 + M373 &lt; 0, L374 + M373, 0)</f>
        <v>0</v>
      </c>
      <c r="N374" s="1">
        <v>0</v>
      </c>
      <c r="O374" s="1">
        <f>IF(N374 + O373 &lt; 0, N374 + O373, 0)</f>
        <v>0</v>
      </c>
      <c r="P374" s="1">
        <v>0</v>
      </c>
      <c r="Q374" s="1">
        <f>IF(P374 + Q373 &lt; 0, P374 + Q373, 0)</f>
        <v>0</v>
      </c>
    </row>
    <row r="375" spans="1:17" s="1" customFormat="1">
      <c r="A375" s="3">
        <v>45845</v>
      </c>
      <c r="B375" s="1" t="s">
        <v>22</v>
      </c>
      <c r="C375" s="1">
        <v>19</v>
      </c>
      <c r="D375" s="1">
        <v>19</v>
      </c>
      <c r="E375" s="1">
        <v>0</v>
      </c>
      <c r="F375" s="1">
        <v>0</v>
      </c>
      <c r="G375" s="1">
        <v>0</v>
      </c>
      <c r="H375" s="1">
        <v>0</v>
      </c>
      <c r="I375" s="1">
        <f>IF(H375 + I374 &lt; 0, H375 + I374, 0)</f>
        <v>0</v>
      </c>
      <c r="J375" s="1">
        <v>0</v>
      </c>
      <c r="K375" s="1">
        <f>IF(J375 + K374 &lt; 0, J375 + K374, 0)</f>
        <v>0</v>
      </c>
      <c r="L375" s="1">
        <v>0</v>
      </c>
      <c r="M375" s="1">
        <f>IF(L375 + M374 &lt; 0, L375 + M374, 0)</f>
        <v>0</v>
      </c>
      <c r="N375" s="1">
        <v>0</v>
      </c>
      <c r="O375" s="1">
        <f>IF(N375 + O374 &lt; 0, N375 + O374, 0)</f>
        <v>0</v>
      </c>
      <c r="P375" s="1">
        <v>0</v>
      </c>
      <c r="Q375" s="1">
        <f>IF(P375 + Q374 &lt; 0, P375 + Q374, 0)</f>
        <v>0</v>
      </c>
    </row>
    <row r="376" spans="1:17" s="1" customFormat="1">
      <c r="A376" s="3">
        <v>45846</v>
      </c>
      <c r="B376" s="1" t="s">
        <v>23</v>
      </c>
      <c r="C376" s="1">
        <v>18</v>
      </c>
      <c r="D376" s="1">
        <v>18</v>
      </c>
      <c r="E376" s="1">
        <v>0</v>
      </c>
      <c r="F376" s="1">
        <v>0</v>
      </c>
      <c r="G376" s="1">
        <v>0</v>
      </c>
      <c r="H376" s="1">
        <v>0</v>
      </c>
      <c r="I376" s="1">
        <f>IF(H376 + I375 &lt; 0, H376 + I375, 0)</f>
        <v>0</v>
      </c>
      <c r="J376" s="1">
        <v>0</v>
      </c>
      <c r="K376" s="1">
        <f>IF(J376 + K375 &lt; 0, J376 + K375, 0)</f>
        <v>0</v>
      </c>
      <c r="L376" s="1">
        <v>0</v>
      </c>
      <c r="M376" s="1">
        <f>IF(L376 + M375 &lt; 0, L376 + M375, 0)</f>
        <v>0</v>
      </c>
      <c r="N376" s="1">
        <v>0</v>
      </c>
      <c r="O376" s="1">
        <f>IF(N376 + O375 &lt; 0, N376 + O375, 0)</f>
        <v>0</v>
      </c>
      <c r="P376" s="1">
        <v>1997191.64554404</v>
      </c>
      <c r="Q376" s="1">
        <f>IF(P376 + Q375 &lt; 0, P376 + Q375, 0)</f>
        <v>0</v>
      </c>
    </row>
    <row r="377" spans="1:17" s="1" customFormat="1">
      <c r="A377" s="3">
        <v>45847</v>
      </c>
      <c r="B377" s="1" t="s">
        <v>24</v>
      </c>
      <c r="C377" s="1">
        <v>17</v>
      </c>
      <c r="D377" s="1">
        <v>17</v>
      </c>
      <c r="E377" s="1">
        <v>0</v>
      </c>
      <c r="F377" s="1">
        <v>0</v>
      </c>
      <c r="G377" s="1">
        <v>0</v>
      </c>
      <c r="H377" s="1">
        <v>0</v>
      </c>
      <c r="I377" s="1">
        <f>IF(H377 + I376 &lt; 0, H377 + I376, 0)</f>
        <v>0</v>
      </c>
      <c r="J377" s="1">
        <v>0</v>
      </c>
      <c r="K377" s="1">
        <f>IF(J377 + K376 &lt; 0, J377 + K376, 0)</f>
        <v>0</v>
      </c>
      <c r="L377" s="1">
        <v>0</v>
      </c>
      <c r="M377" s="1">
        <f>IF(L377 + M376 &lt; 0, L377 + M376, 0)</f>
        <v>0</v>
      </c>
      <c r="N377" s="1">
        <v>0</v>
      </c>
      <c r="O377" s="1">
        <f>IF(N377 + O376 &lt; 0, N377 + O376, 0)</f>
        <v>0</v>
      </c>
      <c r="P377" s="1">
        <v>0</v>
      </c>
      <c r="Q377" s="1">
        <f>IF(P377 + Q376 &lt; 0, P377 + Q376, 0)</f>
        <v>0</v>
      </c>
    </row>
    <row r="378" spans="1:17" s="1" customFormat="1">
      <c r="A378" s="3">
        <v>45848</v>
      </c>
      <c r="B378" s="1" t="s">
        <v>25</v>
      </c>
      <c r="C378" s="1">
        <v>16</v>
      </c>
      <c r="D378" s="1">
        <v>16</v>
      </c>
      <c r="E378" s="1">
        <v>0</v>
      </c>
      <c r="F378" s="1">
        <v>0</v>
      </c>
      <c r="G378" s="1">
        <v>0</v>
      </c>
      <c r="H378" s="1">
        <v>0</v>
      </c>
      <c r="I378" s="1">
        <f>IF(H378 + I377 &lt; 0, H378 + I377, 0)</f>
        <v>0</v>
      </c>
      <c r="J378" s="1">
        <v>0</v>
      </c>
      <c r="K378" s="1">
        <f>IF(J378 + K377 &lt; 0, J378 + K377, 0)</f>
        <v>0</v>
      </c>
      <c r="L378" s="1">
        <v>1834370.534237769</v>
      </c>
      <c r="M378" s="1">
        <f>IF(L378 + M377 &lt; 0, L378 + M377, 0)</f>
        <v>0</v>
      </c>
      <c r="N378" s="1">
        <v>0</v>
      </c>
      <c r="O378" s="1">
        <f>IF(N378 + O377 &lt; 0, N378 + O377, 0)</f>
        <v>0</v>
      </c>
      <c r="P378" s="1">
        <v>0</v>
      </c>
      <c r="Q378" s="1">
        <f>IF(P378 + Q377 &lt; 0, P378 + Q377, 0)</f>
        <v>0</v>
      </c>
    </row>
    <row r="379" spans="1:17" s="1" customFormat="1">
      <c r="A379" s="3">
        <v>45849</v>
      </c>
      <c r="B379" s="1" t="s">
        <v>26</v>
      </c>
      <c r="C379" s="1">
        <v>15</v>
      </c>
      <c r="D379" s="1">
        <v>15</v>
      </c>
      <c r="E379" s="1">
        <v>0</v>
      </c>
      <c r="F379" s="1">
        <v>0</v>
      </c>
      <c r="G379" s="1">
        <v>0</v>
      </c>
      <c r="H379" s="1">
        <v>0</v>
      </c>
      <c r="I379" s="1">
        <f>IF(H379 + I378 &lt; 0, H379 + I378, 0)</f>
        <v>0</v>
      </c>
      <c r="J379" s="1">
        <v>0</v>
      </c>
      <c r="K379" s="1">
        <f>IF(J379 + K378 &lt; 0, J379 + K378, 0)</f>
        <v>0</v>
      </c>
      <c r="L379" s="1">
        <v>0</v>
      </c>
      <c r="M379" s="1">
        <f>IF(L379 + M378 &lt; 0, L379 + M378, 0)</f>
        <v>0</v>
      </c>
      <c r="N379" s="1">
        <v>0</v>
      </c>
      <c r="O379" s="1">
        <f>IF(N379 + O378 &lt; 0, N379 + O378, 0)</f>
        <v>0</v>
      </c>
      <c r="P379" s="1">
        <v>0</v>
      </c>
      <c r="Q379" s="1">
        <f>IF(P379 + Q378 &lt; 0, P379 + Q378, 0)</f>
        <v>0</v>
      </c>
    </row>
    <row r="380" spans="1:17" s="1" customFormat="1">
      <c r="A380" s="3">
        <v>45852</v>
      </c>
      <c r="B380" s="1" t="s">
        <v>22</v>
      </c>
      <c r="C380" s="1">
        <v>14</v>
      </c>
      <c r="D380" s="1">
        <v>14</v>
      </c>
      <c r="E380" s="1">
        <v>0</v>
      </c>
      <c r="F380" s="1">
        <v>0</v>
      </c>
      <c r="G380" s="1">
        <v>0</v>
      </c>
      <c r="H380" s="1">
        <v>0</v>
      </c>
      <c r="I380" s="1">
        <f>IF(H380 + I379 &lt; 0, H380 + I379, 0)</f>
        <v>0</v>
      </c>
      <c r="J380" s="1">
        <v>0</v>
      </c>
      <c r="K380" s="1">
        <f>IF(J380 + K379 &lt; 0, J380 + K379, 0)</f>
        <v>0</v>
      </c>
      <c r="L380" s="1">
        <v>0</v>
      </c>
      <c r="M380" s="1">
        <f>IF(L380 + M379 &lt; 0, L380 + M379, 0)</f>
        <v>0</v>
      </c>
      <c r="N380" s="1">
        <v>0</v>
      </c>
      <c r="O380" s="1">
        <f>IF(N380 + O379 &lt; 0, N380 + O379, 0)</f>
        <v>0</v>
      </c>
      <c r="P380" s="1">
        <v>0</v>
      </c>
      <c r="Q380" s="1">
        <f>IF(P380 + Q379 &lt; 0, P380 + Q379, 0)</f>
        <v>0</v>
      </c>
    </row>
    <row r="381" spans="1:17" s="1" customFormat="1">
      <c r="A381" s="3">
        <v>45853</v>
      </c>
      <c r="B381" s="1" t="s">
        <v>23</v>
      </c>
      <c r="C381" s="1">
        <v>13</v>
      </c>
      <c r="D381" s="1">
        <v>13</v>
      </c>
      <c r="E381" s="1">
        <v>0</v>
      </c>
      <c r="F381" s="1">
        <v>0</v>
      </c>
      <c r="G381" s="1">
        <v>0</v>
      </c>
      <c r="H381" s="1">
        <v>0</v>
      </c>
      <c r="I381" s="1">
        <f>IF(H381 + I380 &lt; 0, H381 + I380, 0)</f>
        <v>0</v>
      </c>
      <c r="J381" s="1">
        <v>0</v>
      </c>
      <c r="K381" s="1">
        <f>IF(J381 + K380 &lt; 0, J381 + K380, 0)</f>
        <v>0</v>
      </c>
      <c r="L381" s="1">
        <v>0</v>
      </c>
      <c r="M381" s="1">
        <f>IF(L381 + M380 &lt; 0, L381 + M380, 0)</f>
        <v>0</v>
      </c>
      <c r="N381" s="1">
        <v>0</v>
      </c>
      <c r="O381" s="1">
        <f>IF(N381 + O380 &lt; 0, N381 + O380, 0)</f>
        <v>0</v>
      </c>
      <c r="P381" s="1">
        <v>651299.8212529598</v>
      </c>
      <c r="Q381" s="1">
        <f>IF(P381 + Q380 &lt; 0, P381 + Q380, 0)</f>
        <v>0</v>
      </c>
    </row>
    <row r="382" spans="1:17" s="1" customFormat="1">
      <c r="A382" s="3">
        <v>45854</v>
      </c>
      <c r="B382" s="1" t="s">
        <v>24</v>
      </c>
      <c r="C382" s="1">
        <v>12</v>
      </c>
      <c r="D382" s="1">
        <v>12</v>
      </c>
      <c r="E382" s="1">
        <v>0</v>
      </c>
      <c r="F382" s="1">
        <v>0</v>
      </c>
      <c r="G382" s="1">
        <v>0</v>
      </c>
      <c r="H382" s="1">
        <v>0</v>
      </c>
      <c r="I382" s="1">
        <f>IF(H382 + I381 &lt; 0, H382 + I381, 0)</f>
        <v>0</v>
      </c>
      <c r="J382" s="1">
        <v>0</v>
      </c>
      <c r="K382" s="1">
        <f>IF(J382 + K381 &lt; 0, J382 + K381, 0)</f>
        <v>0</v>
      </c>
      <c r="L382" s="1">
        <v>0</v>
      </c>
      <c r="M382" s="1">
        <f>IF(L382 + M381 &lt; 0, L382 + M381, 0)</f>
        <v>0</v>
      </c>
      <c r="N382" s="1">
        <v>0</v>
      </c>
      <c r="O382" s="1">
        <f>IF(N382 + O381 &lt; 0, N382 + O381, 0)</f>
        <v>0</v>
      </c>
      <c r="P382" s="1">
        <v>0</v>
      </c>
      <c r="Q382" s="1">
        <f>IF(P382 + Q381 &lt; 0, P382 + Q381, 0)</f>
        <v>0</v>
      </c>
    </row>
    <row r="383" spans="1:17" s="1" customFormat="1">
      <c r="A383" s="3">
        <v>45855</v>
      </c>
      <c r="B383" s="1" t="s">
        <v>25</v>
      </c>
      <c r="C383" s="1">
        <v>11</v>
      </c>
      <c r="D383" s="1">
        <v>11</v>
      </c>
      <c r="E383" s="1">
        <v>0</v>
      </c>
      <c r="F383" s="1">
        <v>0</v>
      </c>
      <c r="G383" s="1">
        <v>0</v>
      </c>
      <c r="H383" s="1">
        <v>0</v>
      </c>
      <c r="I383" s="1">
        <f>IF(H383 + I382 &lt; 0, H383 + I382, 0)</f>
        <v>0</v>
      </c>
      <c r="J383" s="1">
        <v>0</v>
      </c>
      <c r="K383" s="1">
        <f>IF(J383 + K382 &lt; 0, J383 + K382, 0)</f>
        <v>0</v>
      </c>
      <c r="L383" s="1">
        <v>1686557.093296298</v>
      </c>
      <c r="M383" s="1">
        <f>IF(L383 + M382 &lt; 0, L383 + M382, 0)</f>
        <v>0</v>
      </c>
      <c r="N383" s="1">
        <v>0</v>
      </c>
      <c r="O383" s="1">
        <f>IF(N383 + O382 &lt; 0, N383 + O382, 0)</f>
        <v>0</v>
      </c>
      <c r="P383" s="1">
        <v>0</v>
      </c>
      <c r="Q383" s="1">
        <f>IF(P383 + Q382 &lt; 0, P383 + Q382, 0)</f>
        <v>0</v>
      </c>
    </row>
    <row r="384" spans="1:17" s="1" customFormat="1">
      <c r="A384" s="3">
        <v>45856</v>
      </c>
      <c r="B384" s="1" t="s">
        <v>26</v>
      </c>
      <c r="C384" s="1">
        <v>10</v>
      </c>
      <c r="D384" s="1">
        <v>10</v>
      </c>
      <c r="E384" s="1">
        <v>0</v>
      </c>
      <c r="F384" s="1">
        <v>0</v>
      </c>
      <c r="G384" s="1">
        <v>0</v>
      </c>
      <c r="H384" s="1">
        <v>0</v>
      </c>
      <c r="I384" s="1">
        <f>IF(H384 + I383 &lt; 0, H384 + I383, 0)</f>
        <v>0</v>
      </c>
      <c r="J384" s="1">
        <v>0</v>
      </c>
      <c r="K384" s="1">
        <f>IF(J384 + K383 &lt; 0, J384 + K383, 0)</f>
        <v>0</v>
      </c>
      <c r="L384" s="1">
        <v>0</v>
      </c>
      <c r="M384" s="1">
        <f>IF(L384 + M383 &lt; 0, L384 + M383, 0)</f>
        <v>0</v>
      </c>
      <c r="N384" s="1">
        <v>0</v>
      </c>
      <c r="O384" s="1">
        <f>IF(N384 + O383 &lt; 0, N384 + O383, 0)</f>
        <v>0</v>
      </c>
      <c r="P384" s="1">
        <v>0</v>
      </c>
      <c r="Q384" s="1">
        <f>IF(P384 + Q383 &lt; 0, P384 + Q383, 0)</f>
        <v>0</v>
      </c>
    </row>
    <row r="385" spans="1:17" s="1" customFormat="1">
      <c r="A385" s="3">
        <v>45859</v>
      </c>
      <c r="B385" s="1" t="s">
        <v>22</v>
      </c>
      <c r="C385" s="1">
        <v>9</v>
      </c>
      <c r="D385" s="1">
        <v>9</v>
      </c>
      <c r="E385" s="1">
        <v>0</v>
      </c>
      <c r="F385" s="1">
        <v>0</v>
      </c>
      <c r="G385" s="1">
        <v>0</v>
      </c>
      <c r="H385" s="1">
        <v>0</v>
      </c>
      <c r="I385" s="1">
        <f>IF(H385 + I384 &lt; 0, H385 + I384, 0)</f>
        <v>0</v>
      </c>
      <c r="J385" s="1">
        <v>0</v>
      </c>
      <c r="K385" s="1">
        <f>IF(J385 + K384 &lt; 0, J385 + K384, 0)</f>
        <v>0</v>
      </c>
      <c r="L385" s="1">
        <v>0</v>
      </c>
      <c r="M385" s="1">
        <f>IF(L385 + M384 &lt; 0, L385 + M384, 0)</f>
        <v>0</v>
      </c>
      <c r="N385" s="1">
        <v>0</v>
      </c>
      <c r="O385" s="1">
        <f>IF(N385 + O384 &lt; 0, N385 + O384, 0)</f>
        <v>0</v>
      </c>
      <c r="P385" s="1">
        <v>0</v>
      </c>
      <c r="Q385" s="1">
        <f>IF(P385 + Q384 &lt; 0, P385 + Q384, 0)</f>
        <v>0</v>
      </c>
    </row>
    <row r="386" spans="1:17" s="1" customFormat="1">
      <c r="A386" s="3">
        <v>45860</v>
      </c>
      <c r="B386" s="1" t="s">
        <v>23</v>
      </c>
      <c r="C386" s="1">
        <v>8</v>
      </c>
      <c r="D386" s="1">
        <v>8</v>
      </c>
      <c r="E386" s="1">
        <v>0</v>
      </c>
      <c r="F386" s="1">
        <v>0</v>
      </c>
      <c r="G386" s="1">
        <v>0</v>
      </c>
      <c r="H386" s="1">
        <v>0</v>
      </c>
      <c r="I386" s="1">
        <f>IF(H386 + I385 &lt; 0, H386 + I385, 0)</f>
        <v>0</v>
      </c>
      <c r="J386" s="1">
        <v>0</v>
      </c>
      <c r="K386" s="1">
        <f>IF(J386 + K385 &lt; 0, J386 + K385, 0)</f>
        <v>0</v>
      </c>
      <c r="L386" s="1">
        <v>0</v>
      </c>
      <c r="M386" s="1">
        <f>IF(L386 + M385 &lt; 0, L386 + M385, 0)</f>
        <v>0</v>
      </c>
      <c r="N386" s="1">
        <v>0</v>
      </c>
      <c r="O386" s="1">
        <f>IF(N386 + O385 &lt; 0, N386 + O385, 0)</f>
        <v>0</v>
      </c>
      <c r="P386" s="1">
        <v>85056.97627366234</v>
      </c>
      <c r="Q386" s="1">
        <f>IF(P386 + Q385 &lt; 0, P386 + Q385, 0)</f>
        <v>0</v>
      </c>
    </row>
    <row r="387" spans="1:17" s="1" customFormat="1">
      <c r="A387" s="3">
        <v>45861</v>
      </c>
      <c r="B387" s="1" t="s">
        <v>24</v>
      </c>
      <c r="C387" s="1">
        <v>7</v>
      </c>
      <c r="D387" s="1">
        <v>7</v>
      </c>
      <c r="E387" s="1">
        <v>0</v>
      </c>
      <c r="F387" s="1">
        <v>0</v>
      </c>
      <c r="G387" s="1">
        <v>0</v>
      </c>
      <c r="H387" s="1">
        <v>0</v>
      </c>
      <c r="I387" s="1">
        <f>IF(H387 + I386 &lt; 0, H387 + I386, 0)</f>
        <v>0</v>
      </c>
      <c r="J387" s="1">
        <v>0</v>
      </c>
      <c r="K387" s="1">
        <f>IF(J387 + K386 &lt; 0, J387 + K386, 0)</f>
        <v>0</v>
      </c>
      <c r="L387" s="1">
        <v>0</v>
      </c>
      <c r="M387" s="1">
        <f>IF(L387 + M386 &lt; 0, L387 + M386, 0)</f>
        <v>0</v>
      </c>
      <c r="N387" s="1">
        <v>0</v>
      </c>
      <c r="O387" s="1">
        <f>IF(N387 + O386 &lt; 0, N387 + O386, 0)</f>
        <v>0</v>
      </c>
      <c r="P387" s="1">
        <v>0</v>
      </c>
      <c r="Q387" s="1">
        <f>IF(P387 + Q386 &lt; 0, P387 + Q386, 0)</f>
        <v>0</v>
      </c>
    </row>
    <row r="388" spans="1:17" s="1" customFormat="1">
      <c r="A388" s="3">
        <v>45862</v>
      </c>
      <c r="B388" s="1" t="s">
        <v>25</v>
      </c>
      <c r="C388" s="1">
        <v>6</v>
      </c>
      <c r="D388" s="1">
        <v>6</v>
      </c>
      <c r="E388" s="1">
        <v>0</v>
      </c>
      <c r="F388" s="1">
        <v>0</v>
      </c>
      <c r="G388" s="1">
        <v>0</v>
      </c>
      <c r="H388" s="1">
        <v>0</v>
      </c>
      <c r="I388" s="1">
        <f>IF(H388 + I387 &lt; 0, H388 + I387, 0)</f>
        <v>0</v>
      </c>
      <c r="J388" s="1">
        <v>0</v>
      </c>
      <c r="K388" s="1">
        <f>IF(J388 + K387 &lt; 0, J388 + K387, 0)</f>
        <v>0</v>
      </c>
      <c r="L388" s="1">
        <v>907297.0316038681</v>
      </c>
      <c r="M388" s="1">
        <f>IF(L388 + M387 &lt; 0, L388 + M387, 0)</f>
        <v>0</v>
      </c>
      <c r="N388" s="1">
        <v>0</v>
      </c>
      <c r="O388" s="1">
        <f>IF(N388 + O387 &lt; 0, N388 + O387, 0)</f>
        <v>0</v>
      </c>
      <c r="P388" s="1">
        <v>0</v>
      </c>
      <c r="Q388" s="1">
        <f>IF(P388 + Q387 &lt; 0, P388 + Q387, 0)</f>
        <v>0</v>
      </c>
    </row>
    <row r="389" spans="1:17" s="1" customFormat="1">
      <c r="A389" s="3">
        <v>45863</v>
      </c>
      <c r="B389" s="1" t="s">
        <v>26</v>
      </c>
      <c r="C389" s="1">
        <v>5</v>
      </c>
      <c r="D389" s="1">
        <v>5</v>
      </c>
      <c r="E389" s="1">
        <v>0</v>
      </c>
      <c r="F389" s="1">
        <v>0</v>
      </c>
      <c r="G389" s="1">
        <v>0</v>
      </c>
      <c r="H389" s="1">
        <v>0</v>
      </c>
      <c r="I389" s="1">
        <f>IF(H389 + I388 &lt; 0, H389 + I388, 0)</f>
        <v>0</v>
      </c>
      <c r="J389" s="1">
        <v>0</v>
      </c>
      <c r="K389" s="1">
        <f>IF(J389 + K388 &lt; 0, J389 + K388, 0)</f>
        <v>0</v>
      </c>
      <c r="L389" s="1">
        <v>0</v>
      </c>
      <c r="M389" s="1">
        <f>IF(L389 + M388 &lt; 0, L389 + M388, 0)</f>
        <v>0</v>
      </c>
      <c r="N389" s="1">
        <v>0</v>
      </c>
      <c r="O389" s="1">
        <f>IF(N389 + O388 &lt; 0, N389 + O388, 0)</f>
        <v>0</v>
      </c>
      <c r="P389" s="1">
        <v>0</v>
      </c>
      <c r="Q389" s="1">
        <f>IF(P389 + Q388 &lt; 0, P389 + Q388, 0)</f>
        <v>0</v>
      </c>
    </row>
    <row r="390" spans="1:17" s="1" customFormat="1">
      <c r="A390" s="3">
        <v>45866</v>
      </c>
      <c r="B390" s="1" t="s">
        <v>22</v>
      </c>
      <c r="C390" s="1">
        <v>4</v>
      </c>
      <c r="D390" s="1">
        <v>4</v>
      </c>
      <c r="E390" s="1">
        <v>0</v>
      </c>
      <c r="F390" s="1">
        <v>0</v>
      </c>
      <c r="G390" s="1">
        <v>0</v>
      </c>
      <c r="H390" s="1">
        <v>0</v>
      </c>
      <c r="I390" s="1">
        <f>IF(H390 + I389 &lt; 0, H390 + I389, 0)</f>
        <v>0</v>
      </c>
      <c r="J390" s="1">
        <v>0</v>
      </c>
      <c r="K390" s="1">
        <f>IF(J390 + K389 &lt; 0, J390 + K389, 0)</f>
        <v>0</v>
      </c>
      <c r="L390" s="1">
        <v>0</v>
      </c>
      <c r="M390" s="1">
        <f>IF(L390 + M389 &lt; 0, L390 + M389, 0)</f>
        <v>0</v>
      </c>
      <c r="N390" s="1">
        <v>0</v>
      </c>
      <c r="O390" s="1">
        <f>IF(N390 + O389 &lt; 0, N390 + O389, 0)</f>
        <v>0</v>
      </c>
      <c r="P390" s="1">
        <v>0</v>
      </c>
      <c r="Q390" s="1">
        <f>IF(P390 + Q389 &lt; 0, P390 + Q389, 0)</f>
        <v>0</v>
      </c>
    </row>
    <row r="391" spans="1:17" s="1" customFormat="1">
      <c r="A391" s="3">
        <v>45867</v>
      </c>
      <c r="B391" s="1" t="s">
        <v>23</v>
      </c>
      <c r="C391" s="1">
        <v>3</v>
      </c>
      <c r="D391" s="1">
        <v>3</v>
      </c>
      <c r="E391" s="1">
        <v>0</v>
      </c>
      <c r="F391" s="1">
        <v>0</v>
      </c>
      <c r="G391" s="1">
        <v>0</v>
      </c>
      <c r="H391" s="1">
        <v>0</v>
      </c>
      <c r="I391" s="1">
        <f>IF(H391 + I390 &lt; 0, H391 + I390, 0)</f>
        <v>0</v>
      </c>
      <c r="J391" s="1">
        <v>0</v>
      </c>
      <c r="K391" s="1">
        <f>IF(J391 + K390 &lt; 0, J391 + K390, 0)</f>
        <v>0</v>
      </c>
      <c r="L391" s="1">
        <v>0</v>
      </c>
      <c r="M391" s="1">
        <f>IF(L391 + M390 &lt; 0, L391 + M390, 0)</f>
        <v>0</v>
      </c>
      <c r="N391" s="1">
        <v>0</v>
      </c>
      <c r="O391" s="1">
        <f>IF(N391 + O390 &lt; 0, N391 + O390, 0)</f>
        <v>0</v>
      </c>
      <c r="P391" s="1">
        <v>-1821390.080618363</v>
      </c>
      <c r="Q391" s="1">
        <f>IF(P391 + Q390 &lt; 0, P391 + Q390, 0)</f>
        <v>0</v>
      </c>
    </row>
    <row r="392" spans="1:17" s="1" customFormat="1">
      <c r="A392" s="3">
        <v>45868</v>
      </c>
      <c r="B392" s="1" t="s">
        <v>24</v>
      </c>
      <c r="C392" s="1">
        <v>2</v>
      </c>
      <c r="D392" s="1">
        <v>2</v>
      </c>
      <c r="E392" s="1">
        <v>0</v>
      </c>
      <c r="F392" s="1">
        <v>0</v>
      </c>
      <c r="G392" s="1">
        <v>0</v>
      </c>
      <c r="H392" s="1">
        <v>0</v>
      </c>
      <c r="I392" s="1">
        <f>IF(H392 + I391 &lt; 0, H392 + I391, 0)</f>
        <v>0</v>
      </c>
      <c r="J392" s="1">
        <v>0</v>
      </c>
      <c r="K392" s="1">
        <f>IF(J392 + K391 &lt; 0, J392 + K391, 0)</f>
        <v>0</v>
      </c>
      <c r="L392" s="1">
        <v>0</v>
      </c>
      <c r="M392" s="1">
        <f>IF(L392 + M391 &lt; 0, L392 + M391, 0)</f>
        <v>0</v>
      </c>
      <c r="N392" s="1">
        <v>0</v>
      </c>
      <c r="O392" s="1">
        <f>IF(N392 + O391 &lt; 0, N392 + O391, 0)</f>
        <v>0</v>
      </c>
      <c r="P392" s="1">
        <v>0</v>
      </c>
      <c r="Q392" s="1">
        <f>IF(P392 + Q391 &lt; 0, P392 + Q391, 0)</f>
        <v>0</v>
      </c>
    </row>
    <row r="393" spans="1:17" s="1" customFormat="1">
      <c r="A393" s="3">
        <v>45869</v>
      </c>
      <c r="B393" s="1" t="s">
        <v>25</v>
      </c>
      <c r="C393" s="1">
        <v>1</v>
      </c>
      <c r="D393" s="1">
        <v>1</v>
      </c>
      <c r="E393" s="1">
        <v>0</v>
      </c>
      <c r="F393" s="1">
        <v>0</v>
      </c>
      <c r="G393" s="1">
        <v>0</v>
      </c>
      <c r="H393" s="1">
        <v>0</v>
      </c>
      <c r="I393" s="1">
        <f>IF(H393 + I392 &lt; 0, H393 + I392, 0)</f>
        <v>0</v>
      </c>
      <c r="J393" s="1">
        <v>0</v>
      </c>
      <c r="K393" s="1">
        <f>IF(J393 + K392 &lt; 0, J393 + K392, 0)</f>
        <v>0</v>
      </c>
      <c r="L393" s="1">
        <v>-1233888.220286096</v>
      </c>
      <c r="M393" s="1">
        <f>IF(L393 + M392 &lt; 0, L393 + M392, 0)</f>
        <v>0</v>
      </c>
      <c r="N393" s="1">
        <v>0</v>
      </c>
      <c r="O393" s="1">
        <f>IF(N393 + O392 &lt; 0, N393 + O392, 0)</f>
        <v>0</v>
      </c>
      <c r="P393" s="1">
        <v>0</v>
      </c>
      <c r="Q393" s="1">
        <f>IF(P393 + Q392 &lt; 0, P393 + Q392, 0)</f>
        <v>0</v>
      </c>
    </row>
    <row r="394" spans="1:17" s="1" customFormat="1">
      <c r="A394" s="3">
        <v>45870</v>
      </c>
      <c r="B394" s="1" t="s">
        <v>26</v>
      </c>
      <c r="C394" s="1">
        <v>18</v>
      </c>
      <c r="D394" s="1">
        <v>18</v>
      </c>
      <c r="E394" s="1">
        <v>0</v>
      </c>
      <c r="F394" s="1">
        <v>0</v>
      </c>
      <c r="G394" s="1">
        <v>0</v>
      </c>
      <c r="H394" s="1">
        <v>0</v>
      </c>
      <c r="I394" s="1">
        <f>IF(H394 + I393 &lt; 0, H394 + I393, 0)</f>
        <v>0</v>
      </c>
      <c r="J394" s="1">
        <v>0</v>
      </c>
      <c r="K394" s="1">
        <f>IF(J394 + K393 &lt; 0, J394 + K393, 0)</f>
        <v>0</v>
      </c>
      <c r="L394" s="1">
        <v>0</v>
      </c>
      <c r="M394" s="1">
        <f>IF(L394 + M393 &lt; 0, L394 + M393, 0)</f>
        <v>0</v>
      </c>
      <c r="N394" s="1">
        <v>0</v>
      </c>
      <c r="O394" s="1">
        <f>IF(N394 + O393 &lt; 0, N394 + O393, 0)</f>
        <v>0</v>
      </c>
      <c r="P394" s="1">
        <v>0</v>
      </c>
      <c r="Q394" s="1">
        <f>IF(P394 + Q393 &lt; 0, P394 + Q393, 0)</f>
        <v>0</v>
      </c>
    </row>
    <row r="395" spans="1:17" s="1" customFormat="1">
      <c r="A395" s="3">
        <v>45873</v>
      </c>
      <c r="B395" s="1" t="s">
        <v>22</v>
      </c>
      <c r="C395" s="1">
        <v>17</v>
      </c>
      <c r="D395" s="1">
        <v>17</v>
      </c>
      <c r="E395" s="1">
        <v>0</v>
      </c>
      <c r="F395" s="1">
        <v>0</v>
      </c>
      <c r="G395" s="1">
        <v>0</v>
      </c>
      <c r="H395" s="1">
        <v>0</v>
      </c>
      <c r="I395" s="1">
        <f>IF(H395 + I394 &lt; 0, H395 + I394, 0)</f>
        <v>0</v>
      </c>
      <c r="J395" s="1">
        <v>0</v>
      </c>
      <c r="K395" s="1">
        <f>IF(J395 + K394 &lt; 0, J395 + K394, 0)</f>
        <v>0</v>
      </c>
      <c r="L395" s="1">
        <v>0</v>
      </c>
      <c r="M395" s="1">
        <f>IF(L395 + M394 &lt; 0, L395 + M394, 0)</f>
        <v>0</v>
      </c>
      <c r="N395" s="1">
        <v>0</v>
      </c>
      <c r="O395" s="1">
        <f>IF(N395 + O394 &lt; 0, N395 + O394, 0)</f>
        <v>0</v>
      </c>
      <c r="P395" s="1">
        <v>0</v>
      </c>
      <c r="Q395" s="1">
        <f>IF(P395 + Q394 &lt; 0, P395 + Q394, 0)</f>
        <v>0</v>
      </c>
    </row>
    <row r="396" spans="1:17" s="1" customFormat="1">
      <c r="A396" s="3">
        <v>45874</v>
      </c>
      <c r="B396" s="1" t="s">
        <v>23</v>
      </c>
      <c r="C396" s="1">
        <v>16</v>
      </c>
      <c r="D396" s="1">
        <v>16</v>
      </c>
      <c r="E396" s="1">
        <v>0</v>
      </c>
      <c r="F396" s="1">
        <v>0</v>
      </c>
      <c r="G396" s="1">
        <v>0</v>
      </c>
      <c r="H396" s="1">
        <v>0</v>
      </c>
      <c r="I396" s="1">
        <f>IF(H396 + I395 &lt; 0, H396 + I395, 0)</f>
        <v>0</v>
      </c>
      <c r="J396" s="1">
        <v>0</v>
      </c>
      <c r="K396" s="1">
        <f>IF(J396 + K395 &lt; 0, J396 + K395, 0)</f>
        <v>0</v>
      </c>
      <c r="L396" s="1">
        <v>0</v>
      </c>
      <c r="M396" s="1">
        <f>IF(L396 + M395 &lt; 0, L396 + M395, 0)</f>
        <v>0</v>
      </c>
      <c r="N396" s="1">
        <v>0</v>
      </c>
      <c r="O396" s="1">
        <f>IF(N396 + O395 &lt; 0, N396 + O395, 0)</f>
        <v>0</v>
      </c>
      <c r="P396" s="1">
        <v>616274.5834885393</v>
      </c>
      <c r="Q396" s="1">
        <f>IF(P396 + Q395 &lt; 0, P396 + Q395, 0)</f>
        <v>0</v>
      </c>
    </row>
    <row r="397" spans="1:17" s="1" customFormat="1">
      <c r="A397" s="3">
        <v>45875</v>
      </c>
      <c r="B397" s="1" t="s">
        <v>24</v>
      </c>
      <c r="C397" s="1">
        <v>15</v>
      </c>
      <c r="D397" s="1">
        <v>15</v>
      </c>
      <c r="E397" s="1">
        <v>0</v>
      </c>
      <c r="F397" s="1">
        <v>0</v>
      </c>
      <c r="G397" s="1">
        <v>0</v>
      </c>
      <c r="H397" s="1">
        <v>0</v>
      </c>
      <c r="I397" s="1">
        <f>IF(H397 + I396 &lt; 0, H397 + I396, 0)</f>
        <v>0</v>
      </c>
      <c r="J397" s="1">
        <v>0</v>
      </c>
      <c r="K397" s="1">
        <f>IF(J397 + K396 &lt; 0, J397 + K396, 0)</f>
        <v>0</v>
      </c>
      <c r="L397" s="1">
        <v>0</v>
      </c>
      <c r="M397" s="1">
        <f>IF(L397 + M396 &lt; 0, L397 + M396, 0)</f>
        <v>0</v>
      </c>
      <c r="N397" s="1">
        <v>0</v>
      </c>
      <c r="O397" s="1">
        <f>IF(N397 + O396 &lt; 0, N397 + O396, 0)</f>
        <v>0</v>
      </c>
      <c r="P397" s="1">
        <v>0</v>
      </c>
      <c r="Q397" s="1">
        <f>IF(P397 + Q396 &lt; 0, P397 + Q396, 0)</f>
        <v>0</v>
      </c>
    </row>
    <row r="398" spans="1:17" s="1" customFormat="1">
      <c r="A398" s="3">
        <v>45876</v>
      </c>
      <c r="B398" s="1" t="s">
        <v>25</v>
      </c>
      <c r="C398" s="1">
        <v>14</v>
      </c>
      <c r="D398" s="1">
        <v>14</v>
      </c>
      <c r="E398" s="1">
        <v>0</v>
      </c>
      <c r="F398" s="1">
        <v>0</v>
      </c>
      <c r="G398" s="1">
        <v>0</v>
      </c>
      <c r="H398" s="1">
        <v>0</v>
      </c>
      <c r="I398" s="1">
        <f>IF(H398 + I397 &lt; 0, H398 + I397, 0)</f>
        <v>0</v>
      </c>
      <c r="J398" s="1">
        <v>0</v>
      </c>
      <c r="K398" s="1">
        <f>IF(J398 + K397 &lt; 0, J398 + K397, 0)</f>
        <v>0</v>
      </c>
      <c r="L398" s="1">
        <v>1177432.880142209</v>
      </c>
      <c r="M398" s="1">
        <f>IF(L398 + M397 &lt; 0, L398 + M397, 0)</f>
        <v>0</v>
      </c>
      <c r="N398" s="1">
        <v>0</v>
      </c>
      <c r="O398" s="1">
        <f>IF(N398 + O397 &lt; 0, N398 + O397, 0)</f>
        <v>0</v>
      </c>
      <c r="P398" s="1">
        <v>0</v>
      </c>
      <c r="Q398" s="1">
        <f>IF(P398 + Q397 &lt; 0, P398 + Q397, 0)</f>
        <v>0</v>
      </c>
    </row>
    <row r="399" spans="1:17" s="1" customFormat="1">
      <c r="A399" s="3">
        <v>45877</v>
      </c>
      <c r="B399" s="1" t="s">
        <v>26</v>
      </c>
      <c r="C399" s="1">
        <v>13</v>
      </c>
      <c r="D399" s="1">
        <v>13</v>
      </c>
      <c r="E399" s="1">
        <v>0</v>
      </c>
      <c r="F399" s="1">
        <v>0</v>
      </c>
      <c r="G399" s="1">
        <v>0</v>
      </c>
      <c r="H399" s="1">
        <v>0</v>
      </c>
      <c r="I399" s="1">
        <f>IF(H399 + I398 &lt; 0, H399 + I398, 0)</f>
        <v>0</v>
      </c>
      <c r="J399" s="1">
        <v>0</v>
      </c>
      <c r="K399" s="1">
        <f>IF(J399 + K398 &lt; 0, J399 + K398, 0)</f>
        <v>0</v>
      </c>
      <c r="L399" s="1">
        <v>0</v>
      </c>
      <c r="M399" s="1">
        <f>IF(L399 + M398 &lt; 0, L399 + M398, 0)</f>
        <v>0</v>
      </c>
      <c r="N399" s="1">
        <v>0</v>
      </c>
      <c r="O399" s="1">
        <f>IF(N399 + O398 &lt; 0, N399 + O398, 0)</f>
        <v>0</v>
      </c>
      <c r="P399" s="1">
        <v>0</v>
      </c>
      <c r="Q399" s="1">
        <f>IF(P399 + Q398 &lt; 0, P399 + Q398, 0)</f>
        <v>0</v>
      </c>
    </row>
    <row r="400" spans="1:17" s="1" customFormat="1">
      <c r="A400" s="3">
        <v>45880</v>
      </c>
      <c r="B400" s="1" t="s">
        <v>22</v>
      </c>
      <c r="C400" s="1">
        <v>12</v>
      </c>
      <c r="D400" s="1">
        <v>12</v>
      </c>
      <c r="E400" s="1">
        <v>0</v>
      </c>
      <c r="F400" s="1">
        <v>0</v>
      </c>
      <c r="G400" s="1">
        <v>0</v>
      </c>
      <c r="H400" s="1">
        <v>0</v>
      </c>
      <c r="I400" s="1">
        <f>IF(H400 + I399 &lt; 0, H400 + I399, 0)</f>
        <v>0</v>
      </c>
      <c r="J400" s="1">
        <v>0</v>
      </c>
      <c r="K400" s="1">
        <f>IF(J400 + K399 &lt; 0, J400 + K399, 0)</f>
        <v>0</v>
      </c>
      <c r="L400" s="1">
        <v>0</v>
      </c>
      <c r="M400" s="1">
        <f>IF(L400 + M399 &lt; 0, L400 + M399, 0)</f>
        <v>0</v>
      </c>
      <c r="N400" s="1">
        <v>0</v>
      </c>
      <c r="O400" s="1">
        <f>IF(N400 + O399 &lt; 0, N400 + O399, 0)</f>
        <v>0</v>
      </c>
      <c r="P400" s="1">
        <v>0</v>
      </c>
      <c r="Q400" s="1">
        <f>IF(P400 + Q399 &lt; 0, P400 + Q399, 0)</f>
        <v>0</v>
      </c>
    </row>
    <row r="401" spans="1:17" s="1" customFormat="1">
      <c r="A401" s="3">
        <v>45881</v>
      </c>
      <c r="B401" s="1" t="s">
        <v>23</v>
      </c>
      <c r="C401" s="1">
        <v>11</v>
      </c>
      <c r="D401" s="1">
        <v>11</v>
      </c>
      <c r="E401" s="1">
        <v>0</v>
      </c>
      <c r="F401" s="1">
        <v>0</v>
      </c>
      <c r="G401" s="1">
        <v>0</v>
      </c>
      <c r="H401" s="1">
        <v>0</v>
      </c>
      <c r="I401" s="1">
        <f>IF(H401 + I400 &lt; 0, H401 + I400, 0)</f>
        <v>0</v>
      </c>
      <c r="J401" s="1">
        <v>0</v>
      </c>
      <c r="K401" s="1">
        <f>IF(J401 + K400 &lt; 0, J401 + K400, 0)</f>
        <v>0</v>
      </c>
      <c r="L401" s="1">
        <v>0</v>
      </c>
      <c r="M401" s="1">
        <f>IF(L401 + M400 &lt; 0, L401 + M400, 0)</f>
        <v>0</v>
      </c>
      <c r="N401" s="1">
        <v>0</v>
      </c>
      <c r="O401" s="1">
        <f>IF(N401 + O400 &lt; 0, N401 + O400, 0)</f>
        <v>0</v>
      </c>
      <c r="P401" s="1">
        <v>-312985.8976661807</v>
      </c>
      <c r="Q401" s="1">
        <f>IF(P401 + Q400 &lt; 0, P401 + Q400, 0)</f>
        <v>0</v>
      </c>
    </row>
    <row r="402" spans="1:17" s="1" customFormat="1">
      <c r="A402" s="3">
        <v>45882</v>
      </c>
      <c r="B402" s="1" t="s">
        <v>24</v>
      </c>
      <c r="C402" s="1">
        <v>10</v>
      </c>
      <c r="D402" s="1">
        <v>10</v>
      </c>
      <c r="E402" s="1">
        <v>0</v>
      </c>
      <c r="F402" s="1">
        <v>0</v>
      </c>
      <c r="G402" s="1">
        <v>0</v>
      </c>
      <c r="H402" s="1">
        <v>0</v>
      </c>
      <c r="I402" s="1">
        <f>IF(H402 + I401 &lt; 0, H402 + I401, 0)</f>
        <v>0</v>
      </c>
      <c r="J402" s="1">
        <v>0</v>
      </c>
      <c r="K402" s="1">
        <f>IF(J402 + K401 &lt; 0, J402 + K401, 0)</f>
        <v>0</v>
      </c>
      <c r="L402" s="1">
        <v>0</v>
      </c>
      <c r="M402" s="1">
        <f>IF(L402 + M401 &lt; 0, L402 + M401, 0)</f>
        <v>0</v>
      </c>
      <c r="N402" s="1">
        <v>0</v>
      </c>
      <c r="O402" s="1">
        <f>IF(N402 + O401 &lt; 0, N402 + O401, 0)</f>
        <v>0</v>
      </c>
      <c r="P402" s="1">
        <v>0</v>
      </c>
      <c r="Q402" s="1">
        <f>IF(P402 + Q401 &lt; 0, P402 + Q401, 0)</f>
        <v>0</v>
      </c>
    </row>
    <row r="403" spans="1:17" s="1" customFormat="1">
      <c r="A403" s="3">
        <v>45883</v>
      </c>
      <c r="B403" s="1" t="s">
        <v>25</v>
      </c>
      <c r="C403" s="1">
        <v>9</v>
      </c>
      <c r="D403" s="1">
        <v>9</v>
      </c>
      <c r="E403" s="1">
        <v>0</v>
      </c>
      <c r="F403" s="1">
        <v>0</v>
      </c>
      <c r="G403" s="1">
        <v>0</v>
      </c>
      <c r="H403" s="1">
        <v>0</v>
      </c>
      <c r="I403" s="1">
        <f>IF(H403 + I402 &lt; 0, H403 + I402, 0)</f>
        <v>0</v>
      </c>
      <c r="J403" s="1">
        <v>0</v>
      </c>
      <c r="K403" s="1">
        <f>IF(J403 + K402 &lt; 0, J403 + K402, 0)</f>
        <v>0</v>
      </c>
      <c r="L403" s="1">
        <v>1583642.040964316</v>
      </c>
      <c r="M403" s="1">
        <f>IF(L403 + M402 &lt; 0, L403 + M402, 0)</f>
        <v>0</v>
      </c>
      <c r="N403" s="1">
        <v>0</v>
      </c>
      <c r="O403" s="1">
        <f>IF(N403 + O402 &lt; 0, N403 + O402, 0)</f>
        <v>0</v>
      </c>
      <c r="P403" s="1">
        <v>0</v>
      </c>
      <c r="Q403" s="1">
        <f>IF(P403 + Q402 &lt; 0, P403 + Q402, 0)</f>
        <v>0</v>
      </c>
    </row>
    <row r="404" spans="1:17" s="1" customFormat="1">
      <c r="A404" s="3">
        <v>45887</v>
      </c>
      <c r="B404" s="1" t="s">
        <v>22</v>
      </c>
      <c r="C404" s="1">
        <v>8</v>
      </c>
      <c r="D404" s="1">
        <v>8</v>
      </c>
      <c r="E404" s="1">
        <v>0</v>
      </c>
      <c r="F404" s="1">
        <v>0</v>
      </c>
      <c r="G404" s="1">
        <v>0</v>
      </c>
      <c r="H404" s="1">
        <v>0</v>
      </c>
      <c r="I404" s="1">
        <f>IF(H404 + I403 &lt; 0, H404 + I403, 0)</f>
        <v>0</v>
      </c>
      <c r="J404" s="1">
        <v>0</v>
      </c>
      <c r="K404" s="1">
        <f>IF(J404 + K403 &lt; 0, J404 + K403, 0)</f>
        <v>0</v>
      </c>
      <c r="L404" s="1">
        <v>0</v>
      </c>
      <c r="M404" s="1">
        <f>IF(L404 + M403 &lt; 0, L404 + M403, 0)</f>
        <v>0</v>
      </c>
      <c r="N404" s="1">
        <v>0</v>
      </c>
      <c r="O404" s="1">
        <f>IF(N404 + O403 &lt; 0, N404 + O403, 0)</f>
        <v>0</v>
      </c>
      <c r="P404" s="1">
        <v>0</v>
      </c>
      <c r="Q404" s="1">
        <f>IF(P404 + Q403 &lt; 0, P404 + Q403, 0)</f>
        <v>0</v>
      </c>
    </row>
    <row r="405" spans="1:17" s="1" customFormat="1">
      <c r="A405" s="3">
        <v>45888</v>
      </c>
      <c r="B405" s="1" t="s">
        <v>23</v>
      </c>
      <c r="C405" s="1">
        <v>7</v>
      </c>
      <c r="D405" s="1">
        <v>7</v>
      </c>
      <c r="E405" s="1">
        <v>0</v>
      </c>
      <c r="F405" s="1">
        <v>0</v>
      </c>
      <c r="G405" s="1">
        <v>0</v>
      </c>
      <c r="H405" s="1">
        <v>0</v>
      </c>
      <c r="I405" s="1">
        <f>IF(H405 + I404 &lt; 0, H405 + I404, 0)</f>
        <v>0</v>
      </c>
      <c r="J405" s="1">
        <v>0</v>
      </c>
      <c r="K405" s="1">
        <f>IF(J405 + K404 &lt; 0, J405 + K404, 0)</f>
        <v>0</v>
      </c>
      <c r="L405" s="1">
        <v>0</v>
      </c>
      <c r="M405" s="1">
        <f>IF(L405 + M404 &lt; 0, L405 + M404, 0)</f>
        <v>0</v>
      </c>
      <c r="N405" s="1">
        <v>0</v>
      </c>
      <c r="O405" s="1">
        <f>IF(N405 + O404 &lt; 0, N405 + O404, 0)</f>
        <v>0</v>
      </c>
      <c r="P405" s="1">
        <v>664033.1608665036</v>
      </c>
      <c r="Q405" s="1">
        <f>IF(P405 + Q404 &lt; 0, P405 + Q404, 0)</f>
        <v>0</v>
      </c>
    </row>
    <row r="406" spans="1:17" s="1" customFormat="1">
      <c r="A406" s="3">
        <v>45889</v>
      </c>
      <c r="B406" s="1" t="s">
        <v>24</v>
      </c>
      <c r="C406" s="1">
        <v>6</v>
      </c>
      <c r="D406" s="1">
        <v>6</v>
      </c>
      <c r="E406" s="1">
        <v>0</v>
      </c>
      <c r="F406" s="1">
        <v>0</v>
      </c>
      <c r="G406" s="1">
        <v>0</v>
      </c>
      <c r="H406" s="1">
        <v>0</v>
      </c>
      <c r="I406" s="1">
        <f>IF(H406 + I405 &lt; 0, H406 + I405, 0)</f>
        <v>0</v>
      </c>
      <c r="J406" s="1">
        <v>0</v>
      </c>
      <c r="K406" s="1">
        <f>IF(J406 + K405 &lt; 0, J406 + K405, 0)</f>
        <v>0</v>
      </c>
      <c r="L406" s="1">
        <v>0</v>
      </c>
      <c r="M406" s="1">
        <f>IF(L406 + M405 &lt; 0, L406 + M405, 0)</f>
        <v>0</v>
      </c>
      <c r="N406" s="1">
        <v>0</v>
      </c>
      <c r="O406" s="1">
        <f>IF(N406 + O405 &lt; 0, N406 + O405, 0)</f>
        <v>0</v>
      </c>
      <c r="P406" s="1">
        <v>0</v>
      </c>
      <c r="Q406" s="1">
        <f>IF(P406 + Q405 &lt; 0, P406 + Q405, 0)</f>
        <v>0</v>
      </c>
    </row>
    <row r="407" spans="1:17" s="1" customFormat="1">
      <c r="A407" s="3">
        <v>45890</v>
      </c>
      <c r="B407" s="1" t="s">
        <v>25</v>
      </c>
      <c r="C407" s="1">
        <v>5</v>
      </c>
      <c r="D407" s="1">
        <v>5</v>
      </c>
      <c r="E407" s="1">
        <v>0</v>
      </c>
      <c r="F407" s="1">
        <v>0</v>
      </c>
      <c r="G407" s="1">
        <v>0</v>
      </c>
      <c r="H407" s="1">
        <v>0</v>
      </c>
      <c r="I407" s="1">
        <f>IF(H407 + I406 &lt; 0, H407 + I406, 0)</f>
        <v>0</v>
      </c>
      <c r="J407" s="1">
        <v>0</v>
      </c>
      <c r="K407" s="1">
        <f>IF(J407 + K406 &lt; 0, J407 + K406, 0)</f>
        <v>0</v>
      </c>
      <c r="L407" s="1">
        <v>1943452.494076571</v>
      </c>
      <c r="M407" s="1">
        <f>IF(L407 + M406 &lt; 0, L407 + M406, 0)</f>
        <v>0</v>
      </c>
      <c r="N407" s="1">
        <v>0</v>
      </c>
      <c r="O407" s="1">
        <f>IF(N407 + O406 &lt; 0, N407 + O406, 0)</f>
        <v>0</v>
      </c>
      <c r="P407" s="1">
        <v>0</v>
      </c>
      <c r="Q407" s="1">
        <f>IF(P407 + Q406 &lt; 0, P407 + Q406, 0)</f>
        <v>0</v>
      </c>
    </row>
    <row r="408" spans="1:17" s="1" customFormat="1">
      <c r="A408" s="3">
        <v>45891</v>
      </c>
      <c r="B408" s="1" t="s">
        <v>26</v>
      </c>
      <c r="C408" s="1">
        <v>4</v>
      </c>
      <c r="D408" s="1">
        <v>4</v>
      </c>
      <c r="E408" s="1">
        <v>0</v>
      </c>
      <c r="F408" s="1">
        <v>0</v>
      </c>
      <c r="G408" s="1">
        <v>0</v>
      </c>
      <c r="H408" s="1">
        <v>0</v>
      </c>
      <c r="I408" s="1">
        <f>IF(H408 + I407 &lt; 0, H408 + I407, 0)</f>
        <v>0</v>
      </c>
      <c r="J408" s="1">
        <v>0</v>
      </c>
      <c r="K408" s="1">
        <f>IF(J408 + K407 &lt; 0, J408 + K407, 0)</f>
        <v>0</v>
      </c>
      <c r="L408" s="1">
        <v>0</v>
      </c>
      <c r="M408" s="1">
        <f>IF(L408 + M407 &lt; 0, L408 + M407, 0)</f>
        <v>0</v>
      </c>
      <c r="N408" s="1">
        <v>0</v>
      </c>
      <c r="O408" s="1">
        <f>IF(N408 + O407 &lt; 0, N408 + O407, 0)</f>
        <v>0</v>
      </c>
      <c r="P408" s="1">
        <v>0</v>
      </c>
      <c r="Q408" s="1">
        <f>IF(P408 + Q407 &lt; 0, P408 + Q407, 0)</f>
        <v>0</v>
      </c>
    </row>
    <row r="409" spans="1:17" s="1" customFormat="1">
      <c r="A409" s="3">
        <v>45894</v>
      </c>
      <c r="B409" s="1" t="s">
        <v>22</v>
      </c>
      <c r="C409" s="1">
        <v>3</v>
      </c>
      <c r="D409" s="1">
        <v>3</v>
      </c>
      <c r="E409" s="1">
        <v>0</v>
      </c>
      <c r="F409" s="1">
        <v>0</v>
      </c>
      <c r="G409" s="1">
        <v>0</v>
      </c>
      <c r="H409" s="1">
        <v>0</v>
      </c>
      <c r="I409" s="1">
        <f>IF(H409 + I408 &lt; 0, H409 + I408, 0)</f>
        <v>0</v>
      </c>
      <c r="J409" s="1">
        <v>0</v>
      </c>
      <c r="K409" s="1">
        <f>IF(J409 + K408 &lt; 0, J409 + K408, 0)</f>
        <v>0</v>
      </c>
      <c r="L409" s="1">
        <v>0</v>
      </c>
      <c r="M409" s="1">
        <f>IF(L409 + M408 &lt; 0, L409 + M408, 0)</f>
        <v>0</v>
      </c>
      <c r="N409" s="1">
        <v>0</v>
      </c>
      <c r="O409" s="1">
        <f>IF(N409 + O408 &lt; 0, N409 + O408, 0)</f>
        <v>0</v>
      </c>
      <c r="P409" s="1">
        <v>0</v>
      </c>
      <c r="Q409" s="1">
        <f>IF(P409 + Q408 &lt; 0, P409 + Q408, 0)</f>
        <v>0</v>
      </c>
    </row>
    <row r="410" spans="1:17" s="1" customFormat="1">
      <c r="A410" s="3">
        <v>45895</v>
      </c>
      <c r="B410" s="1" t="s">
        <v>23</v>
      </c>
      <c r="C410" s="1">
        <v>2</v>
      </c>
      <c r="D410" s="1">
        <v>2</v>
      </c>
      <c r="E410" s="1">
        <v>0</v>
      </c>
      <c r="F410" s="1">
        <v>0</v>
      </c>
      <c r="G410" s="1">
        <v>0</v>
      </c>
      <c r="H410" s="1">
        <v>0</v>
      </c>
      <c r="I410" s="1">
        <f>IF(H410 + I409 &lt; 0, H410 + I409, 0)</f>
        <v>0</v>
      </c>
      <c r="J410" s="1">
        <v>0</v>
      </c>
      <c r="K410" s="1">
        <f>IF(J410 + K409 &lt; 0, J410 + K409, 0)</f>
        <v>0</v>
      </c>
      <c r="L410" s="1">
        <v>0</v>
      </c>
      <c r="M410" s="1">
        <f>IF(L410 + M409 &lt; 0, L410 + M409, 0)</f>
        <v>0</v>
      </c>
      <c r="N410" s="1">
        <v>0</v>
      </c>
      <c r="O410" s="1">
        <f>IF(N410 + O409 &lt; 0, N410 + O409, 0)</f>
        <v>0</v>
      </c>
      <c r="P410" s="1">
        <v>515559.9406408741</v>
      </c>
      <c r="Q410" s="1">
        <f>IF(P410 + Q409 &lt; 0, P410 + Q409, 0)</f>
        <v>0</v>
      </c>
    </row>
    <row r="411" spans="1:17" s="1" customFormat="1">
      <c r="A411" s="3">
        <v>45897</v>
      </c>
      <c r="B411" s="1" t="s">
        <v>25</v>
      </c>
      <c r="C411" s="1">
        <v>1</v>
      </c>
      <c r="D411" s="1">
        <v>1</v>
      </c>
      <c r="E411" s="1">
        <v>0</v>
      </c>
      <c r="F411" s="1">
        <v>0</v>
      </c>
      <c r="G411" s="1">
        <v>0</v>
      </c>
      <c r="H411" s="1">
        <v>0</v>
      </c>
      <c r="I411" s="1">
        <f>IF(H411 + I410 &lt; 0, H411 + I410, 0)</f>
        <v>0</v>
      </c>
      <c r="J411" s="1">
        <v>0</v>
      </c>
      <c r="K411" s="1">
        <f>IF(J411 + K410 &lt; 0, J411 + K410, 0)</f>
        <v>0</v>
      </c>
      <c r="L411" s="1">
        <v>-570500.4511176576</v>
      </c>
      <c r="M411" s="1">
        <f>IF(L411 + M410 &lt; 0, L411 + M410, 0)</f>
        <v>0</v>
      </c>
      <c r="N411" s="1">
        <v>0</v>
      </c>
      <c r="O411" s="1">
        <f>IF(N411 + O410 &lt; 0, N411 + O410, 0)</f>
        <v>0</v>
      </c>
      <c r="P411" s="1">
        <v>0</v>
      </c>
      <c r="Q411" s="1">
        <f>IF(P411 + Q410 &lt; 0, P411 + Q410, 0)</f>
        <v>0</v>
      </c>
    </row>
    <row r="412" spans="1:17" s="1" customFormat="1">
      <c r="A412" s="3">
        <v>45898</v>
      </c>
      <c r="B412" s="1" t="s">
        <v>26</v>
      </c>
      <c r="C412" s="1">
        <v>23</v>
      </c>
      <c r="D412" s="1">
        <v>23</v>
      </c>
      <c r="E412" s="1">
        <v>0</v>
      </c>
      <c r="F412" s="1">
        <v>0</v>
      </c>
      <c r="G412" s="1">
        <v>0</v>
      </c>
      <c r="H412" s="1">
        <v>0</v>
      </c>
      <c r="I412" s="1">
        <f>IF(H412 + I411 &lt; 0, H412 + I411, 0)</f>
        <v>0</v>
      </c>
      <c r="J412" s="1">
        <v>0</v>
      </c>
      <c r="K412" s="1">
        <f>IF(J412 + K411 &lt; 0, J412 + K411, 0)</f>
        <v>0</v>
      </c>
      <c r="L412" s="1">
        <v>0</v>
      </c>
      <c r="M412" s="1">
        <f>IF(L412 + M411 &lt; 0, L412 + M411, 0)</f>
        <v>0</v>
      </c>
      <c r="N412" s="1">
        <v>0</v>
      </c>
      <c r="O412" s="1">
        <f>IF(N412 + O411 &lt; 0, N412 + O411, 0)</f>
        <v>0</v>
      </c>
      <c r="P412" s="1">
        <v>0</v>
      </c>
      <c r="Q412" s="1">
        <f>IF(P412 + Q411 &lt; 0, P412 + Q411, 0)</f>
        <v>0</v>
      </c>
    </row>
    <row r="413" spans="1:17" s="1" customFormat="1">
      <c r="A413" s="3">
        <v>45901</v>
      </c>
      <c r="B413" s="1" t="s">
        <v>22</v>
      </c>
      <c r="C413" s="1">
        <v>22</v>
      </c>
      <c r="D413" s="1">
        <v>22</v>
      </c>
      <c r="E413" s="1">
        <v>0</v>
      </c>
      <c r="F413" s="1">
        <v>0</v>
      </c>
      <c r="G413" s="1">
        <v>0</v>
      </c>
      <c r="H413" s="1">
        <v>0</v>
      </c>
      <c r="I413" s="1">
        <f>IF(H413 + I412 &lt; 0, H413 + I412, 0)</f>
        <v>0</v>
      </c>
      <c r="J413" s="1">
        <v>0</v>
      </c>
      <c r="K413" s="1">
        <f>IF(J413 + K412 &lt; 0, J413 + K412, 0)</f>
        <v>0</v>
      </c>
      <c r="L413" s="1">
        <v>0</v>
      </c>
      <c r="M413" s="1">
        <f>IF(L413 + M412 &lt; 0, L413 + M412, 0)</f>
        <v>0</v>
      </c>
      <c r="N413" s="1">
        <v>0</v>
      </c>
      <c r="O413" s="1">
        <f>IF(N413 + O412 &lt; 0, N413 + O412, 0)</f>
        <v>0</v>
      </c>
      <c r="P413" s="1">
        <v>0</v>
      </c>
      <c r="Q413" s="1">
        <f>IF(P413 + Q412 &lt; 0, P413 + Q412, 0)</f>
        <v>0</v>
      </c>
    </row>
    <row r="414" spans="1:17" s="1" customFormat="1">
      <c r="A414" s="3">
        <v>45902</v>
      </c>
      <c r="B414" s="1" t="s">
        <v>23</v>
      </c>
      <c r="C414" s="1">
        <v>21</v>
      </c>
      <c r="D414" s="1">
        <v>21</v>
      </c>
      <c r="E414" s="1">
        <v>0</v>
      </c>
      <c r="F414" s="1">
        <v>0</v>
      </c>
      <c r="G414" s="1">
        <v>0</v>
      </c>
      <c r="H414" s="1">
        <v>0</v>
      </c>
      <c r="I414" s="1">
        <f>IF(H414 + I413 &lt; 0, H414 + I413, 0)</f>
        <v>0</v>
      </c>
      <c r="J414" s="1">
        <v>0</v>
      </c>
      <c r="K414" s="1">
        <f>IF(J414 + K413 &lt; 0, J414 + K413, 0)</f>
        <v>0</v>
      </c>
      <c r="L414" s="1">
        <v>280874.7012233806</v>
      </c>
      <c r="M414" s="1">
        <f>IF(L414 + M413 &lt; 0, L414 + M413, 0)</f>
        <v>0</v>
      </c>
      <c r="N414" s="1">
        <v>0</v>
      </c>
      <c r="O414" s="1">
        <f>IF(N414 + O413 &lt; 0, N414 + O413, 0)</f>
        <v>0</v>
      </c>
      <c r="P414" s="1">
        <v>0</v>
      </c>
      <c r="Q414" s="1">
        <f>IF(P414 + Q413 &lt; 0, P414 + Q413, 0)</f>
        <v>0</v>
      </c>
    </row>
    <row r="415" spans="1:17" s="1" customFormat="1">
      <c r="A415" s="3">
        <v>45903</v>
      </c>
      <c r="B415" s="1" t="s">
        <v>24</v>
      </c>
      <c r="C415" s="1">
        <v>20</v>
      </c>
      <c r="D415" s="1">
        <v>20</v>
      </c>
      <c r="E415" s="1">
        <v>0</v>
      </c>
      <c r="F415" s="1">
        <v>0</v>
      </c>
      <c r="G415" s="1">
        <v>0</v>
      </c>
      <c r="H415" s="1">
        <v>0</v>
      </c>
      <c r="I415" s="1">
        <f>IF(H415 + I414 &lt; 0, H415 + I414, 0)</f>
        <v>0</v>
      </c>
      <c r="J415" s="1">
        <v>0</v>
      </c>
      <c r="K415" s="1">
        <f>IF(J415 + K414 &lt; 0, J415 + K414, 0)</f>
        <v>0</v>
      </c>
      <c r="L415" s="1">
        <v>0</v>
      </c>
      <c r="M415" s="1">
        <f>IF(L415 + M414 &lt; 0, L415 + M414, 0)</f>
        <v>0</v>
      </c>
      <c r="N415" s="1">
        <v>0</v>
      </c>
      <c r="O415" s="1">
        <f>IF(N415 + O414 &lt; 0, N415 + O414, 0)</f>
        <v>0</v>
      </c>
      <c r="P415" s="1">
        <v>0</v>
      </c>
      <c r="Q415" s="1">
        <f>IF(P415 + Q414 &lt; 0, P415 + Q414, 0)</f>
        <v>0</v>
      </c>
    </row>
    <row r="416" spans="1:17" s="1" customFormat="1">
      <c r="A416" s="3">
        <v>45904</v>
      </c>
      <c r="B416" s="1" t="s">
        <v>25</v>
      </c>
      <c r="C416" s="1">
        <v>19</v>
      </c>
      <c r="D416" s="1">
        <v>19</v>
      </c>
      <c r="E416" s="1">
        <v>0</v>
      </c>
      <c r="F416" s="1">
        <v>0</v>
      </c>
      <c r="G416" s="1">
        <v>0</v>
      </c>
      <c r="H416" s="1">
        <v>0</v>
      </c>
      <c r="I416" s="1">
        <f>IF(H416 + I415 &lt; 0, H416 + I415, 0)</f>
        <v>0</v>
      </c>
      <c r="J416" s="1">
        <v>0</v>
      </c>
      <c r="K416" s="1">
        <f>IF(J416 + K415 &lt; 0, J416 + K415, 0)</f>
        <v>0</v>
      </c>
      <c r="L416" s="1">
        <v>0</v>
      </c>
      <c r="M416" s="1">
        <f>IF(L416 + M415 &lt; 0, L416 + M415, 0)</f>
        <v>0</v>
      </c>
      <c r="N416" s="1">
        <v>0</v>
      </c>
      <c r="O416" s="1">
        <f>IF(N416 + O415 &lt; 0, N416 + O415, 0)</f>
        <v>0</v>
      </c>
      <c r="P416" s="1">
        <v>-815839.630092466</v>
      </c>
      <c r="Q416" s="1">
        <f>IF(P416 + Q415 &lt; 0, P416 + Q415, 0)</f>
        <v>0</v>
      </c>
    </row>
    <row r="417" spans="1:17" s="1" customFormat="1">
      <c r="A417" s="3">
        <v>45905</v>
      </c>
      <c r="B417" s="1" t="s">
        <v>26</v>
      </c>
      <c r="C417" s="1">
        <v>18</v>
      </c>
      <c r="D417" s="1">
        <v>18</v>
      </c>
      <c r="E417" s="1">
        <v>0</v>
      </c>
      <c r="F417" s="1">
        <v>0</v>
      </c>
      <c r="G417" s="1">
        <v>0</v>
      </c>
      <c r="H417" s="1">
        <v>0</v>
      </c>
      <c r="I417" s="1">
        <f>IF(H417 + I416 &lt; 0, H417 + I416, 0)</f>
        <v>0</v>
      </c>
      <c r="J417" s="1">
        <v>0</v>
      </c>
      <c r="K417" s="1">
        <f>IF(J417 + K416 &lt; 0, J417 + K416, 0)</f>
        <v>0</v>
      </c>
      <c r="L417" s="1">
        <v>0</v>
      </c>
      <c r="M417" s="1">
        <f>IF(L417 + M416 &lt; 0, L417 + M416, 0)</f>
        <v>0</v>
      </c>
      <c r="N417" s="1">
        <v>0</v>
      </c>
      <c r="O417" s="1">
        <f>IF(N417 + O416 &lt; 0, N417 + O416, 0)</f>
        <v>0</v>
      </c>
      <c r="P417" s="1">
        <v>0</v>
      </c>
      <c r="Q417" s="1">
        <f>IF(P417 + Q416 &lt; 0, P417 + Q416, 0)</f>
        <v>0</v>
      </c>
    </row>
    <row r="418" spans="1:17" s="1" customFormat="1">
      <c r="A418" s="3">
        <v>45908</v>
      </c>
      <c r="B418" s="1" t="s">
        <v>22</v>
      </c>
      <c r="C418" s="1">
        <v>17</v>
      </c>
      <c r="D418" s="1">
        <v>17</v>
      </c>
      <c r="E418" s="1">
        <v>0</v>
      </c>
      <c r="F418" s="1">
        <v>0</v>
      </c>
      <c r="G418" s="1">
        <v>0</v>
      </c>
      <c r="H418" s="1">
        <v>0</v>
      </c>
      <c r="I418" s="1">
        <f>IF(H418 + I417 &lt; 0, H418 + I417, 0)</f>
        <v>0</v>
      </c>
      <c r="J418" s="1">
        <v>0</v>
      </c>
      <c r="K418" s="1">
        <f>IF(J418 + K417 &lt; 0, J418 + K417, 0)</f>
        <v>0</v>
      </c>
      <c r="L418" s="1">
        <v>0</v>
      </c>
      <c r="M418" s="1">
        <f>IF(L418 + M417 &lt; 0, L418 + M417, 0)</f>
        <v>0</v>
      </c>
      <c r="N418" s="1">
        <v>0</v>
      </c>
      <c r="O418" s="1">
        <f>IF(N418 + O417 &lt; 0, N418 + O417, 0)</f>
        <v>0</v>
      </c>
      <c r="P418" s="1">
        <v>0</v>
      </c>
      <c r="Q418" s="1">
        <f>IF(P418 + Q417 &lt; 0, P418 + Q417, 0)</f>
        <v>0</v>
      </c>
    </row>
    <row r="419" spans="1:17" s="1" customFormat="1">
      <c r="A419" s="3">
        <v>45909</v>
      </c>
      <c r="B419" s="1" t="s">
        <v>23</v>
      </c>
      <c r="C419" s="1">
        <v>16</v>
      </c>
      <c r="D419" s="1">
        <v>16</v>
      </c>
      <c r="E419" s="1">
        <v>0</v>
      </c>
      <c r="F419" s="1">
        <v>0</v>
      </c>
      <c r="G419" s="1">
        <v>0</v>
      </c>
      <c r="H419" s="1">
        <v>0</v>
      </c>
      <c r="I419" s="1">
        <f>IF(H419 + I418 &lt; 0, H419 + I418, 0)</f>
        <v>0</v>
      </c>
      <c r="J419" s="1">
        <v>0</v>
      </c>
      <c r="K419" s="1">
        <f>IF(J419 + K418 &lt; 0, J419 + K418, 0)</f>
        <v>0</v>
      </c>
      <c r="L419" s="1">
        <v>937565.2985922707</v>
      </c>
      <c r="M419" s="1">
        <f>IF(L419 + M418 &lt; 0, L419 + M418, 0)</f>
        <v>0</v>
      </c>
      <c r="N419" s="1">
        <v>0</v>
      </c>
      <c r="O419" s="1">
        <f>IF(N419 + O418 &lt; 0, N419 + O418, 0)</f>
        <v>0</v>
      </c>
      <c r="P419" s="1">
        <v>0</v>
      </c>
      <c r="Q419" s="1">
        <f>IF(P419 + Q418 &lt; 0, P419 + Q418, 0)</f>
        <v>0</v>
      </c>
    </row>
    <row r="420" spans="1:17" s="1" customFormat="1">
      <c r="A420" s="3">
        <v>45910</v>
      </c>
      <c r="B420" s="1" t="s">
        <v>24</v>
      </c>
      <c r="C420" s="1">
        <v>15</v>
      </c>
      <c r="D420" s="1">
        <v>15</v>
      </c>
      <c r="E420" s="1">
        <v>0</v>
      </c>
      <c r="F420" s="1">
        <v>0</v>
      </c>
      <c r="G420" s="1">
        <v>0</v>
      </c>
      <c r="H420" s="1">
        <v>0</v>
      </c>
      <c r="I420" s="1">
        <f>IF(H420 + I419 &lt; 0, H420 + I419, 0)</f>
        <v>0</v>
      </c>
      <c r="J420" s="1">
        <v>0</v>
      </c>
      <c r="K420" s="1">
        <f>IF(J420 + K419 &lt; 0, J420 + K419, 0)</f>
        <v>0</v>
      </c>
      <c r="L420" s="1">
        <v>0</v>
      </c>
      <c r="M420" s="1">
        <f>IF(L420 + M419 &lt; 0, L420 + M419, 0)</f>
        <v>0</v>
      </c>
      <c r="N420" s="1">
        <v>0</v>
      </c>
      <c r="O420" s="1">
        <f>IF(N420 + O419 &lt; 0, N420 + O419, 0)</f>
        <v>0</v>
      </c>
      <c r="P420" s="1">
        <v>0</v>
      </c>
      <c r="Q420" s="1">
        <f>IF(P420 + Q419 &lt; 0, P420 + Q419, 0)</f>
        <v>0</v>
      </c>
    </row>
    <row r="421" spans="1:17" s="1" customFormat="1">
      <c r="A421" s="3">
        <v>45911</v>
      </c>
      <c r="B421" s="1" t="s">
        <v>25</v>
      </c>
      <c r="C421" s="1">
        <v>14</v>
      </c>
      <c r="D421" s="1">
        <v>14</v>
      </c>
      <c r="E421" s="1">
        <v>0</v>
      </c>
      <c r="F421" s="1">
        <v>0</v>
      </c>
      <c r="G421" s="1">
        <v>0</v>
      </c>
      <c r="H421" s="1">
        <v>0</v>
      </c>
      <c r="I421" s="1">
        <f>IF(H421 + I420 &lt; 0, H421 + I420, 0)</f>
        <v>0</v>
      </c>
      <c r="J421" s="1">
        <v>0</v>
      </c>
      <c r="K421" s="1">
        <f>IF(J421 + K420 &lt; 0, J421 + K420, 0)</f>
        <v>0</v>
      </c>
      <c r="L421" s="1">
        <v>0</v>
      </c>
      <c r="M421" s="1">
        <f>IF(L421 + M420 &lt; 0, L421 + M420, 0)</f>
        <v>0</v>
      </c>
      <c r="N421" s="1">
        <v>0</v>
      </c>
      <c r="O421" s="1">
        <f>IF(N421 + O420 &lt; 0, N421 + O420, 0)</f>
        <v>0</v>
      </c>
      <c r="P421" s="1">
        <v>1362819.312652498</v>
      </c>
      <c r="Q421" s="1">
        <f>IF(P421 + Q420 &lt; 0, P421 + Q420, 0)</f>
        <v>0</v>
      </c>
    </row>
    <row r="422" spans="1:17" s="1" customFormat="1">
      <c r="A422" s="3">
        <v>45912</v>
      </c>
      <c r="B422" s="1" t="s">
        <v>26</v>
      </c>
      <c r="C422" s="1">
        <v>13</v>
      </c>
      <c r="D422" s="1">
        <v>13</v>
      </c>
      <c r="E422" s="1">
        <v>0</v>
      </c>
      <c r="F422" s="1">
        <v>0</v>
      </c>
      <c r="G422" s="1">
        <v>0</v>
      </c>
      <c r="H422" s="1">
        <v>0</v>
      </c>
      <c r="I422" s="1">
        <f>IF(H422 + I421 &lt; 0, H422 + I421, 0)</f>
        <v>0</v>
      </c>
      <c r="J422" s="1">
        <v>0</v>
      </c>
      <c r="K422" s="1">
        <f>IF(J422 + K421 &lt; 0, J422 + K421, 0)</f>
        <v>0</v>
      </c>
      <c r="L422" s="1">
        <v>0</v>
      </c>
      <c r="M422" s="1">
        <f>IF(L422 + M421 &lt; 0, L422 + M421, 0)</f>
        <v>0</v>
      </c>
      <c r="N422" s="1">
        <v>0</v>
      </c>
      <c r="O422" s="1">
        <f>IF(N422 + O421 &lt; 0, N422 + O421, 0)</f>
        <v>0</v>
      </c>
      <c r="P422" s="1">
        <v>0</v>
      </c>
      <c r="Q422" s="1">
        <f>IF(P422 + Q421 &lt; 0, P422 + Q421, 0)</f>
        <v>0</v>
      </c>
    </row>
    <row r="423" spans="1:17" s="1" customFormat="1">
      <c r="A423" s="3">
        <v>45915</v>
      </c>
      <c r="B423" s="1" t="s">
        <v>22</v>
      </c>
      <c r="C423" s="1">
        <v>12</v>
      </c>
      <c r="D423" s="1">
        <v>12</v>
      </c>
      <c r="E423" s="1">
        <v>0</v>
      </c>
      <c r="F423" s="1">
        <v>0</v>
      </c>
      <c r="G423" s="1">
        <v>0</v>
      </c>
      <c r="H423" s="1">
        <v>0</v>
      </c>
      <c r="I423" s="1">
        <f>IF(H423 + I422 &lt; 0, H423 + I422, 0)</f>
        <v>0</v>
      </c>
      <c r="J423" s="1">
        <v>0</v>
      </c>
      <c r="K423" s="1">
        <f>IF(J423 + K422 &lt; 0, J423 + K422, 0)</f>
        <v>0</v>
      </c>
      <c r="L423" s="1">
        <v>0</v>
      </c>
      <c r="M423" s="1">
        <f>IF(L423 + M422 &lt; 0, L423 + M422, 0)</f>
        <v>0</v>
      </c>
      <c r="N423" s="1">
        <v>0</v>
      </c>
      <c r="O423" s="1">
        <f>IF(N423 + O422 &lt; 0, N423 + O422, 0)</f>
        <v>0</v>
      </c>
      <c r="P423" s="1">
        <v>0</v>
      </c>
      <c r="Q423" s="1">
        <f>IF(P423 + Q422 &lt; 0, P423 + Q422, 0)</f>
        <v>0</v>
      </c>
    </row>
    <row r="424" spans="1:17" s="1" customFormat="1">
      <c r="A424" s="3">
        <v>45916</v>
      </c>
      <c r="B424" s="1" t="s">
        <v>23</v>
      </c>
      <c r="C424" s="1">
        <v>11</v>
      </c>
      <c r="D424" s="1">
        <v>11</v>
      </c>
      <c r="E424" s="1">
        <v>0</v>
      </c>
      <c r="F424" s="1">
        <v>0</v>
      </c>
      <c r="G424" s="1">
        <v>0</v>
      </c>
      <c r="H424" s="1">
        <v>0</v>
      </c>
      <c r="I424" s="1">
        <f>IF(H424 + I423 &lt; 0, H424 + I423, 0)</f>
        <v>0</v>
      </c>
      <c r="J424" s="1">
        <v>0</v>
      </c>
      <c r="K424" s="1">
        <f>IF(J424 + K423 &lt; 0, J424 + K423, 0)</f>
        <v>0</v>
      </c>
      <c r="L424" s="1">
        <v>1415024.392928674</v>
      </c>
      <c r="M424" s="1">
        <f>IF(L424 + M423 &lt; 0, L424 + M423, 0)</f>
        <v>0</v>
      </c>
      <c r="N424" s="1">
        <v>0</v>
      </c>
      <c r="O424" s="1">
        <f>IF(N424 + O423 &lt; 0, N424 + O423, 0)</f>
        <v>0</v>
      </c>
      <c r="P424" s="1">
        <v>0</v>
      </c>
      <c r="Q424" s="1">
        <f>IF(P424 + Q423 &lt; 0, P424 + Q423, 0)</f>
        <v>0</v>
      </c>
    </row>
    <row r="425" spans="1:17" s="1" customFormat="1">
      <c r="A425" s="3">
        <v>45917</v>
      </c>
      <c r="B425" s="1" t="s">
        <v>24</v>
      </c>
      <c r="C425" s="1">
        <v>10</v>
      </c>
      <c r="D425" s="1">
        <v>10</v>
      </c>
      <c r="E425" s="1">
        <v>0</v>
      </c>
      <c r="F425" s="1">
        <v>0</v>
      </c>
      <c r="G425" s="1">
        <v>0</v>
      </c>
      <c r="H425" s="1">
        <v>0</v>
      </c>
      <c r="I425" s="1">
        <f>IF(H425 + I424 &lt; 0, H425 + I424, 0)</f>
        <v>0</v>
      </c>
      <c r="J425" s="1">
        <v>0</v>
      </c>
      <c r="K425" s="1">
        <f>IF(J425 + K424 &lt; 0, J425 + K424, 0)</f>
        <v>0</v>
      </c>
      <c r="L425" s="1">
        <v>0</v>
      </c>
      <c r="M425" s="1">
        <f>IF(L425 + M424 &lt; 0, L425 + M424, 0)</f>
        <v>0</v>
      </c>
      <c r="N425" s="1">
        <v>0</v>
      </c>
      <c r="O425" s="1">
        <f>IF(N425 + O424 &lt; 0, N425 + O424, 0)</f>
        <v>0</v>
      </c>
      <c r="P425" s="1">
        <v>0</v>
      </c>
      <c r="Q425" s="1">
        <f>IF(P425 + Q424 &lt; 0, P425 + Q424, 0)</f>
        <v>0</v>
      </c>
    </row>
    <row r="426" spans="1:17" s="1" customFormat="1">
      <c r="A426" s="3">
        <v>45918</v>
      </c>
      <c r="B426" s="1" t="s">
        <v>25</v>
      </c>
      <c r="C426" s="1">
        <v>9</v>
      </c>
      <c r="D426" s="1">
        <v>9</v>
      </c>
      <c r="E426" s="1">
        <v>0</v>
      </c>
      <c r="F426" s="1">
        <v>0</v>
      </c>
      <c r="G426" s="1">
        <v>0</v>
      </c>
      <c r="H426" s="1">
        <v>0</v>
      </c>
      <c r="I426" s="1">
        <f>IF(H426 + I425 &lt; 0, H426 + I425, 0)</f>
        <v>0</v>
      </c>
      <c r="J426" s="1">
        <v>0</v>
      </c>
      <c r="K426" s="1">
        <f>IF(J426 + K425 &lt; 0, J426 + K425, 0)</f>
        <v>0</v>
      </c>
      <c r="L426" s="1">
        <v>0</v>
      </c>
      <c r="M426" s="1">
        <f>IF(L426 + M425 &lt; 0, L426 + M425, 0)</f>
        <v>0</v>
      </c>
      <c r="N426" s="1">
        <v>0</v>
      </c>
      <c r="O426" s="1">
        <f>IF(N426 + O425 &lt; 0, N426 + O425, 0)</f>
        <v>0</v>
      </c>
      <c r="P426" s="1">
        <v>365137.9622539725</v>
      </c>
      <c r="Q426" s="1">
        <f>IF(P426 + Q425 &lt; 0, P426 + Q425, 0)</f>
        <v>0</v>
      </c>
    </row>
    <row r="427" spans="1:17" s="1" customFormat="1">
      <c r="A427" s="3">
        <v>45919</v>
      </c>
      <c r="B427" s="1" t="s">
        <v>26</v>
      </c>
      <c r="C427" s="1">
        <v>8</v>
      </c>
      <c r="D427" s="1">
        <v>8</v>
      </c>
      <c r="E427" s="1">
        <v>0</v>
      </c>
      <c r="F427" s="1">
        <v>0</v>
      </c>
      <c r="G427" s="1">
        <v>0</v>
      </c>
      <c r="H427" s="1">
        <v>0</v>
      </c>
      <c r="I427" s="1">
        <f>IF(H427 + I426 &lt; 0, H427 + I426, 0)</f>
        <v>0</v>
      </c>
      <c r="J427" s="1">
        <v>0</v>
      </c>
      <c r="K427" s="1">
        <f>IF(J427 + K426 &lt; 0, J427 + K426, 0)</f>
        <v>0</v>
      </c>
      <c r="L427" s="1">
        <v>0</v>
      </c>
      <c r="M427" s="1">
        <f>IF(L427 + M426 &lt; 0, L427 + M426, 0)</f>
        <v>0</v>
      </c>
      <c r="N427" s="1">
        <v>0</v>
      </c>
      <c r="O427" s="1">
        <f>IF(N427 + O426 &lt; 0, N427 + O426, 0)</f>
        <v>0</v>
      </c>
      <c r="P427" s="1">
        <v>0</v>
      </c>
      <c r="Q427" s="1">
        <f>IF(P427 + Q426 &lt; 0, P427 + Q426, 0)</f>
        <v>0</v>
      </c>
    </row>
    <row r="428" spans="1:17" s="1" customFormat="1">
      <c r="A428" s="3">
        <v>45922</v>
      </c>
      <c r="B428" s="1" t="s">
        <v>22</v>
      </c>
      <c r="C428" s="1">
        <v>7</v>
      </c>
      <c r="D428" s="1">
        <v>7</v>
      </c>
      <c r="E428" s="1">
        <v>0</v>
      </c>
      <c r="F428" s="1">
        <v>0</v>
      </c>
      <c r="G428" s="1">
        <v>0</v>
      </c>
      <c r="H428" s="1">
        <v>0</v>
      </c>
      <c r="I428" s="1">
        <f>IF(H428 + I427 &lt; 0, H428 + I427, 0)</f>
        <v>0</v>
      </c>
      <c r="J428" s="1">
        <v>0</v>
      </c>
      <c r="K428" s="1">
        <f>IF(J428 + K427 &lt; 0, J428 + K427, 0)</f>
        <v>0</v>
      </c>
      <c r="L428" s="1">
        <v>0</v>
      </c>
      <c r="M428" s="1">
        <f>IF(L428 + M427 &lt; 0, L428 + M427, 0)</f>
        <v>0</v>
      </c>
      <c r="N428" s="1">
        <v>0</v>
      </c>
      <c r="O428" s="1">
        <f>IF(N428 + O427 &lt; 0, N428 + O427, 0)</f>
        <v>0</v>
      </c>
      <c r="P428" s="1">
        <v>0</v>
      </c>
      <c r="Q428" s="1">
        <f>IF(P428 + Q427 &lt; 0, P428 + Q427, 0)</f>
        <v>0</v>
      </c>
    </row>
    <row r="429" spans="1:17" s="1" customFormat="1">
      <c r="A429" s="3">
        <v>45923</v>
      </c>
      <c r="B429" s="1" t="s">
        <v>23</v>
      </c>
      <c r="C429" s="1">
        <v>6</v>
      </c>
      <c r="D429" s="1">
        <v>6</v>
      </c>
      <c r="E429" s="1">
        <v>0</v>
      </c>
      <c r="F429" s="1">
        <v>0</v>
      </c>
      <c r="G429" s="1">
        <v>0</v>
      </c>
      <c r="H429" s="1">
        <v>0</v>
      </c>
      <c r="I429" s="1">
        <f>IF(H429 + I428 &lt; 0, H429 + I428, 0)</f>
        <v>0</v>
      </c>
      <c r="J429" s="1">
        <v>0</v>
      </c>
      <c r="K429" s="1">
        <f>IF(J429 + K428 &lt; 0, J429 + K428, 0)</f>
        <v>0</v>
      </c>
      <c r="L429" s="1">
        <v>-175316.0233565871</v>
      </c>
      <c r="M429" s="1">
        <f>IF(L429 + M428 &lt; 0, L429 + M428, 0)</f>
        <v>0</v>
      </c>
      <c r="N429" s="1">
        <v>0</v>
      </c>
      <c r="O429" s="1">
        <f>IF(N429 + O428 &lt; 0, N429 + O428, 0)</f>
        <v>0</v>
      </c>
      <c r="P429" s="1">
        <v>0</v>
      </c>
      <c r="Q429" s="1">
        <f>IF(P429 + Q428 &lt; 0, P429 + Q428, 0)</f>
        <v>0</v>
      </c>
    </row>
    <row r="430" spans="1:17" s="1" customFormat="1">
      <c r="A430" s="3">
        <v>45924</v>
      </c>
      <c r="B430" s="1" t="s">
        <v>24</v>
      </c>
      <c r="C430" s="1">
        <v>5</v>
      </c>
      <c r="D430" s="1">
        <v>5</v>
      </c>
      <c r="E430" s="1">
        <v>0</v>
      </c>
      <c r="F430" s="1">
        <v>0</v>
      </c>
      <c r="G430" s="1">
        <v>0</v>
      </c>
      <c r="H430" s="1">
        <v>0</v>
      </c>
      <c r="I430" s="1">
        <f>IF(H430 + I429 &lt; 0, H430 + I429, 0)</f>
        <v>0</v>
      </c>
      <c r="J430" s="1">
        <v>0</v>
      </c>
      <c r="K430" s="1">
        <f>IF(J430 + K429 &lt; 0, J430 + K429, 0)</f>
        <v>0</v>
      </c>
      <c r="L430" s="1">
        <v>0</v>
      </c>
      <c r="M430" s="1">
        <f>IF(L430 + M429 &lt; 0, L430 + M429, 0)</f>
        <v>0</v>
      </c>
      <c r="N430" s="1">
        <v>0</v>
      </c>
      <c r="O430" s="1">
        <f>IF(N430 + O429 &lt; 0, N430 + O429, 0)</f>
        <v>0</v>
      </c>
      <c r="P430" s="1">
        <v>0</v>
      </c>
      <c r="Q430" s="1">
        <f>IF(P430 + Q429 &lt; 0, P430 + Q429, 0)</f>
        <v>0</v>
      </c>
    </row>
    <row r="431" spans="1:17" s="1" customFormat="1">
      <c r="A431" s="3">
        <v>45925</v>
      </c>
      <c r="B431" s="1" t="s">
        <v>25</v>
      </c>
      <c r="C431" s="1">
        <v>4</v>
      </c>
      <c r="D431" s="1">
        <v>4</v>
      </c>
      <c r="E431" s="1">
        <v>0</v>
      </c>
      <c r="F431" s="1">
        <v>0</v>
      </c>
      <c r="G431" s="1">
        <v>0</v>
      </c>
      <c r="H431" s="1">
        <v>0</v>
      </c>
      <c r="I431" s="1">
        <f>IF(H431 + I430 &lt; 0, H431 + I430, 0)</f>
        <v>0</v>
      </c>
      <c r="J431" s="1">
        <v>0</v>
      </c>
      <c r="K431" s="1">
        <f>IF(J431 + K430 &lt; 0, J431 + K430, 0)</f>
        <v>0</v>
      </c>
      <c r="L431" s="1">
        <v>0</v>
      </c>
      <c r="M431" s="1">
        <f>IF(L431 + M430 &lt; 0, L431 + M430, 0)</f>
        <v>0</v>
      </c>
      <c r="N431" s="1">
        <v>0</v>
      </c>
      <c r="O431" s="1">
        <f>IF(N431 + O430 &lt; 0, N431 + O430, 0)</f>
        <v>0</v>
      </c>
      <c r="P431" s="1">
        <v>-146526.5502707223</v>
      </c>
      <c r="Q431" s="1">
        <f>IF(P431 + Q430 &lt; 0, P431 + Q430, 0)</f>
        <v>0</v>
      </c>
    </row>
    <row r="432" spans="1:17" s="1" customFormat="1">
      <c r="A432" s="3">
        <v>45926</v>
      </c>
      <c r="B432" s="1" t="s">
        <v>26</v>
      </c>
      <c r="C432" s="1">
        <v>3</v>
      </c>
      <c r="D432" s="1">
        <v>3</v>
      </c>
      <c r="E432" s="1">
        <v>0</v>
      </c>
      <c r="F432" s="1">
        <v>0</v>
      </c>
      <c r="G432" s="1">
        <v>0</v>
      </c>
      <c r="H432" s="1">
        <v>0</v>
      </c>
      <c r="I432" s="1">
        <f>IF(H432 + I431 &lt; 0, H432 + I431, 0)</f>
        <v>0</v>
      </c>
      <c r="J432" s="1">
        <v>0</v>
      </c>
      <c r="K432" s="1">
        <f>IF(J432 + K431 &lt; 0, J432 + K431, 0)</f>
        <v>0</v>
      </c>
      <c r="L432" s="1">
        <v>0</v>
      </c>
      <c r="M432" s="1">
        <f>IF(L432 + M431 &lt; 0, L432 + M431, 0)</f>
        <v>0</v>
      </c>
      <c r="N432" s="1">
        <v>0</v>
      </c>
      <c r="O432" s="1">
        <f>IF(N432 + O431 &lt; 0, N432 + O431, 0)</f>
        <v>0</v>
      </c>
      <c r="P432" s="1">
        <v>0</v>
      </c>
      <c r="Q432" s="1">
        <f>IF(P432 + Q431 &lt; 0, P432 + Q431, 0)</f>
        <v>0</v>
      </c>
    </row>
    <row r="433" spans="1:17" s="1" customFormat="1">
      <c r="A433" s="3">
        <v>45929</v>
      </c>
      <c r="B433" s="1" t="s">
        <v>22</v>
      </c>
      <c r="C433" s="1">
        <v>2</v>
      </c>
      <c r="D433" s="1">
        <v>2</v>
      </c>
      <c r="E433" s="1">
        <v>0</v>
      </c>
      <c r="F433" s="1">
        <v>0</v>
      </c>
      <c r="G433" s="1">
        <v>0</v>
      </c>
      <c r="H433" s="1">
        <v>0</v>
      </c>
      <c r="I433" s="1">
        <f>IF(H433 + I432 &lt; 0, H433 + I432, 0)</f>
        <v>0</v>
      </c>
      <c r="J433" s="1">
        <v>0</v>
      </c>
      <c r="K433" s="1">
        <f>IF(J433 + K432 &lt; 0, J433 + K432, 0)</f>
        <v>0</v>
      </c>
      <c r="L433" s="1">
        <v>0</v>
      </c>
      <c r="M433" s="1">
        <f>IF(L433 + M432 &lt; 0, L433 + M432, 0)</f>
        <v>0</v>
      </c>
      <c r="N433" s="1">
        <v>0</v>
      </c>
      <c r="O433" s="1">
        <f>IF(N433 + O432 &lt; 0, N433 + O432, 0)</f>
        <v>0</v>
      </c>
      <c r="P433" s="1">
        <v>0</v>
      </c>
      <c r="Q433" s="1">
        <f>IF(P433 + Q432 &lt; 0, P433 + Q432, 0)</f>
        <v>0</v>
      </c>
    </row>
    <row r="434" spans="1:17" s="1" customFormat="1">
      <c r="A434" s="3">
        <v>45930</v>
      </c>
      <c r="B434" s="1" t="s">
        <v>23</v>
      </c>
      <c r="C434" s="1">
        <v>1</v>
      </c>
      <c r="D434" s="1">
        <v>1</v>
      </c>
      <c r="E434" s="1">
        <v>0</v>
      </c>
      <c r="F434" s="1">
        <v>0</v>
      </c>
      <c r="G434" s="1">
        <v>0</v>
      </c>
      <c r="H434" s="1">
        <v>0</v>
      </c>
      <c r="I434" s="1">
        <f>IF(H434 + I433 &lt; 0, H434 + I433, 0)</f>
        <v>0</v>
      </c>
      <c r="J434" s="1">
        <v>0</v>
      </c>
      <c r="K434" s="1">
        <f>IF(J434 + K433 &lt; 0, J434 + K433, 0)</f>
        <v>0</v>
      </c>
      <c r="L434" s="1">
        <v>-671624.8088952807</v>
      </c>
      <c r="M434" s="1">
        <f>IF(L434 + M433 &lt; 0, L434 + M433, 0)</f>
        <v>0</v>
      </c>
      <c r="N434" s="1">
        <v>0</v>
      </c>
      <c r="O434" s="1">
        <f>IF(N434 + O433 &lt; 0, N434 + O433, 0)</f>
        <v>0</v>
      </c>
      <c r="P434" s="1">
        <v>0</v>
      </c>
      <c r="Q434" s="1">
        <f>IF(P434 + Q433 &lt; 0, P434 + Q433, 0)</f>
        <v>0</v>
      </c>
    </row>
    <row r="435" spans="1:17" s="1" customFormat="1">
      <c r="A435" s="3">
        <v>45931</v>
      </c>
      <c r="B435" s="1" t="s">
        <v>24</v>
      </c>
      <c r="C435" s="1">
        <v>17</v>
      </c>
      <c r="D435" s="1">
        <v>17</v>
      </c>
      <c r="E435" s="1">
        <v>0</v>
      </c>
      <c r="F435" s="1">
        <v>0</v>
      </c>
      <c r="G435" s="1">
        <v>0</v>
      </c>
      <c r="H435" s="1">
        <v>0</v>
      </c>
      <c r="I435" s="1">
        <f>IF(H435 + I434 &lt; 0, H435 + I434, 0)</f>
        <v>0</v>
      </c>
      <c r="J435" s="1">
        <v>0</v>
      </c>
      <c r="K435" s="1">
        <f>IF(J435 + K434 &lt; 0, J435 + K434, 0)</f>
        <v>0</v>
      </c>
      <c r="L435" s="1">
        <v>0</v>
      </c>
      <c r="M435" s="1">
        <f>IF(L435 + M434 &lt; 0, L435 + M434, 0)</f>
        <v>0</v>
      </c>
      <c r="N435" s="1">
        <v>0</v>
      </c>
      <c r="O435" s="1">
        <f>IF(N435 + O434 &lt; 0, N435 + O434, 0)</f>
        <v>0</v>
      </c>
      <c r="P435" s="1">
        <v>1093881.099076925</v>
      </c>
      <c r="Q435" s="1">
        <f>IF(P435 + Q434 &lt; 0, P435 + Q434, 0)</f>
        <v>0</v>
      </c>
    </row>
    <row r="436" spans="1:17" s="1" customFormat="1">
      <c r="A436" s="3">
        <v>45933</v>
      </c>
      <c r="B436" s="1" t="s">
        <v>26</v>
      </c>
      <c r="C436" s="1">
        <v>16</v>
      </c>
      <c r="D436" s="1">
        <v>16</v>
      </c>
      <c r="E436" s="1">
        <v>0</v>
      </c>
      <c r="F436" s="1">
        <v>0</v>
      </c>
      <c r="G436" s="1">
        <v>0</v>
      </c>
      <c r="H436" s="1">
        <v>0</v>
      </c>
      <c r="I436" s="1">
        <f>IF(H436 + I435 &lt; 0, H436 + I435, 0)</f>
        <v>0</v>
      </c>
      <c r="J436" s="1">
        <v>0</v>
      </c>
      <c r="K436" s="1">
        <f>IF(J436 + K435 &lt; 0, J436 + K435, 0)</f>
        <v>0</v>
      </c>
      <c r="L436" s="1">
        <v>0</v>
      </c>
      <c r="M436" s="1">
        <f>IF(L436 + M435 &lt; 0, L436 + M435, 0)</f>
        <v>0</v>
      </c>
      <c r="N436" s="1">
        <v>0</v>
      </c>
      <c r="O436" s="1">
        <f>IF(N436 + O435 &lt; 0, N436 + O435, 0)</f>
        <v>0</v>
      </c>
      <c r="P436" s="1">
        <v>0</v>
      </c>
      <c r="Q436" s="1">
        <f>IF(P436 + Q435 &lt; 0, P436 + Q435, 0)</f>
        <v>0</v>
      </c>
    </row>
    <row r="437" spans="1:17" s="1" customFormat="1">
      <c r="A437" s="3">
        <v>45936</v>
      </c>
      <c r="B437" s="1" t="s">
        <v>22</v>
      </c>
      <c r="C437" s="1">
        <v>15</v>
      </c>
      <c r="D437" s="1">
        <v>15</v>
      </c>
      <c r="E437" s="1">
        <v>0</v>
      </c>
      <c r="F437" s="1">
        <v>0</v>
      </c>
      <c r="G437" s="1">
        <v>0</v>
      </c>
      <c r="H437" s="1">
        <v>0</v>
      </c>
      <c r="I437" s="1">
        <f>IF(H437 + I436 &lt; 0, H437 + I436, 0)</f>
        <v>0</v>
      </c>
      <c r="J437" s="1">
        <v>0</v>
      </c>
      <c r="K437" s="1">
        <f>IF(J437 + K436 &lt; 0, J437 + K436, 0)</f>
        <v>0</v>
      </c>
      <c r="L437" s="1">
        <v>0</v>
      </c>
      <c r="M437" s="1">
        <f>IF(L437 + M436 &lt; 0, L437 + M436, 0)</f>
        <v>0</v>
      </c>
      <c r="N437" s="1">
        <v>0</v>
      </c>
      <c r="O437" s="1">
        <f>IF(N437 + O436 &lt; 0, N437 + O436, 0)</f>
        <v>0</v>
      </c>
      <c r="P437" s="1">
        <v>0</v>
      </c>
      <c r="Q437" s="1">
        <f>IF(P437 + Q436 &lt; 0, P437 + Q436, 0)</f>
        <v>0</v>
      </c>
    </row>
    <row r="438" spans="1:17" s="1" customFormat="1">
      <c r="A438" s="3">
        <v>45937</v>
      </c>
      <c r="B438" s="1" t="s">
        <v>23</v>
      </c>
      <c r="C438" s="1">
        <v>14</v>
      </c>
      <c r="D438" s="1">
        <v>14</v>
      </c>
      <c r="E438" s="1">
        <v>0</v>
      </c>
      <c r="F438" s="1">
        <v>0</v>
      </c>
      <c r="G438" s="1">
        <v>0</v>
      </c>
      <c r="H438" s="1">
        <v>0</v>
      </c>
      <c r="I438" s="1">
        <f>IF(H438 + I437 &lt; 0, H438 + I437, 0)</f>
        <v>0</v>
      </c>
      <c r="J438" s="1">
        <v>0</v>
      </c>
      <c r="K438" s="1">
        <f>IF(J438 + K437 &lt; 0, J438 + K437, 0)</f>
        <v>0</v>
      </c>
      <c r="L438" s="1">
        <v>-953971.7999267953</v>
      </c>
      <c r="M438" s="1">
        <f>IF(L438 + M437 &lt; 0, L438 + M437, 0)</f>
        <v>0</v>
      </c>
      <c r="N438" s="1">
        <v>0</v>
      </c>
      <c r="O438" s="1">
        <f>IF(N438 + O437 &lt; 0, N438 + O437, 0)</f>
        <v>0</v>
      </c>
      <c r="P438" s="1">
        <v>0</v>
      </c>
      <c r="Q438" s="1">
        <f>IF(P438 + Q437 &lt; 0, P438 + Q437, 0)</f>
        <v>0</v>
      </c>
    </row>
    <row r="439" spans="1:17" s="1" customFormat="1">
      <c r="A439" s="3">
        <v>45938</v>
      </c>
      <c r="B439" s="1" t="s">
        <v>24</v>
      </c>
      <c r="C439" s="1">
        <v>13</v>
      </c>
      <c r="D439" s="1">
        <v>13</v>
      </c>
      <c r="E439" s="1">
        <v>0</v>
      </c>
      <c r="F439" s="1">
        <v>0</v>
      </c>
      <c r="G439" s="1">
        <v>0</v>
      </c>
      <c r="H439" s="1">
        <v>0</v>
      </c>
      <c r="I439" s="1">
        <f>IF(H439 + I438 &lt; 0, H439 + I438, 0)</f>
        <v>0</v>
      </c>
      <c r="J439" s="1">
        <v>0</v>
      </c>
      <c r="K439" s="1">
        <f>IF(J439 + K438 &lt; 0, J439 + K438, 0)</f>
        <v>0</v>
      </c>
      <c r="L439" s="1">
        <v>0</v>
      </c>
      <c r="M439" s="1">
        <f>IF(L439 + M438 &lt; 0, L439 + M438, 0)</f>
        <v>0</v>
      </c>
      <c r="N439" s="1">
        <v>0</v>
      </c>
      <c r="O439" s="1">
        <f>IF(N439 + O438 &lt; 0, N439 + O438, 0)</f>
        <v>0</v>
      </c>
      <c r="P439" s="1">
        <v>0</v>
      </c>
      <c r="Q439" s="1">
        <f>IF(P439 + Q438 &lt; 0, P439 + Q438, 0)</f>
        <v>0</v>
      </c>
    </row>
    <row r="440" spans="1:17" s="1" customFormat="1">
      <c r="A440" s="3">
        <v>45939</v>
      </c>
      <c r="B440" s="1" t="s">
        <v>25</v>
      </c>
      <c r="C440" s="1">
        <v>12</v>
      </c>
      <c r="D440" s="1">
        <v>12</v>
      </c>
      <c r="E440" s="1">
        <v>0</v>
      </c>
      <c r="F440" s="1">
        <v>0</v>
      </c>
      <c r="G440" s="1">
        <v>0</v>
      </c>
      <c r="H440" s="1">
        <v>0</v>
      </c>
      <c r="I440" s="1">
        <f>IF(H440 + I439 &lt; 0, H440 + I439, 0)</f>
        <v>0</v>
      </c>
      <c r="J440" s="1">
        <v>0</v>
      </c>
      <c r="K440" s="1">
        <f>IF(J440 + K439 &lt; 0, J440 + K439, 0)</f>
        <v>0</v>
      </c>
      <c r="L440" s="1">
        <v>0</v>
      </c>
      <c r="M440" s="1">
        <f>IF(L440 + M439 &lt; 0, L440 + M439, 0)</f>
        <v>0</v>
      </c>
      <c r="N440" s="1">
        <v>0</v>
      </c>
      <c r="O440" s="1">
        <f>IF(N440 + O439 &lt; 0, N440 + O439, 0)</f>
        <v>0</v>
      </c>
      <c r="P440" s="1">
        <v>830527.7088678305</v>
      </c>
      <c r="Q440" s="1">
        <f>IF(P440 + Q439 &lt; 0, P440 + Q439, 0)</f>
        <v>0</v>
      </c>
    </row>
    <row r="441" spans="1:17" s="1" customFormat="1">
      <c r="A441" s="3">
        <v>45940</v>
      </c>
      <c r="B441" s="1" t="s">
        <v>26</v>
      </c>
      <c r="C441" s="1">
        <v>11</v>
      </c>
      <c r="D441" s="1">
        <v>11</v>
      </c>
      <c r="E441" s="1">
        <v>0</v>
      </c>
      <c r="F441" s="1">
        <v>0</v>
      </c>
      <c r="G441" s="1">
        <v>0</v>
      </c>
      <c r="H441" s="1">
        <v>0</v>
      </c>
      <c r="I441" s="1">
        <f>IF(H441 + I440 &lt; 0, H441 + I440, 0)</f>
        <v>0</v>
      </c>
      <c r="J441" s="1">
        <v>0</v>
      </c>
      <c r="K441" s="1">
        <f>IF(J441 + K440 &lt; 0, J441 + K440, 0)</f>
        <v>0</v>
      </c>
      <c r="L441" s="1">
        <v>0</v>
      </c>
      <c r="M441" s="1">
        <f>IF(L441 + M440 &lt; 0, L441 + M440, 0)</f>
        <v>0</v>
      </c>
      <c r="N441" s="1">
        <v>0</v>
      </c>
      <c r="O441" s="1">
        <f>IF(N441 + O440 &lt; 0, N441 + O440, 0)</f>
        <v>0</v>
      </c>
      <c r="P441" s="1">
        <v>0</v>
      </c>
      <c r="Q441" s="1">
        <f>IF(P441 + Q440 &lt; 0, P441 + Q440, 0)</f>
        <v>0</v>
      </c>
    </row>
    <row r="442" spans="1:17" s="1" customFormat="1">
      <c r="A442" s="3">
        <v>45943</v>
      </c>
      <c r="B442" s="1" t="s">
        <v>22</v>
      </c>
      <c r="C442" s="1">
        <v>10</v>
      </c>
      <c r="D442" s="1">
        <v>10</v>
      </c>
      <c r="E442" s="1">
        <v>0</v>
      </c>
      <c r="F442" s="1">
        <v>0</v>
      </c>
      <c r="G442" s="1">
        <v>0</v>
      </c>
      <c r="H442" s="1">
        <v>0</v>
      </c>
      <c r="I442" s="1">
        <f>IF(H442 + I441 &lt; 0, H442 + I441, 0)</f>
        <v>0</v>
      </c>
      <c r="J442" s="1">
        <v>0</v>
      </c>
      <c r="K442" s="1">
        <f>IF(J442 + K441 &lt; 0, J442 + K441, 0)</f>
        <v>0</v>
      </c>
      <c r="L442" s="1">
        <v>0</v>
      </c>
      <c r="M442" s="1">
        <f>IF(L442 + M441 &lt; 0, L442 + M441, 0)</f>
        <v>0</v>
      </c>
      <c r="N442" s="1">
        <v>0</v>
      </c>
      <c r="O442" s="1">
        <f>IF(N442 + O441 &lt; 0, N442 + O441, 0)</f>
        <v>0</v>
      </c>
      <c r="P442" s="1">
        <v>0</v>
      </c>
      <c r="Q442" s="1">
        <f>IF(P442 + Q441 &lt; 0, P442 + Q441, 0)</f>
        <v>0</v>
      </c>
    </row>
    <row r="443" spans="1:17" s="1" customFormat="1">
      <c r="A443" s="3">
        <v>45944</v>
      </c>
      <c r="B443" s="1" t="s">
        <v>23</v>
      </c>
      <c r="C443" s="1">
        <v>9</v>
      </c>
      <c r="D443" s="1">
        <v>9</v>
      </c>
      <c r="E443" s="1">
        <v>0</v>
      </c>
      <c r="F443" s="1">
        <v>0</v>
      </c>
      <c r="G443" s="1">
        <v>0</v>
      </c>
      <c r="H443" s="1">
        <v>0</v>
      </c>
      <c r="I443" s="1">
        <f>IF(H443 + I442 &lt; 0, H443 + I442, 0)</f>
        <v>0</v>
      </c>
      <c r="J443" s="1">
        <v>0</v>
      </c>
      <c r="K443" s="1">
        <f>IF(J443 + K442 &lt; 0, J443 + K442, 0)</f>
        <v>0</v>
      </c>
      <c r="L443" s="1">
        <v>-879358.0398110179</v>
      </c>
      <c r="M443" s="1">
        <f>IF(L443 + M442 &lt; 0, L443 + M442, 0)</f>
        <v>0</v>
      </c>
      <c r="N443" s="1">
        <v>0</v>
      </c>
      <c r="O443" s="1">
        <f>IF(N443 + O442 &lt; 0, N443 + O442, 0)</f>
        <v>0</v>
      </c>
      <c r="P443" s="1">
        <v>0</v>
      </c>
      <c r="Q443" s="1">
        <f>IF(P443 + Q442 &lt; 0, P443 + Q442, 0)</f>
        <v>0</v>
      </c>
    </row>
    <row r="444" spans="1:17" s="1" customFormat="1">
      <c r="A444" s="3">
        <v>45945</v>
      </c>
      <c r="B444" s="1" t="s">
        <v>24</v>
      </c>
      <c r="C444" s="1">
        <v>8</v>
      </c>
      <c r="D444" s="1">
        <v>8</v>
      </c>
      <c r="E444" s="1">
        <v>0</v>
      </c>
      <c r="F444" s="1">
        <v>0</v>
      </c>
      <c r="G444" s="1">
        <v>0</v>
      </c>
      <c r="H444" s="1">
        <v>0</v>
      </c>
      <c r="I444" s="1">
        <f>IF(H444 + I443 &lt; 0, H444 + I443, 0)</f>
        <v>0</v>
      </c>
      <c r="J444" s="1">
        <v>0</v>
      </c>
      <c r="K444" s="1">
        <f>IF(J444 + K443 &lt; 0, J444 + K443, 0)</f>
        <v>0</v>
      </c>
      <c r="L444" s="1">
        <v>0</v>
      </c>
      <c r="M444" s="1">
        <f>IF(L444 + M443 &lt; 0, L444 + M443, 0)</f>
        <v>0</v>
      </c>
      <c r="N444" s="1">
        <v>0</v>
      </c>
      <c r="O444" s="1">
        <f>IF(N444 + O443 &lt; 0, N444 + O443, 0)</f>
        <v>0</v>
      </c>
      <c r="P444" s="1">
        <v>0</v>
      </c>
      <c r="Q444" s="1">
        <f>IF(P444 + Q443 &lt; 0, P444 + Q443, 0)</f>
        <v>0</v>
      </c>
    </row>
    <row r="445" spans="1:17" s="1" customFormat="1">
      <c r="A445" s="3">
        <v>45946</v>
      </c>
      <c r="B445" s="1" t="s">
        <v>25</v>
      </c>
      <c r="C445" s="1">
        <v>7</v>
      </c>
      <c r="D445" s="1">
        <v>7</v>
      </c>
      <c r="E445" s="1">
        <v>0</v>
      </c>
      <c r="F445" s="1">
        <v>0</v>
      </c>
      <c r="G445" s="1">
        <v>0</v>
      </c>
      <c r="H445" s="1">
        <v>0</v>
      </c>
      <c r="I445" s="1">
        <f>IF(H445 + I444 &lt; 0, H445 + I444, 0)</f>
        <v>0</v>
      </c>
      <c r="J445" s="1">
        <v>0</v>
      </c>
      <c r="K445" s="1">
        <f>IF(J445 + K444 &lt; 0, J445 + K444, 0)</f>
        <v>0</v>
      </c>
      <c r="L445" s="1">
        <v>0</v>
      </c>
      <c r="M445" s="1">
        <f>IF(L445 + M444 &lt; 0, L445 + M444, 0)</f>
        <v>0</v>
      </c>
      <c r="N445" s="1">
        <v>0</v>
      </c>
      <c r="O445" s="1">
        <f>IF(N445 + O444 &lt; 0, N445 + O444, 0)</f>
        <v>0</v>
      </c>
      <c r="P445" s="1">
        <v>-175497.8186425827</v>
      </c>
      <c r="Q445" s="1">
        <f>IF(P445 + Q444 &lt; 0, P445 + Q444, 0)</f>
        <v>0</v>
      </c>
    </row>
    <row r="446" spans="1:17" s="1" customFormat="1">
      <c r="A446" s="3">
        <v>45947</v>
      </c>
      <c r="B446" s="1" t="s">
        <v>26</v>
      </c>
      <c r="C446" s="1">
        <v>6</v>
      </c>
      <c r="D446" s="1">
        <v>6</v>
      </c>
      <c r="E446" s="1">
        <v>0</v>
      </c>
      <c r="F446" s="1">
        <v>0</v>
      </c>
      <c r="G446" s="1">
        <v>0</v>
      </c>
      <c r="H446" s="1">
        <v>0</v>
      </c>
      <c r="I446" s="1">
        <f>IF(H446 + I445 &lt; 0, H446 + I445, 0)</f>
        <v>0</v>
      </c>
      <c r="J446" s="1">
        <v>0</v>
      </c>
      <c r="K446" s="1">
        <f>IF(J446 + K445 &lt; 0, J446 + K445, 0)</f>
        <v>0</v>
      </c>
      <c r="L446" s="1">
        <v>0</v>
      </c>
      <c r="M446" s="1">
        <f>IF(L446 + M445 &lt; 0, L446 + M445, 0)</f>
        <v>0</v>
      </c>
      <c r="N446" s="1">
        <v>0</v>
      </c>
      <c r="O446" s="1">
        <f>IF(N446 + O445 &lt; 0, N446 + O445, 0)</f>
        <v>0</v>
      </c>
      <c r="P446" s="1">
        <v>0</v>
      </c>
      <c r="Q446" s="1">
        <f>IF(P446 + Q445 &lt; 0, P446 + Q445, 0)</f>
        <v>0</v>
      </c>
    </row>
    <row r="447" spans="1:17" s="1" customFormat="1">
      <c r="A447" s="3">
        <v>45950</v>
      </c>
      <c r="B447" s="1" t="s">
        <v>22</v>
      </c>
      <c r="C447" s="1">
        <v>5</v>
      </c>
      <c r="D447" s="1">
        <v>5</v>
      </c>
      <c r="E447" s="1">
        <v>0</v>
      </c>
      <c r="F447" s="1">
        <v>0</v>
      </c>
      <c r="G447" s="1">
        <v>0</v>
      </c>
      <c r="H447" s="1">
        <v>0</v>
      </c>
      <c r="I447" s="1">
        <f>IF(H447 + I446 &lt; 0, H447 + I446, 0)</f>
        <v>0</v>
      </c>
      <c r="J447" s="1">
        <v>0</v>
      </c>
      <c r="K447" s="1">
        <f>IF(J447 + K446 &lt; 0, J447 + K446, 0)</f>
        <v>0</v>
      </c>
      <c r="L447" s="1">
        <v>-1934427.827593739</v>
      </c>
      <c r="M447" s="1">
        <f>IF(L447 + M446 &lt; 0, L447 + M446, 0)</f>
        <v>0</v>
      </c>
      <c r="N447" s="1">
        <v>0</v>
      </c>
      <c r="O447" s="1">
        <f>IF(N447 + O446 &lt; 0, N447 + O446, 0)</f>
        <v>0</v>
      </c>
      <c r="P447" s="1">
        <v>0</v>
      </c>
      <c r="Q447" s="1">
        <f>IF(P447 + Q446 &lt; 0, P447 + Q446, 0)</f>
        <v>0</v>
      </c>
    </row>
    <row r="448" spans="1:17" s="1" customFormat="1">
      <c r="A448" s="3">
        <v>45953</v>
      </c>
      <c r="B448" s="1" t="s">
        <v>25</v>
      </c>
      <c r="C448" s="1">
        <v>4</v>
      </c>
      <c r="D448" s="1">
        <v>4</v>
      </c>
      <c r="E448" s="1">
        <v>0</v>
      </c>
      <c r="F448" s="1">
        <v>0</v>
      </c>
      <c r="G448" s="1">
        <v>0</v>
      </c>
      <c r="H448" s="1">
        <v>0</v>
      </c>
      <c r="I448" s="1">
        <f>IF(H448 + I447 &lt; 0, H448 + I447, 0)</f>
        <v>0</v>
      </c>
      <c r="J448" s="1">
        <v>0</v>
      </c>
      <c r="K448" s="1">
        <f>IF(J448 + K447 &lt; 0, J448 + K447, 0)</f>
        <v>0</v>
      </c>
      <c r="L448" s="1">
        <v>0</v>
      </c>
      <c r="M448" s="1">
        <f>IF(L448 + M447 &lt; 0, L448 + M447, 0)</f>
        <v>0</v>
      </c>
      <c r="N448" s="1">
        <v>0</v>
      </c>
      <c r="O448" s="1">
        <f>IF(N448 + O447 &lt; 0, N448 + O447, 0)</f>
        <v>0</v>
      </c>
      <c r="P448" s="1">
        <v>-70934.80362547394</v>
      </c>
      <c r="Q448" s="1">
        <f>IF(P448 + Q447 &lt; 0, P448 + Q447, 0)</f>
        <v>0</v>
      </c>
    </row>
    <row r="449" spans="1:17" s="1" customFormat="1">
      <c r="A449" s="3">
        <v>45954</v>
      </c>
      <c r="B449" s="1" t="s">
        <v>26</v>
      </c>
      <c r="C449" s="1">
        <v>3</v>
      </c>
      <c r="D449" s="1">
        <v>3</v>
      </c>
      <c r="E449" s="1">
        <v>0</v>
      </c>
      <c r="F449" s="1">
        <v>0</v>
      </c>
      <c r="G449" s="1">
        <v>0</v>
      </c>
      <c r="H449" s="1">
        <v>0</v>
      </c>
      <c r="I449" s="1">
        <f>IF(H449 + I448 &lt; 0, H449 + I448, 0)</f>
        <v>0</v>
      </c>
      <c r="J449" s="1">
        <v>0</v>
      </c>
      <c r="K449" s="1">
        <f>IF(J449 + K448 &lt; 0, J449 + K448, 0)</f>
        <v>0</v>
      </c>
      <c r="L449" s="1">
        <v>0</v>
      </c>
      <c r="M449" s="1">
        <f>IF(L449 + M448 &lt; 0, L449 + M448, 0)</f>
        <v>0</v>
      </c>
      <c r="N449" s="1">
        <v>0</v>
      </c>
      <c r="O449" s="1">
        <f>IF(N449 + O448 &lt; 0, N449 + O448, 0)</f>
        <v>0</v>
      </c>
      <c r="P449" s="1">
        <v>0</v>
      </c>
      <c r="Q449" s="1">
        <f>IF(P449 + Q448 &lt; 0, P449 + Q448, 0)</f>
        <v>0</v>
      </c>
    </row>
    <row r="450" spans="1:17" s="1" customFormat="1">
      <c r="A450" s="3">
        <v>45957</v>
      </c>
      <c r="B450" s="1" t="s">
        <v>22</v>
      </c>
      <c r="C450" s="1">
        <v>2</v>
      </c>
      <c r="D450" s="1">
        <v>2</v>
      </c>
      <c r="E450" s="1">
        <v>0</v>
      </c>
      <c r="F450" s="1">
        <v>0</v>
      </c>
      <c r="G450" s="1">
        <v>0</v>
      </c>
      <c r="H450" s="1">
        <v>0</v>
      </c>
      <c r="I450" s="1">
        <f>IF(H450 + I449 &lt; 0, H450 + I449, 0)</f>
        <v>0</v>
      </c>
      <c r="J450" s="1">
        <v>0</v>
      </c>
      <c r="K450" s="1">
        <f>IF(J450 + K449 &lt; 0, J450 + K449, 0)</f>
        <v>0</v>
      </c>
      <c r="L450" s="1">
        <v>0</v>
      </c>
      <c r="M450" s="1">
        <f>IF(L450 + M449 &lt; 0, L450 + M449, 0)</f>
        <v>0</v>
      </c>
      <c r="N450" s="1">
        <v>0</v>
      </c>
      <c r="O450" s="1">
        <f>IF(N450 + O449 &lt; 0, N450 + O449, 0)</f>
        <v>0</v>
      </c>
      <c r="P450" s="1">
        <v>0</v>
      </c>
      <c r="Q450" s="1">
        <f>IF(P450 + Q449 &lt; 0, P450 + Q449, 0)</f>
        <v>0</v>
      </c>
    </row>
    <row r="451" spans="1:17" s="1" customFormat="1">
      <c r="A451" s="3">
        <v>45958</v>
      </c>
      <c r="B451" s="1" t="s">
        <v>23</v>
      </c>
      <c r="C451" s="1">
        <v>1</v>
      </c>
      <c r="D451" s="1">
        <v>1</v>
      </c>
      <c r="E451" s="1">
        <v>0</v>
      </c>
      <c r="F451" s="1">
        <v>0</v>
      </c>
      <c r="G451" s="1">
        <v>0</v>
      </c>
      <c r="H451" s="1">
        <v>0</v>
      </c>
      <c r="I451" s="1">
        <f>IF(H451 + I450 &lt; 0, H451 + I450, 0)</f>
        <v>0</v>
      </c>
      <c r="J451" s="1">
        <v>0</v>
      </c>
      <c r="K451" s="1">
        <f>IF(J451 + K450 &lt; 0, J451 + K450, 0)</f>
        <v>0</v>
      </c>
      <c r="L451" s="1">
        <v>-630161.6606881185</v>
      </c>
      <c r="M451" s="1">
        <f>IF(L451 + M450 &lt; 0, L451 + M450, 0)</f>
        <v>0</v>
      </c>
      <c r="N451" s="1">
        <v>0</v>
      </c>
      <c r="O451" s="1">
        <f>IF(N451 + O450 &lt; 0, N451 + O450, 0)</f>
        <v>0</v>
      </c>
      <c r="P451" s="1">
        <v>0</v>
      </c>
      <c r="Q451" s="1">
        <f>IF(P451 + Q450 &lt; 0, P451 + Q450, 0)</f>
        <v>0</v>
      </c>
    </row>
    <row r="452" spans="1:17" s="1" customFormat="1">
      <c r="A452" s="3">
        <v>45959</v>
      </c>
      <c r="B452" s="1" t="s">
        <v>24</v>
      </c>
      <c r="C452" s="1">
        <v>19</v>
      </c>
      <c r="D452" s="1">
        <v>19</v>
      </c>
      <c r="E452" s="1">
        <v>0</v>
      </c>
      <c r="F452" s="1">
        <v>0</v>
      </c>
      <c r="G452" s="1">
        <v>0</v>
      </c>
      <c r="H452" s="1">
        <v>0</v>
      </c>
      <c r="I452" s="1">
        <f>IF(H452 + I451 &lt; 0, H452 + I451, 0)</f>
        <v>0</v>
      </c>
      <c r="J452" s="1">
        <v>0</v>
      </c>
      <c r="K452" s="1">
        <f>IF(J452 + K451 &lt; 0, J452 + K451, 0)</f>
        <v>0</v>
      </c>
      <c r="L452" s="1">
        <v>0</v>
      </c>
      <c r="M452" s="1">
        <f>IF(L452 + M451 &lt; 0, L452 + M451, 0)</f>
        <v>0</v>
      </c>
      <c r="N452" s="1">
        <v>0</v>
      </c>
      <c r="O452" s="1">
        <f>IF(N452 + O451 &lt; 0, N452 + O451, 0)</f>
        <v>0</v>
      </c>
      <c r="P452" s="1">
        <v>0</v>
      </c>
      <c r="Q452" s="1">
        <f>IF(P452 + Q451 &lt; 0, P452 + Q451, 0)</f>
        <v>0</v>
      </c>
    </row>
    <row r="453" spans="1:17" s="1" customFormat="1">
      <c r="A453" s="3">
        <v>45960</v>
      </c>
      <c r="B453" s="1" t="s">
        <v>25</v>
      </c>
      <c r="C453" s="1">
        <v>18</v>
      </c>
      <c r="D453" s="1">
        <v>18</v>
      </c>
      <c r="E453" s="1">
        <v>0</v>
      </c>
      <c r="F453" s="1">
        <v>0</v>
      </c>
      <c r="G453" s="1">
        <v>0</v>
      </c>
      <c r="H453" s="1">
        <v>0</v>
      </c>
      <c r="I453" s="1">
        <f>IF(H453 + I452 &lt; 0, H453 + I452, 0)</f>
        <v>0</v>
      </c>
      <c r="J453" s="1">
        <v>0</v>
      </c>
      <c r="K453" s="1">
        <f>IF(J453 + K452 &lt; 0, J453 + K452, 0)</f>
        <v>0</v>
      </c>
      <c r="L453" s="1">
        <v>0</v>
      </c>
      <c r="M453" s="1">
        <f>IF(L453 + M452 &lt; 0, L453 + M452, 0)</f>
        <v>0</v>
      </c>
      <c r="N453" s="1">
        <v>0</v>
      </c>
      <c r="O453" s="1">
        <f>IF(N453 + O452 &lt; 0, N453 + O452, 0)</f>
        <v>0</v>
      </c>
      <c r="P453" s="1">
        <v>1924325.539770865</v>
      </c>
      <c r="Q453" s="1">
        <f>IF(P453 + Q452 &lt; 0, P453 + Q452, 0)</f>
        <v>0</v>
      </c>
    </row>
    <row r="454" spans="1:17" s="1" customFormat="1">
      <c r="A454" s="3">
        <v>45961</v>
      </c>
      <c r="B454" s="1" t="s">
        <v>26</v>
      </c>
      <c r="C454" s="1">
        <v>17</v>
      </c>
      <c r="D454" s="1">
        <v>17</v>
      </c>
      <c r="E454" s="1">
        <v>0</v>
      </c>
      <c r="F454" s="1">
        <v>0</v>
      </c>
      <c r="G454" s="1">
        <v>0</v>
      </c>
      <c r="H454" s="1">
        <v>0</v>
      </c>
      <c r="I454" s="1">
        <f>IF(H454 + I453 &lt; 0, H454 + I453, 0)</f>
        <v>0</v>
      </c>
      <c r="J454" s="1">
        <v>0</v>
      </c>
      <c r="K454" s="1">
        <f>IF(J454 + K453 &lt; 0, J454 + K453, 0)</f>
        <v>0</v>
      </c>
      <c r="L454" s="1">
        <v>0</v>
      </c>
      <c r="M454" s="1">
        <f>IF(L454 + M453 &lt; 0, L454 + M453, 0)</f>
        <v>0</v>
      </c>
      <c r="N454" s="1">
        <v>0</v>
      </c>
      <c r="O454" s="1">
        <f>IF(N454 + O453 &lt; 0, N454 + O453, 0)</f>
        <v>0</v>
      </c>
      <c r="P454" s="1">
        <v>0</v>
      </c>
      <c r="Q454" s="1">
        <f>IF(P454 + Q453 &lt; 0, P454 + Q453, 0)</f>
        <v>0</v>
      </c>
    </row>
    <row r="455" spans="1:17" s="1" customFormat="1">
      <c r="A455" s="3">
        <v>45964</v>
      </c>
      <c r="B455" s="1" t="s">
        <v>22</v>
      </c>
      <c r="C455" s="1">
        <v>16</v>
      </c>
      <c r="D455" s="1">
        <v>16</v>
      </c>
      <c r="E455" s="1">
        <v>0</v>
      </c>
      <c r="F455" s="1">
        <v>0</v>
      </c>
      <c r="G455" s="1">
        <v>0</v>
      </c>
      <c r="H455" s="1">
        <v>0</v>
      </c>
      <c r="I455" s="1">
        <f>IF(H455 + I454 &lt; 0, H455 + I454, 0)</f>
        <v>0</v>
      </c>
      <c r="J455" s="1">
        <v>0</v>
      </c>
      <c r="K455" s="1">
        <f>IF(J455 + K454 &lt; 0, J455 + K454, 0)</f>
        <v>0</v>
      </c>
      <c r="L455" s="1">
        <v>0</v>
      </c>
      <c r="M455" s="1">
        <f>IF(L455 + M454 &lt; 0, L455 + M454, 0)</f>
        <v>0</v>
      </c>
      <c r="N455" s="1">
        <v>0</v>
      </c>
      <c r="O455" s="1">
        <f>IF(N455 + O454 &lt; 0, N455 + O454, 0)</f>
        <v>0</v>
      </c>
      <c r="P455" s="1">
        <v>0</v>
      </c>
      <c r="Q455" s="1">
        <f>IF(P455 + Q454 &lt; 0, P455 + Q454, 0)</f>
        <v>0</v>
      </c>
    </row>
    <row r="456" spans="1:17" s="1" customFormat="1">
      <c r="A456" s="3">
        <v>45965</v>
      </c>
      <c r="B456" s="1" t="s">
        <v>23</v>
      </c>
      <c r="C456" s="1">
        <v>15</v>
      </c>
      <c r="D456" s="1">
        <v>15</v>
      </c>
      <c r="E456" s="1">
        <v>0</v>
      </c>
      <c r="F456" s="1">
        <v>0</v>
      </c>
      <c r="G456" s="1">
        <v>0</v>
      </c>
      <c r="H456" s="1">
        <v>0</v>
      </c>
      <c r="I456" s="1">
        <f>IF(H456 + I455 &lt; 0, H456 + I455, 0)</f>
        <v>0</v>
      </c>
      <c r="J456" s="1">
        <v>0</v>
      </c>
      <c r="K456" s="1">
        <f>IF(J456 + K455 &lt; 0, J456 + K455, 0)</f>
        <v>0</v>
      </c>
      <c r="L456" s="1">
        <v>1099943.197207925</v>
      </c>
      <c r="M456" s="1">
        <f>IF(L456 + M455 &lt; 0, L456 + M455, 0)</f>
        <v>0</v>
      </c>
      <c r="N456" s="1">
        <v>0</v>
      </c>
      <c r="O456" s="1">
        <f>IF(N456 + O455 &lt; 0, N456 + O455, 0)</f>
        <v>0</v>
      </c>
      <c r="P456" s="1">
        <v>0</v>
      </c>
      <c r="Q456" s="1">
        <f>IF(P456 + Q455 &lt; 0, P456 + Q455, 0)</f>
        <v>0</v>
      </c>
    </row>
    <row r="457" spans="1:17" s="1" customFormat="1">
      <c r="A457" s="3">
        <v>45967</v>
      </c>
      <c r="B457" s="1" t="s">
        <v>25</v>
      </c>
      <c r="C457" s="1">
        <v>14</v>
      </c>
      <c r="D457" s="1">
        <v>14</v>
      </c>
      <c r="E457" s="1">
        <v>0</v>
      </c>
      <c r="F457" s="1">
        <v>0</v>
      </c>
      <c r="G457" s="1">
        <v>0</v>
      </c>
      <c r="H457" s="1">
        <v>0</v>
      </c>
      <c r="I457" s="1">
        <f>IF(H457 + I456 &lt; 0, H457 + I456, 0)</f>
        <v>0</v>
      </c>
      <c r="J457" s="1">
        <v>0</v>
      </c>
      <c r="K457" s="1">
        <f>IF(J457 + K456 &lt; 0, J457 + K456, 0)</f>
        <v>0</v>
      </c>
      <c r="L457" s="1">
        <v>0</v>
      </c>
      <c r="M457" s="1">
        <f>IF(L457 + M456 &lt; 0, L457 + M456, 0)</f>
        <v>0</v>
      </c>
      <c r="N457" s="1">
        <v>0</v>
      </c>
      <c r="O457" s="1">
        <f>IF(N457 + O456 &lt; 0, N457 + O456, 0)</f>
        <v>0</v>
      </c>
      <c r="P457" s="1">
        <v>1553631.003686382</v>
      </c>
      <c r="Q457" s="1">
        <f>IF(P457 + Q456 &lt; 0, P457 + Q456, 0)</f>
        <v>0</v>
      </c>
    </row>
    <row r="458" spans="1:17" s="1" customFormat="1">
      <c r="A458" s="3">
        <v>45968</v>
      </c>
      <c r="B458" s="1" t="s">
        <v>26</v>
      </c>
      <c r="C458" s="1">
        <v>13</v>
      </c>
      <c r="D458" s="1">
        <v>13</v>
      </c>
      <c r="E458" s="1">
        <v>0</v>
      </c>
      <c r="F458" s="1">
        <v>0</v>
      </c>
      <c r="G458" s="1">
        <v>0</v>
      </c>
      <c r="H458" s="1">
        <v>0</v>
      </c>
      <c r="I458" s="1">
        <f>IF(H458 + I457 &lt; 0, H458 + I457, 0)</f>
        <v>0</v>
      </c>
      <c r="J458" s="1">
        <v>0</v>
      </c>
      <c r="K458" s="1">
        <f>IF(J458 + K457 &lt; 0, J458 + K457, 0)</f>
        <v>0</v>
      </c>
      <c r="L458" s="1">
        <v>0</v>
      </c>
      <c r="M458" s="1">
        <f>IF(L458 + M457 &lt; 0, L458 + M457, 0)</f>
        <v>0</v>
      </c>
      <c r="N458" s="1">
        <v>0</v>
      </c>
      <c r="O458" s="1">
        <f>IF(N458 + O457 &lt; 0, N458 + O457, 0)</f>
        <v>0</v>
      </c>
      <c r="P458" s="1">
        <v>0</v>
      </c>
      <c r="Q458" s="1">
        <f>IF(P458 + Q457 &lt; 0, P458 + Q457, 0)</f>
        <v>0</v>
      </c>
    </row>
    <row r="459" spans="1:17" s="1" customFormat="1">
      <c r="A459" s="3">
        <v>45971</v>
      </c>
      <c r="B459" s="1" t="s">
        <v>22</v>
      </c>
      <c r="C459" s="1">
        <v>12</v>
      </c>
      <c r="D459" s="1">
        <v>12</v>
      </c>
      <c r="E459" s="1">
        <v>0</v>
      </c>
      <c r="F459" s="1">
        <v>0</v>
      </c>
      <c r="G459" s="1">
        <v>0</v>
      </c>
      <c r="H459" s="1">
        <v>0</v>
      </c>
      <c r="I459" s="1">
        <f>IF(H459 + I458 &lt; 0, H459 + I458, 0)</f>
        <v>0</v>
      </c>
      <c r="J459" s="1">
        <v>0</v>
      </c>
      <c r="K459" s="1">
        <f>IF(J459 + K458 &lt; 0, J459 + K458, 0)</f>
        <v>0</v>
      </c>
      <c r="L459" s="1">
        <v>0</v>
      </c>
      <c r="M459" s="1">
        <f>IF(L459 + M458 &lt; 0, L459 + M458, 0)</f>
        <v>0</v>
      </c>
      <c r="N459" s="1">
        <v>0</v>
      </c>
      <c r="O459" s="1">
        <f>IF(N459 + O458 &lt; 0, N459 + O458, 0)</f>
        <v>0</v>
      </c>
      <c r="P459" s="1">
        <v>0</v>
      </c>
      <c r="Q459" s="1">
        <f>IF(P459 + Q458 &lt; 0, P459 + Q458, 0)</f>
        <v>0</v>
      </c>
    </row>
    <row r="460" spans="1:17" s="1" customFormat="1">
      <c r="A460" s="3">
        <v>45972</v>
      </c>
      <c r="B460" s="1" t="s">
        <v>23</v>
      </c>
      <c r="C460" s="1">
        <v>11</v>
      </c>
      <c r="D460" s="1">
        <v>11</v>
      </c>
      <c r="E460" s="1">
        <v>0</v>
      </c>
      <c r="F460" s="1">
        <v>0</v>
      </c>
      <c r="G460" s="1">
        <v>0</v>
      </c>
      <c r="H460" s="1">
        <v>0</v>
      </c>
      <c r="I460" s="1">
        <f>IF(H460 + I459 &lt; 0, H460 + I459, 0)</f>
        <v>0</v>
      </c>
      <c r="J460" s="1">
        <v>0</v>
      </c>
      <c r="K460" s="1">
        <f>IF(J460 + K459 &lt; 0, J460 + K459, 0)</f>
        <v>0</v>
      </c>
      <c r="L460" s="1">
        <v>-957908.8411238538</v>
      </c>
      <c r="M460" s="1">
        <f>IF(L460 + M459 &lt; 0, L460 + M459, 0)</f>
        <v>0</v>
      </c>
      <c r="N460" s="1">
        <v>0</v>
      </c>
      <c r="O460" s="1">
        <f>IF(N460 + O459 &lt; 0, N460 + O459, 0)</f>
        <v>0</v>
      </c>
      <c r="P460" s="1">
        <v>0</v>
      </c>
      <c r="Q460" s="1">
        <f>IF(P460 + Q459 &lt; 0, P460 + Q459, 0)</f>
        <v>0</v>
      </c>
    </row>
    <row r="461" spans="1:17" s="1" customFormat="1">
      <c r="A461" s="3">
        <v>45973</v>
      </c>
      <c r="B461" s="1" t="s">
        <v>24</v>
      </c>
      <c r="C461" s="1">
        <v>10</v>
      </c>
      <c r="D461" s="1">
        <v>10</v>
      </c>
      <c r="E461" s="1">
        <v>0</v>
      </c>
      <c r="F461" s="1">
        <v>0</v>
      </c>
      <c r="G461" s="1">
        <v>0</v>
      </c>
      <c r="H461" s="1">
        <v>0</v>
      </c>
      <c r="I461" s="1">
        <f>IF(H461 + I460 &lt; 0, H461 + I460, 0)</f>
        <v>0</v>
      </c>
      <c r="J461" s="1">
        <v>0</v>
      </c>
      <c r="K461" s="1">
        <f>IF(J461 + K460 &lt; 0, J461 + K460, 0)</f>
        <v>0</v>
      </c>
      <c r="L461" s="1">
        <v>0</v>
      </c>
      <c r="M461" s="1">
        <f>IF(L461 + M460 &lt; 0, L461 + M460, 0)</f>
        <v>0</v>
      </c>
      <c r="N461" s="1">
        <v>0</v>
      </c>
      <c r="O461" s="1">
        <f>IF(N461 + O460 &lt; 0, N461 + O460, 0)</f>
        <v>0</v>
      </c>
      <c r="P461" s="1">
        <v>0</v>
      </c>
      <c r="Q461" s="1">
        <f>IF(P461 + Q460 &lt; 0, P461 + Q460, 0)</f>
        <v>0</v>
      </c>
    </row>
    <row r="462" spans="1:17" s="1" customFormat="1">
      <c r="A462" s="3">
        <v>45974</v>
      </c>
      <c r="B462" s="1" t="s">
        <v>25</v>
      </c>
      <c r="C462" s="1">
        <v>9</v>
      </c>
      <c r="D462" s="1">
        <v>9</v>
      </c>
      <c r="E462" s="1">
        <v>0</v>
      </c>
      <c r="F462" s="1">
        <v>0</v>
      </c>
      <c r="G462" s="1">
        <v>0</v>
      </c>
      <c r="H462" s="1">
        <v>0</v>
      </c>
      <c r="I462" s="1">
        <f>IF(H462 + I461 &lt; 0, H462 + I461, 0)</f>
        <v>0</v>
      </c>
      <c r="J462" s="1">
        <v>0</v>
      </c>
      <c r="K462" s="1">
        <f>IF(J462 + K461 &lt; 0, J462 + K461, 0)</f>
        <v>0</v>
      </c>
      <c r="L462" s="1">
        <v>0</v>
      </c>
      <c r="M462" s="1">
        <f>IF(L462 + M461 &lt; 0, L462 + M461, 0)</f>
        <v>0</v>
      </c>
      <c r="N462" s="1">
        <v>0</v>
      </c>
      <c r="O462" s="1">
        <f>IF(N462 + O461 &lt; 0, N462 + O461, 0)</f>
        <v>0</v>
      </c>
      <c r="P462" s="1">
        <v>-484591.6388068883</v>
      </c>
      <c r="Q462" s="1">
        <f>IF(P462 + Q461 &lt; 0, P462 + Q461, 0)</f>
        <v>0</v>
      </c>
    </row>
    <row r="463" spans="1:17" s="1" customFormat="1">
      <c r="A463" s="3">
        <v>45975</v>
      </c>
      <c r="B463" s="1" t="s">
        <v>26</v>
      </c>
      <c r="C463" s="1">
        <v>8</v>
      </c>
      <c r="D463" s="1">
        <v>8</v>
      </c>
      <c r="E463" s="1">
        <v>0</v>
      </c>
      <c r="F463" s="1">
        <v>0</v>
      </c>
      <c r="G463" s="1">
        <v>0</v>
      </c>
      <c r="H463" s="1">
        <v>0</v>
      </c>
      <c r="I463" s="1">
        <f>IF(H463 + I462 &lt; 0, H463 + I462, 0)</f>
        <v>0</v>
      </c>
      <c r="J463" s="1">
        <v>0</v>
      </c>
      <c r="K463" s="1">
        <f>IF(J463 + K462 &lt; 0, J463 + K462, 0)</f>
        <v>0</v>
      </c>
      <c r="L463" s="1">
        <v>0</v>
      </c>
      <c r="M463" s="1">
        <f>IF(L463 + M462 &lt; 0, L463 + M462, 0)</f>
        <v>0</v>
      </c>
      <c r="N463" s="1">
        <v>0</v>
      </c>
      <c r="O463" s="1">
        <f>IF(N463 + O462 &lt; 0, N463 + O462, 0)</f>
        <v>0</v>
      </c>
      <c r="P463" s="1">
        <v>0</v>
      </c>
      <c r="Q463" s="1">
        <f>IF(P463 + Q462 &lt; 0, P463 + Q462, 0)</f>
        <v>0</v>
      </c>
    </row>
    <row r="464" spans="1:17" s="1" customFormat="1">
      <c r="A464" s="3">
        <v>45978</v>
      </c>
      <c r="B464" s="1" t="s">
        <v>22</v>
      </c>
      <c r="C464" s="1">
        <v>7</v>
      </c>
      <c r="D464" s="1">
        <v>7</v>
      </c>
      <c r="E464" s="1">
        <v>0</v>
      </c>
      <c r="F464" s="1">
        <v>0</v>
      </c>
      <c r="G464" s="1">
        <v>0</v>
      </c>
      <c r="H464" s="1">
        <v>0</v>
      </c>
      <c r="I464" s="1">
        <f>IF(H464 + I463 &lt; 0, H464 + I463, 0)</f>
        <v>0</v>
      </c>
      <c r="J464" s="1">
        <v>0</v>
      </c>
      <c r="K464" s="1">
        <f>IF(J464 + K463 &lt; 0, J464 + K463, 0)</f>
        <v>0</v>
      </c>
      <c r="L464" s="1">
        <v>0</v>
      </c>
      <c r="M464" s="1">
        <f>IF(L464 + M463 &lt; 0, L464 + M463, 0)</f>
        <v>0</v>
      </c>
      <c r="N464" s="1">
        <v>0</v>
      </c>
      <c r="O464" s="1">
        <f>IF(N464 + O463 &lt; 0, N464 + O463, 0)</f>
        <v>0</v>
      </c>
      <c r="P464" s="1">
        <v>0</v>
      </c>
      <c r="Q464" s="1">
        <f>IF(P464 + Q463 &lt; 0, P464 + Q463, 0)</f>
        <v>0</v>
      </c>
    </row>
    <row r="465" spans="1:17" s="1" customFormat="1">
      <c r="A465" s="3">
        <v>45979</v>
      </c>
      <c r="B465" s="1" t="s">
        <v>23</v>
      </c>
      <c r="C465" s="1">
        <v>6</v>
      </c>
      <c r="D465" s="1">
        <v>6</v>
      </c>
      <c r="E465" s="1">
        <v>0</v>
      </c>
      <c r="F465" s="1">
        <v>0</v>
      </c>
      <c r="G465" s="1">
        <v>0</v>
      </c>
      <c r="H465" s="1">
        <v>0</v>
      </c>
      <c r="I465" s="1">
        <f>IF(H465 + I464 &lt; 0, H465 + I464, 0)</f>
        <v>0</v>
      </c>
      <c r="J465" s="1">
        <v>0</v>
      </c>
      <c r="K465" s="1">
        <f>IF(J465 + K464 &lt; 0, J465 + K464, 0)</f>
        <v>0</v>
      </c>
      <c r="L465" s="1">
        <v>1789115.141150373</v>
      </c>
      <c r="M465" s="1">
        <f>IF(L465 + M464 &lt; 0, L465 + M464, 0)</f>
        <v>0</v>
      </c>
      <c r="N465" s="1">
        <v>0</v>
      </c>
      <c r="O465" s="1">
        <f>IF(N465 + O464 &lt; 0, N465 + O464, 0)</f>
        <v>0</v>
      </c>
      <c r="P465" s="1">
        <v>0</v>
      </c>
      <c r="Q465" s="1">
        <f>IF(P465 + Q464 &lt; 0, P465 + Q464, 0)</f>
        <v>0</v>
      </c>
    </row>
    <row r="466" spans="1:17" s="1" customFormat="1">
      <c r="A466" s="3">
        <v>45980</v>
      </c>
      <c r="B466" s="1" t="s">
        <v>24</v>
      </c>
      <c r="C466" s="1">
        <v>5</v>
      </c>
      <c r="D466" s="1">
        <v>5</v>
      </c>
      <c r="E466" s="1">
        <v>0</v>
      </c>
      <c r="F466" s="1">
        <v>0</v>
      </c>
      <c r="G466" s="1">
        <v>0</v>
      </c>
      <c r="H466" s="1">
        <v>0</v>
      </c>
      <c r="I466" s="1">
        <f>IF(H466 + I465 &lt; 0, H466 + I465, 0)</f>
        <v>0</v>
      </c>
      <c r="J466" s="1">
        <v>0</v>
      </c>
      <c r="K466" s="1">
        <f>IF(J466 + K465 &lt; 0, J466 + K465, 0)</f>
        <v>0</v>
      </c>
      <c r="L466" s="1">
        <v>0</v>
      </c>
      <c r="M466" s="1">
        <f>IF(L466 + M465 &lt; 0, L466 + M465, 0)</f>
        <v>0</v>
      </c>
      <c r="N466" s="1">
        <v>0</v>
      </c>
      <c r="O466" s="1">
        <f>IF(N466 + O465 &lt; 0, N466 + O465, 0)</f>
        <v>0</v>
      </c>
      <c r="P466" s="1">
        <v>0</v>
      </c>
      <c r="Q466" s="1">
        <f>IF(P466 + Q465 &lt; 0, P466 + Q465, 0)</f>
        <v>0</v>
      </c>
    </row>
    <row r="467" spans="1:17" s="1" customFormat="1">
      <c r="A467" s="3">
        <v>45981</v>
      </c>
      <c r="B467" s="1" t="s">
        <v>25</v>
      </c>
      <c r="C467" s="1">
        <v>4</v>
      </c>
      <c r="D467" s="1">
        <v>4</v>
      </c>
      <c r="E467" s="1">
        <v>0</v>
      </c>
      <c r="F467" s="1">
        <v>0</v>
      </c>
      <c r="G467" s="1">
        <v>0</v>
      </c>
      <c r="H467" s="1">
        <v>0</v>
      </c>
      <c r="I467" s="1">
        <f>IF(H467 + I466 &lt; 0, H467 + I466, 0)</f>
        <v>0</v>
      </c>
      <c r="J467" s="1">
        <v>0</v>
      </c>
      <c r="K467" s="1">
        <f>IF(J467 + K466 &lt; 0, J467 + K466, 0)</f>
        <v>0</v>
      </c>
      <c r="L467" s="1">
        <v>0</v>
      </c>
      <c r="M467" s="1">
        <f>IF(L467 + M466 &lt; 0, L467 + M466, 0)</f>
        <v>0</v>
      </c>
      <c r="N467" s="1">
        <v>0</v>
      </c>
      <c r="O467" s="1">
        <f>IF(N467 + O466 &lt; 0, N467 + O466, 0)</f>
        <v>0</v>
      </c>
      <c r="P467" s="1">
        <v>800170.9017177887</v>
      </c>
      <c r="Q467" s="1">
        <f>IF(P467 + Q466 &lt; 0, P467 + Q466, 0)</f>
        <v>0</v>
      </c>
    </row>
    <row r="468" spans="1:17" s="1" customFormat="1">
      <c r="A468" s="3">
        <v>45982</v>
      </c>
      <c r="B468" s="1" t="s">
        <v>26</v>
      </c>
      <c r="C468" s="1">
        <v>3</v>
      </c>
      <c r="D468" s="1">
        <v>3</v>
      </c>
      <c r="E468" s="1">
        <v>0</v>
      </c>
      <c r="F468" s="1">
        <v>0</v>
      </c>
      <c r="G468" s="1">
        <v>0</v>
      </c>
      <c r="H468" s="1">
        <v>0</v>
      </c>
      <c r="I468" s="1">
        <f>IF(H468 + I467 &lt; 0, H468 + I467, 0)</f>
        <v>0</v>
      </c>
      <c r="J468" s="1">
        <v>0</v>
      </c>
      <c r="K468" s="1">
        <f>IF(J468 + K467 &lt; 0, J468 + K467, 0)</f>
        <v>0</v>
      </c>
      <c r="L468" s="1">
        <v>0</v>
      </c>
      <c r="M468" s="1">
        <f>IF(L468 + M467 &lt; 0, L468 + M467, 0)</f>
        <v>0</v>
      </c>
      <c r="N468" s="1">
        <v>0</v>
      </c>
      <c r="O468" s="1">
        <f>IF(N468 + O467 &lt; 0, N468 + O467, 0)</f>
        <v>0</v>
      </c>
      <c r="P468" s="1">
        <v>0</v>
      </c>
      <c r="Q468" s="1">
        <f>IF(P468 + Q467 &lt; 0, P468 + Q467, 0)</f>
        <v>0</v>
      </c>
    </row>
    <row r="469" spans="1:17" s="1" customFormat="1">
      <c r="A469" s="3">
        <v>45985</v>
      </c>
      <c r="B469" s="1" t="s">
        <v>22</v>
      </c>
      <c r="C469" s="1">
        <v>2</v>
      </c>
      <c r="D469" s="1">
        <v>2</v>
      </c>
      <c r="E469" s="1">
        <v>0</v>
      </c>
      <c r="F469" s="1">
        <v>0</v>
      </c>
      <c r="G469" s="1">
        <v>0</v>
      </c>
      <c r="H469" s="1">
        <v>0</v>
      </c>
      <c r="I469" s="1">
        <f>IF(H469 + I468 &lt; 0, H469 + I468, 0)</f>
        <v>0</v>
      </c>
      <c r="J469" s="1">
        <v>0</v>
      </c>
      <c r="K469" s="1">
        <f>IF(J469 + K468 &lt; 0, J469 + K468, 0)</f>
        <v>0</v>
      </c>
      <c r="L469" s="1">
        <v>0</v>
      </c>
      <c r="M469" s="1">
        <f>IF(L469 + M468 &lt; 0, L469 + M468, 0)</f>
        <v>0</v>
      </c>
      <c r="N469" s="1">
        <v>0</v>
      </c>
      <c r="O469" s="1">
        <f>IF(N469 + O468 &lt; 0, N469 + O468, 0)</f>
        <v>0</v>
      </c>
      <c r="P469" s="1">
        <v>0</v>
      </c>
      <c r="Q469" s="1">
        <f>IF(P469 + Q468 &lt; 0, P469 + Q468, 0)</f>
        <v>0</v>
      </c>
    </row>
    <row r="470" spans="1:17" s="1" customFormat="1">
      <c r="A470" s="3">
        <v>45986</v>
      </c>
      <c r="B470" s="1" t="s">
        <v>23</v>
      </c>
      <c r="C470" s="1">
        <v>1</v>
      </c>
      <c r="D470" s="1">
        <v>1</v>
      </c>
      <c r="E470" s="1">
        <v>0</v>
      </c>
      <c r="F470" s="1">
        <v>0</v>
      </c>
      <c r="G470" s="1">
        <v>0</v>
      </c>
      <c r="H470" s="1">
        <v>0</v>
      </c>
      <c r="I470" s="1">
        <f>IF(H470 + I469 &lt; 0, H470 + I469, 0)</f>
        <v>0</v>
      </c>
      <c r="J470" s="1">
        <v>0</v>
      </c>
      <c r="K470" s="1">
        <f>IF(J470 + K469 &lt; 0, J470 + K469, 0)</f>
        <v>0</v>
      </c>
      <c r="L470" s="1">
        <v>1157506.254351027</v>
      </c>
      <c r="M470" s="1">
        <f>IF(L470 + M469 &lt; 0, L470 + M469, 0)</f>
        <v>0</v>
      </c>
      <c r="N470" s="1">
        <v>0</v>
      </c>
      <c r="O470" s="1">
        <f>IF(N470 + O469 &lt; 0, N470 + O469, 0)</f>
        <v>0</v>
      </c>
      <c r="P470" s="1">
        <v>0</v>
      </c>
      <c r="Q470" s="1">
        <f>IF(P470 + Q469 &lt; 0, P470 + Q469, 0)</f>
        <v>0</v>
      </c>
    </row>
    <row r="471" spans="1:17" s="1" customFormat="1">
      <c r="A471" s="3">
        <v>45987</v>
      </c>
      <c r="B471" s="1" t="s">
        <v>24</v>
      </c>
      <c r="C471" s="1">
        <v>24</v>
      </c>
      <c r="D471" s="1">
        <v>24</v>
      </c>
      <c r="E471" s="1">
        <v>0</v>
      </c>
      <c r="F471" s="1">
        <v>0</v>
      </c>
      <c r="G471" s="1">
        <v>0</v>
      </c>
      <c r="H471" s="1">
        <v>0</v>
      </c>
      <c r="I471" s="1">
        <f>IF(H471 + I470 &lt; 0, H471 + I470, 0)</f>
        <v>0</v>
      </c>
      <c r="J471" s="1">
        <v>0</v>
      </c>
      <c r="K471" s="1">
        <f>IF(J471 + K470 &lt; 0, J471 + K470, 0)</f>
        <v>0</v>
      </c>
      <c r="L471" s="1">
        <v>0</v>
      </c>
      <c r="M471" s="1">
        <f>IF(L471 + M470 &lt; 0, L471 + M470, 0)</f>
        <v>0</v>
      </c>
      <c r="N471" s="1">
        <v>0</v>
      </c>
      <c r="O471" s="1">
        <f>IF(N471 + O470 &lt; 0, N471 + O470, 0)</f>
        <v>0</v>
      </c>
      <c r="P471" s="1">
        <v>0</v>
      </c>
      <c r="Q471" s="1">
        <f>IF(P471 + Q470 &lt; 0, P471 + Q470, 0)</f>
        <v>0</v>
      </c>
    </row>
    <row r="472" spans="1:17" s="1" customFormat="1">
      <c r="A472" s="3">
        <v>45988</v>
      </c>
      <c r="B472" s="1" t="s">
        <v>25</v>
      </c>
      <c r="C472" s="1">
        <v>23</v>
      </c>
      <c r="D472" s="1">
        <v>23</v>
      </c>
      <c r="E472" s="1">
        <v>0</v>
      </c>
      <c r="F472" s="1">
        <v>0</v>
      </c>
      <c r="G472" s="1">
        <v>0</v>
      </c>
      <c r="H472" s="1">
        <v>0</v>
      </c>
      <c r="I472" s="1">
        <f>IF(H472 + I471 &lt; 0, H472 + I471, 0)</f>
        <v>0</v>
      </c>
      <c r="J472" s="1">
        <v>0</v>
      </c>
      <c r="K472" s="1">
        <f>IF(J472 + K471 &lt; 0, J472 + K471, 0)</f>
        <v>0</v>
      </c>
      <c r="L472" s="1">
        <v>0</v>
      </c>
      <c r="M472" s="1">
        <f>IF(L472 + M471 &lt; 0, L472 + M471, 0)</f>
        <v>0</v>
      </c>
      <c r="N472" s="1">
        <v>0</v>
      </c>
      <c r="O472" s="1">
        <f>IF(N472 + O471 &lt; 0, N472 + O471, 0)</f>
        <v>0</v>
      </c>
      <c r="P472" s="1">
        <v>-390715.9617971218</v>
      </c>
      <c r="Q472" s="1">
        <f>IF(P472 + Q471 &lt; 0, P472 + Q471, 0)</f>
        <v>0</v>
      </c>
    </row>
    <row r="473" spans="1:17" s="1" customFormat="1">
      <c r="A473" s="3">
        <v>45989</v>
      </c>
      <c r="B473" s="1" t="s">
        <v>26</v>
      </c>
      <c r="C473" s="1">
        <v>22</v>
      </c>
      <c r="D473" s="1">
        <v>22</v>
      </c>
      <c r="E473" s="1">
        <v>0</v>
      </c>
      <c r="F473" s="1">
        <v>0</v>
      </c>
      <c r="G473" s="1">
        <v>0</v>
      </c>
      <c r="H473" s="1">
        <v>0</v>
      </c>
      <c r="I473" s="1">
        <f>IF(H473 + I472 &lt; 0, H473 + I472, 0)</f>
        <v>0</v>
      </c>
      <c r="J473" s="1">
        <v>0</v>
      </c>
      <c r="K473" s="1">
        <f>IF(J473 + K472 &lt; 0, J473 + K472, 0)</f>
        <v>0</v>
      </c>
      <c r="L473" s="1">
        <v>0</v>
      </c>
      <c r="M473" s="1">
        <f>IF(L473 + M472 &lt; 0, L473 + M472, 0)</f>
        <v>0</v>
      </c>
      <c r="N473" s="1">
        <v>0</v>
      </c>
      <c r="O473" s="1">
        <f>IF(N473 + O472 &lt; 0, N473 + O472, 0)</f>
        <v>0</v>
      </c>
      <c r="P473" s="1">
        <v>0</v>
      </c>
      <c r="Q473" s="1">
        <f>IF(P473 + Q472 &lt; 0, P473 + Q472, 0)</f>
        <v>0</v>
      </c>
    </row>
    <row r="474" spans="1:17" s="1" customFormat="1">
      <c r="A474" s="3">
        <v>45992</v>
      </c>
      <c r="B474" s="1" t="s">
        <v>22</v>
      </c>
      <c r="C474" s="1">
        <v>21</v>
      </c>
      <c r="D474" s="1">
        <v>21</v>
      </c>
      <c r="E474" s="1">
        <v>0</v>
      </c>
      <c r="F474" s="1">
        <v>0</v>
      </c>
      <c r="G474" s="1">
        <v>0</v>
      </c>
      <c r="H474" s="1">
        <v>0</v>
      </c>
      <c r="I474" s="1">
        <f>IF(H474 + I473 &lt; 0, H474 + I473, 0)</f>
        <v>0</v>
      </c>
      <c r="J474" s="1">
        <v>0</v>
      </c>
      <c r="K474" s="1">
        <f>IF(J474 + K473 &lt; 0, J474 + K473, 0)</f>
        <v>0</v>
      </c>
      <c r="L474" s="1">
        <v>0</v>
      </c>
      <c r="M474" s="1">
        <f>IF(L474 + M473 &lt; 0, L474 + M473, 0)</f>
        <v>0</v>
      </c>
      <c r="N474" s="1">
        <v>0</v>
      </c>
      <c r="O474" s="1">
        <f>IF(N474 + O473 &lt; 0, N474 + O473, 0)</f>
        <v>0</v>
      </c>
      <c r="P474" s="1">
        <v>0</v>
      </c>
      <c r="Q474" s="1">
        <f>IF(P474 + Q473 &lt; 0, P474 + Q473, 0)</f>
        <v>0</v>
      </c>
    </row>
    <row r="475" spans="1:17" s="1" customFormat="1">
      <c r="A475" s="3">
        <v>45993</v>
      </c>
      <c r="B475" s="1" t="s">
        <v>23</v>
      </c>
      <c r="C475" s="1">
        <v>20</v>
      </c>
      <c r="D475" s="1">
        <v>20</v>
      </c>
      <c r="E475" s="1">
        <v>0</v>
      </c>
      <c r="F475" s="1">
        <v>0</v>
      </c>
      <c r="G475" s="1">
        <v>0</v>
      </c>
      <c r="H475" s="1">
        <v>0</v>
      </c>
      <c r="I475" s="1">
        <f>IF(H475 + I474 &lt; 0, H475 + I474, 0)</f>
        <v>0</v>
      </c>
      <c r="J475" s="1">
        <v>0</v>
      </c>
      <c r="K475" s="1">
        <f>IF(J475 + K474 &lt; 0, J475 + K474, 0)</f>
        <v>0</v>
      </c>
      <c r="L475" s="1">
        <v>988217.9168512083</v>
      </c>
      <c r="M475" s="1">
        <f>IF(L475 + M474 &lt; 0, L475 + M474, 0)</f>
        <v>0</v>
      </c>
      <c r="N475" s="1">
        <v>0</v>
      </c>
      <c r="O475" s="1">
        <f>IF(N475 + O474 &lt; 0, N475 + O474, 0)</f>
        <v>0</v>
      </c>
      <c r="P475" s="1">
        <v>0</v>
      </c>
      <c r="Q475" s="1">
        <f>IF(P475 + Q474 &lt; 0, P475 + Q474, 0)</f>
        <v>0</v>
      </c>
    </row>
    <row r="476" spans="1:17" s="1" customFormat="1">
      <c r="A476" s="3">
        <v>45994</v>
      </c>
      <c r="B476" s="1" t="s">
        <v>24</v>
      </c>
      <c r="C476" s="1">
        <v>19</v>
      </c>
      <c r="D476" s="1">
        <v>19</v>
      </c>
      <c r="E476" s="1">
        <v>0</v>
      </c>
      <c r="F476" s="1">
        <v>0</v>
      </c>
      <c r="G476" s="1">
        <v>0</v>
      </c>
      <c r="H476" s="1">
        <v>0</v>
      </c>
      <c r="I476" s="1">
        <f>IF(H476 + I475 &lt; 0, H476 + I475, 0)</f>
        <v>0</v>
      </c>
      <c r="J476" s="1">
        <v>0</v>
      </c>
      <c r="K476" s="1">
        <f>IF(J476 + K475 &lt; 0, J476 + K475, 0)</f>
        <v>0</v>
      </c>
      <c r="L476" s="1">
        <v>0</v>
      </c>
      <c r="M476" s="1">
        <f>IF(L476 + M475 &lt; 0, L476 + M475, 0)</f>
        <v>0</v>
      </c>
      <c r="N476" s="1">
        <v>0</v>
      </c>
      <c r="O476" s="1">
        <f>IF(N476 + O475 &lt; 0, N476 + O475, 0)</f>
        <v>0</v>
      </c>
      <c r="P476" s="1">
        <v>0</v>
      </c>
      <c r="Q476" s="1">
        <f>IF(P476 + Q475 &lt; 0, P476 + Q475, 0)</f>
        <v>0</v>
      </c>
    </row>
    <row r="477" spans="1:17" s="1" customFormat="1">
      <c r="A477" s="3">
        <v>45995</v>
      </c>
      <c r="B477" s="1" t="s">
        <v>25</v>
      </c>
      <c r="C477" s="1">
        <v>18</v>
      </c>
      <c r="D477" s="1">
        <v>18</v>
      </c>
      <c r="E477" s="1">
        <v>0</v>
      </c>
      <c r="F477" s="1">
        <v>0</v>
      </c>
      <c r="G477" s="1">
        <v>0</v>
      </c>
      <c r="H477" s="1">
        <v>0</v>
      </c>
      <c r="I477" s="1">
        <f>IF(H477 + I476 &lt; 0, H477 + I476, 0)</f>
        <v>0</v>
      </c>
      <c r="J477" s="1">
        <v>0</v>
      </c>
      <c r="K477" s="1">
        <f>IF(J477 + K476 &lt; 0, J477 + K476, 0)</f>
        <v>0</v>
      </c>
      <c r="L477" s="1">
        <v>0</v>
      </c>
      <c r="M477" s="1">
        <f>IF(L477 + M476 &lt; 0, L477 + M476, 0)</f>
        <v>0</v>
      </c>
      <c r="N477" s="1">
        <v>0</v>
      </c>
      <c r="O477" s="1">
        <f>IF(N477 + O476 &lt; 0, N477 + O476, 0)</f>
        <v>0</v>
      </c>
      <c r="P477" s="1">
        <v>669087.1469843071</v>
      </c>
      <c r="Q477" s="1">
        <f>IF(P477 + Q476 &lt; 0, P477 + Q476, 0)</f>
        <v>0</v>
      </c>
    </row>
    <row r="478" spans="1:17" s="1" customFormat="1">
      <c r="A478" s="3">
        <v>45996</v>
      </c>
      <c r="B478" s="1" t="s">
        <v>26</v>
      </c>
      <c r="C478" s="1">
        <v>17</v>
      </c>
      <c r="D478" s="1">
        <v>17</v>
      </c>
      <c r="E478" s="1">
        <v>0</v>
      </c>
      <c r="F478" s="1">
        <v>0</v>
      </c>
      <c r="G478" s="1">
        <v>0</v>
      </c>
      <c r="H478" s="1">
        <v>0</v>
      </c>
      <c r="I478" s="1">
        <f>IF(H478 + I477 &lt; 0, H478 + I477, 0)</f>
        <v>0</v>
      </c>
      <c r="J478" s="1">
        <v>0</v>
      </c>
      <c r="K478" s="1">
        <f>IF(J478 + K477 &lt; 0, J478 + K477, 0)</f>
        <v>0</v>
      </c>
      <c r="L478" s="1">
        <v>0</v>
      </c>
      <c r="M478" s="1">
        <f>IF(L478 + M477 &lt; 0, L478 + M477, 0)</f>
        <v>0</v>
      </c>
      <c r="N478" s="1">
        <v>0</v>
      </c>
      <c r="O478" s="1">
        <f>IF(N478 + O477 &lt; 0, N478 + O477, 0)</f>
        <v>0</v>
      </c>
      <c r="P478" s="1">
        <v>0</v>
      </c>
      <c r="Q478" s="1">
        <f>IF(P478 + Q477 &lt; 0, P478 + Q477, 0)</f>
        <v>0</v>
      </c>
    </row>
    <row r="479" spans="1:17" s="1" customFormat="1">
      <c r="A479" s="3">
        <v>45999</v>
      </c>
      <c r="B479" s="1" t="s">
        <v>22</v>
      </c>
      <c r="C479" s="1">
        <v>16</v>
      </c>
      <c r="D479" s="1">
        <v>16</v>
      </c>
      <c r="E479" s="1">
        <v>0</v>
      </c>
      <c r="F479" s="1">
        <v>0</v>
      </c>
      <c r="G479" s="1">
        <v>0</v>
      </c>
      <c r="H479" s="1">
        <v>0</v>
      </c>
      <c r="I479" s="1">
        <f>IF(H479 + I478 &lt; 0, H479 + I478, 0)</f>
        <v>0</v>
      </c>
      <c r="J479" s="1">
        <v>0</v>
      </c>
      <c r="K479" s="1">
        <f>IF(J479 + K478 &lt; 0, J479 + K478, 0)</f>
        <v>0</v>
      </c>
      <c r="L479" s="1">
        <v>0</v>
      </c>
      <c r="M479" s="1">
        <f>IF(L479 + M478 &lt; 0, L479 + M478, 0)</f>
        <v>0</v>
      </c>
      <c r="N479" s="1">
        <v>0</v>
      </c>
      <c r="O479" s="1">
        <f>IF(N479 + O478 &lt; 0, N479 + O478, 0)</f>
        <v>0</v>
      </c>
      <c r="P479" s="1">
        <v>0</v>
      </c>
      <c r="Q479" s="1">
        <f>IF(P479 + Q478 &lt; 0, P479 + Q478, 0)</f>
        <v>0</v>
      </c>
    </row>
    <row r="480" spans="1:17" s="1" customFormat="1">
      <c r="A480" s="3">
        <v>46000</v>
      </c>
      <c r="B480" s="1" t="s">
        <v>23</v>
      </c>
      <c r="C480" s="1">
        <v>15</v>
      </c>
      <c r="D480" s="1">
        <v>15</v>
      </c>
      <c r="E480" s="1">
        <v>0</v>
      </c>
      <c r="F480" s="1">
        <v>0</v>
      </c>
      <c r="G480" s="1">
        <v>0</v>
      </c>
      <c r="H480" s="1">
        <v>0</v>
      </c>
      <c r="I480" s="1">
        <f>IF(H480 + I479 &lt; 0, H480 + I479, 0)</f>
        <v>0</v>
      </c>
      <c r="J480" s="1">
        <v>0</v>
      </c>
      <c r="K480" s="1">
        <f>IF(J480 + K479 &lt; 0, J480 + K479, 0)</f>
        <v>0</v>
      </c>
      <c r="L480" s="1">
        <v>-1160994.715298221</v>
      </c>
      <c r="M480" s="1">
        <f>IF(L480 + M479 &lt; 0, L480 + M479, 0)</f>
        <v>0</v>
      </c>
      <c r="N480" s="1">
        <v>0</v>
      </c>
      <c r="O480" s="1">
        <f>IF(N480 + O479 &lt; 0, N480 + O479, 0)</f>
        <v>0</v>
      </c>
      <c r="P480" s="1">
        <v>0</v>
      </c>
      <c r="Q480" s="1">
        <f>IF(P480 + Q479 &lt; 0, P480 + Q479, 0)</f>
        <v>0</v>
      </c>
    </row>
    <row r="481" spans="1:17" s="1" customFormat="1">
      <c r="A481" s="3">
        <v>46001</v>
      </c>
      <c r="B481" s="1" t="s">
        <v>24</v>
      </c>
      <c r="C481" s="1">
        <v>14</v>
      </c>
      <c r="D481" s="1">
        <v>14</v>
      </c>
      <c r="E481" s="1">
        <v>0</v>
      </c>
      <c r="F481" s="1">
        <v>0</v>
      </c>
      <c r="G481" s="1">
        <v>0</v>
      </c>
      <c r="H481" s="1">
        <v>0</v>
      </c>
      <c r="I481" s="1">
        <f>IF(H481 + I480 &lt; 0, H481 + I480, 0)</f>
        <v>0</v>
      </c>
      <c r="J481" s="1">
        <v>0</v>
      </c>
      <c r="K481" s="1">
        <f>IF(J481 + K480 &lt; 0, J481 + K480, 0)</f>
        <v>0</v>
      </c>
      <c r="L481" s="1">
        <v>0</v>
      </c>
      <c r="M481" s="1">
        <f>IF(L481 + M480 &lt; 0, L481 + M480, 0)</f>
        <v>0</v>
      </c>
      <c r="N481" s="1">
        <v>0</v>
      </c>
      <c r="O481" s="1">
        <f>IF(N481 + O480 &lt; 0, N481 + O480, 0)</f>
        <v>0</v>
      </c>
      <c r="P481" s="1">
        <v>0</v>
      </c>
      <c r="Q481" s="1">
        <f>IF(P481 + Q480 &lt; 0, P481 + Q480, 0)</f>
        <v>0</v>
      </c>
    </row>
    <row r="482" spans="1:17" s="1" customFormat="1">
      <c r="A482" s="3">
        <v>46002</v>
      </c>
      <c r="B482" s="1" t="s">
        <v>25</v>
      </c>
      <c r="C482" s="1">
        <v>13</v>
      </c>
      <c r="D482" s="1">
        <v>13</v>
      </c>
      <c r="E482" s="1">
        <v>0</v>
      </c>
      <c r="F482" s="1">
        <v>0</v>
      </c>
      <c r="G482" s="1">
        <v>0</v>
      </c>
      <c r="H482" s="1">
        <v>0</v>
      </c>
      <c r="I482" s="1">
        <f>IF(H482 + I481 &lt; 0, H482 + I481, 0)</f>
        <v>0</v>
      </c>
      <c r="J482" s="1">
        <v>0</v>
      </c>
      <c r="K482" s="1">
        <f>IF(J482 + K481 &lt; 0, J482 + K481, 0)</f>
        <v>0</v>
      </c>
      <c r="L482" s="1">
        <v>0</v>
      </c>
      <c r="M482" s="1">
        <f>IF(L482 + M481 &lt; 0, L482 + M481, 0)</f>
        <v>0</v>
      </c>
      <c r="N482" s="1">
        <v>0</v>
      </c>
      <c r="O482" s="1">
        <f>IF(N482 + O481 &lt; 0, N482 + O481, 0)</f>
        <v>0</v>
      </c>
      <c r="P482" s="1">
        <v>-247507.0964560629</v>
      </c>
      <c r="Q482" s="1">
        <f>IF(P482 + Q481 &lt; 0, P482 + Q481, 0)</f>
        <v>0</v>
      </c>
    </row>
    <row r="483" spans="1:17" s="1" customFormat="1">
      <c r="A483" s="3">
        <v>46003</v>
      </c>
      <c r="B483" s="1" t="s">
        <v>26</v>
      </c>
      <c r="C483" s="1">
        <v>12</v>
      </c>
      <c r="D483" s="1">
        <v>12</v>
      </c>
      <c r="E483" s="1">
        <v>0</v>
      </c>
      <c r="F483" s="1">
        <v>0</v>
      </c>
      <c r="G483" s="1">
        <v>0</v>
      </c>
      <c r="H483" s="1">
        <v>0</v>
      </c>
      <c r="I483" s="1">
        <f>IF(H483 + I482 &lt; 0, H483 + I482, 0)</f>
        <v>0</v>
      </c>
      <c r="J483" s="1">
        <v>0</v>
      </c>
      <c r="K483" s="1">
        <f>IF(J483 + K482 &lt; 0, J483 + K482, 0)</f>
        <v>0</v>
      </c>
      <c r="L483" s="1">
        <v>0</v>
      </c>
      <c r="M483" s="1">
        <f>IF(L483 + M482 &lt; 0, L483 + M482, 0)</f>
        <v>0</v>
      </c>
      <c r="N483" s="1">
        <v>0</v>
      </c>
      <c r="O483" s="1">
        <f>IF(N483 + O482 &lt; 0, N483 + O482, 0)</f>
        <v>0</v>
      </c>
      <c r="P483" s="1">
        <v>0</v>
      </c>
      <c r="Q483" s="1">
        <f>IF(P483 + Q482 &lt; 0, P483 + Q482, 0)</f>
        <v>0</v>
      </c>
    </row>
    <row r="484" spans="1:17" s="1" customFormat="1">
      <c r="A484" s="3">
        <v>46006</v>
      </c>
      <c r="B484" s="1" t="s">
        <v>22</v>
      </c>
      <c r="C484" s="1">
        <v>11</v>
      </c>
      <c r="D484" s="1">
        <v>11</v>
      </c>
      <c r="E484" s="1">
        <v>0</v>
      </c>
      <c r="F484" s="1">
        <v>0</v>
      </c>
      <c r="G484" s="1">
        <v>0</v>
      </c>
      <c r="H484" s="1">
        <v>0</v>
      </c>
      <c r="I484" s="1">
        <f>IF(H484 + I483 &lt; 0, H484 + I483, 0)</f>
        <v>0</v>
      </c>
      <c r="J484" s="1">
        <v>0</v>
      </c>
      <c r="K484" s="1">
        <f>IF(J484 + K483 &lt; 0, J484 + K483, 0)</f>
        <v>0</v>
      </c>
      <c r="L484" s="1">
        <v>0</v>
      </c>
      <c r="M484" s="1">
        <f>IF(L484 + M483 &lt; 0, L484 + M483, 0)</f>
        <v>0</v>
      </c>
      <c r="N484" s="1">
        <v>0</v>
      </c>
      <c r="O484" s="1">
        <f>IF(N484 + O483 &lt; 0, N484 + O483, 0)</f>
        <v>0</v>
      </c>
      <c r="P484" s="1">
        <v>0</v>
      </c>
      <c r="Q484" s="1">
        <f>IF(P484 + Q483 &lt; 0, P484 + Q483, 0)</f>
        <v>0</v>
      </c>
    </row>
    <row r="485" spans="1:17" s="1" customFormat="1">
      <c r="A485" s="3">
        <v>46007</v>
      </c>
      <c r="B485" s="1" t="s">
        <v>23</v>
      </c>
      <c r="C485" s="1">
        <v>10</v>
      </c>
      <c r="D485" s="1">
        <v>10</v>
      </c>
      <c r="E485" s="1">
        <v>0</v>
      </c>
      <c r="F485" s="1">
        <v>0</v>
      </c>
      <c r="G485" s="1">
        <v>0</v>
      </c>
      <c r="H485" s="1">
        <v>0</v>
      </c>
      <c r="I485" s="1">
        <f>IF(H485 + I484 &lt; 0, H485 + I484, 0)</f>
        <v>0</v>
      </c>
      <c r="J485" s="1">
        <v>0</v>
      </c>
      <c r="K485" s="1">
        <f>IF(J485 + K484 &lt; 0, J485 + K484, 0)</f>
        <v>0</v>
      </c>
      <c r="L485" s="1">
        <v>464728.2542734407</v>
      </c>
      <c r="M485" s="1">
        <f>IF(L485 + M484 &lt; 0, L485 + M484, 0)</f>
        <v>0</v>
      </c>
      <c r="N485" s="1">
        <v>0</v>
      </c>
      <c r="O485" s="1">
        <f>IF(N485 + O484 &lt; 0, N485 + O484, 0)</f>
        <v>0</v>
      </c>
      <c r="P485" s="1">
        <v>0</v>
      </c>
      <c r="Q485" s="1">
        <f>IF(P485 + Q484 &lt; 0, P485 + Q484, 0)</f>
        <v>0</v>
      </c>
    </row>
    <row r="486" spans="1:17" s="1" customFormat="1">
      <c r="A486" s="3">
        <v>46008</v>
      </c>
      <c r="B486" s="1" t="s">
        <v>24</v>
      </c>
      <c r="C486" s="1">
        <v>9</v>
      </c>
      <c r="D486" s="1">
        <v>9</v>
      </c>
      <c r="E486" s="1">
        <v>0</v>
      </c>
      <c r="F486" s="1">
        <v>0</v>
      </c>
      <c r="G486" s="1">
        <v>0</v>
      </c>
      <c r="H486" s="1">
        <v>0</v>
      </c>
      <c r="I486" s="1">
        <f>IF(H486 + I485 &lt; 0, H486 + I485, 0)</f>
        <v>0</v>
      </c>
      <c r="J486" s="1">
        <v>0</v>
      </c>
      <c r="K486" s="1">
        <f>IF(J486 + K485 &lt; 0, J486 + K485, 0)</f>
        <v>0</v>
      </c>
      <c r="L486" s="1">
        <v>0</v>
      </c>
      <c r="M486" s="1">
        <f>IF(L486 + M485 &lt; 0, L486 + M485, 0)</f>
        <v>0</v>
      </c>
      <c r="N486" s="1">
        <v>0</v>
      </c>
      <c r="O486" s="1">
        <f>IF(N486 + O485 &lt; 0, N486 + O485, 0)</f>
        <v>0</v>
      </c>
      <c r="P486" s="1">
        <v>0</v>
      </c>
      <c r="Q486" s="1">
        <f>IF(P486 + Q485 &lt; 0, P486 + Q485, 0)</f>
        <v>0</v>
      </c>
    </row>
    <row r="487" spans="1:17" s="1" customFormat="1">
      <c r="A487" s="3">
        <v>46009</v>
      </c>
      <c r="B487" s="1" t="s">
        <v>25</v>
      </c>
      <c r="C487" s="1">
        <v>8</v>
      </c>
      <c r="D487" s="1">
        <v>8</v>
      </c>
      <c r="E487" s="1">
        <v>0</v>
      </c>
      <c r="F487" s="1">
        <v>0</v>
      </c>
      <c r="G487" s="1">
        <v>0</v>
      </c>
      <c r="H487" s="1">
        <v>0</v>
      </c>
      <c r="I487" s="1">
        <f>IF(H487 + I486 &lt; 0, H487 + I486, 0)</f>
        <v>0</v>
      </c>
      <c r="J487" s="1">
        <v>0</v>
      </c>
      <c r="K487" s="1">
        <f>IF(J487 + K486 &lt; 0, J487 + K486, 0)</f>
        <v>0</v>
      </c>
      <c r="L487" s="1">
        <v>0</v>
      </c>
      <c r="M487" s="1">
        <f>IF(L487 + M486 &lt; 0, L487 + M486, 0)</f>
        <v>0</v>
      </c>
      <c r="N487" s="1">
        <v>0</v>
      </c>
      <c r="O487" s="1">
        <f>IF(N487 + O486 &lt; 0, N487 + O486, 0)</f>
        <v>0</v>
      </c>
      <c r="P487" s="1">
        <v>472883.2566031884</v>
      </c>
      <c r="Q487" s="1">
        <f>IF(P487 + Q486 &lt; 0, P487 + Q486, 0)</f>
        <v>0</v>
      </c>
    </row>
    <row r="488" spans="1:17" s="1" customFormat="1">
      <c r="A488" s="3">
        <v>46010</v>
      </c>
      <c r="B488" s="1" t="s">
        <v>26</v>
      </c>
      <c r="C488" s="1">
        <v>7</v>
      </c>
      <c r="D488" s="1">
        <v>7</v>
      </c>
      <c r="E488" s="1">
        <v>0</v>
      </c>
      <c r="F488" s="1">
        <v>0</v>
      </c>
      <c r="G488" s="1">
        <v>0</v>
      </c>
      <c r="H488" s="1">
        <v>0</v>
      </c>
      <c r="I488" s="1">
        <f>IF(H488 + I487 &lt; 0, H488 + I487, 0)</f>
        <v>0</v>
      </c>
      <c r="J488" s="1">
        <v>0</v>
      </c>
      <c r="K488" s="1">
        <f>IF(J488 + K487 &lt; 0, J488 + K487, 0)</f>
        <v>0</v>
      </c>
      <c r="L488" s="1">
        <v>0</v>
      </c>
      <c r="M488" s="1">
        <f>IF(L488 + M487 &lt; 0, L488 + M487, 0)</f>
        <v>0</v>
      </c>
      <c r="N488" s="1">
        <v>0</v>
      </c>
      <c r="O488" s="1">
        <f>IF(N488 + O487 &lt; 0, N488 + O487, 0)</f>
        <v>0</v>
      </c>
      <c r="P488" s="1">
        <v>0</v>
      </c>
      <c r="Q488" s="1">
        <f>IF(P488 + Q487 &lt; 0, P488 + Q487, 0)</f>
        <v>0</v>
      </c>
    </row>
    <row r="489" spans="1:17" s="1" customFormat="1">
      <c r="A489" s="3">
        <v>46013</v>
      </c>
      <c r="B489" s="1" t="s">
        <v>22</v>
      </c>
      <c r="C489" s="1">
        <v>6</v>
      </c>
      <c r="D489" s="1">
        <v>6</v>
      </c>
      <c r="E489" s="1">
        <v>0</v>
      </c>
      <c r="F489" s="1">
        <v>0</v>
      </c>
      <c r="G489" s="1">
        <v>0</v>
      </c>
      <c r="H489" s="1">
        <v>0</v>
      </c>
      <c r="I489" s="1">
        <f>IF(H489 + I488 &lt; 0, H489 + I488, 0)</f>
        <v>0</v>
      </c>
      <c r="J489" s="1">
        <v>0</v>
      </c>
      <c r="K489" s="1">
        <f>IF(J489 + K488 &lt; 0, J489 + K488, 0)</f>
        <v>0</v>
      </c>
      <c r="L489" s="1">
        <v>0</v>
      </c>
      <c r="M489" s="1">
        <f>IF(L489 + M488 &lt; 0, L489 + M488, 0)</f>
        <v>0</v>
      </c>
      <c r="N489" s="1">
        <v>0</v>
      </c>
      <c r="O489" s="1">
        <f>IF(N489 + O488 &lt; 0, N489 + O488, 0)</f>
        <v>0</v>
      </c>
      <c r="P489" s="1">
        <v>0</v>
      </c>
      <c r="Q489" s="1">
        <f>IF(P489 + Q488 &lt; 0, P489 + Q488, 0)</f>
        <v>0</v>
      </c>
    </row>
    <row r="490" spans="1:17" s="1" customFormat="1">
      <c r="A490" s="3">
        <v>46014</v>
      </c>
      <c r="B490" s="1" t="s">
        <v>23</v>
      </c>
      <c r="C490" s="1">
        <v>5</v>
      </c>
      <c r="D490" s="1">
        <v>5</v>
      </c>
      <c r="E490" s="1">
        <v>0</v>
      </c>
      <c r="F490" s="1">
        <v>0</v>
      </c>
      <c r="G490" s="1">
        <v>0</v>
      </c>
      <c r="H490" s="1">
        <v>0</v>
      </c>
      <c r="I490" s="1">
        <f>IF(H490 + I489 &lt; 0, H490 + I489, 0)</f>
        <v>0</v>
      </c>
      <c r="J490" s="1">
        <v>0</v>
      </c>
      <c r="K490" s="1">
        <f>IF(J490 + K489 &lt; 0, J490 + K489, 0)</f>
        <v>0</v>
      </c>
      <c r="L490" s="1">
        <v>167883.7623442502</v>
      </c>
      <c r="M490" s="1">
        <f>IF(L490 + M489 &lt; 0, L490 + M489, 0)</f>
        <v>0</v>
      </c>
      <c r="N490" s="1">
        <v>0</v>
      </c>
      <c r="O490" s="1">
        <f>IF(N490 + O489 &lt; 0, N490 + O489, 0)</f>
        <v>0</v>
      </c>
      <c r="P490" s="1">
        <v>0</v>
      </c>
      <c r="Q490" s="1">
        <f>IF(P490 + Q489 &lt; 0, P490 + Q489, 0)</f>
        <v>0</v>
      </c>
    </row>
    <row r="491" spans="1:17" s="1" customFormat="1">
      <c r="A491" s="3">
        <v>46015</v>
      </c>
      <c r="B491" s="1" t="s">
        <v>24</v>
      </c>
      <c r="C491" s="1">
        <v>4</v>
      </c>
      <c r="D491" s="1">
        <v>4</v>
      </c>
      <c r="E491" s="1">
        <v>0</v>
      </c>
      <c r="F491" s="1">
        <v>0</v>
      </c>
      <c r="G491" s="1">
        <v>0</v>
      </c>
      <c r="H491" s="1">
        <v>0</v>
      </c>
      <c r="I491" s="1">
        <f>IF(H491 + I490 &lt; 0, H491 + I490, 0)</f>
        <v>0</v>
      </c>
      <c r="J491" s="1">
        <v>0</v>
      </c>
      <c r="K491" s="1">
        <f>IF(J491 + K490 &lt; 0, J491 + K490, 0)</f>
        <v>0</v>
      </c>
      <c r="L491" s="1">
        <v>0</v>
      </c>
      <c r="M491" s="1">
        <f>IF(L491 + M490 &lt; 0, L491 + M490, 0)</f>
        <v>0</v>
      </c>
      <c r="N491" s="1">
        <v>0</v>
      </c>
      <c r="O491" s="1">
        <f>IF(N491 + O490 &lt; 0, N491 + O490, 0)</f>
        <v>0</v>
      </c>
      <c r="P491" s="1">
        <v>1283518.190279127</v>
      </c>
      <c r="Q491" s="1">
        <f>IF(P491 + Q490 &lt; 0, P491 + Q490, 0)</f>
        <v>0</v>
      </c>
    </row>
    <row r="492" spans="1:17" s="1" customFormat="1">
      <c r="A492" s="3">
        <v>46017</v>
      </c>
      <c r="B492" s="1" t="s">
        <v>26</v>
      </c>
      <c r="C492" s="1">
        <v>3</v>
      </c>
      <c r="D492" s="1">
        <v>3</v>
      </c>
      <c r="E492" s="1">
        <v>0</v>
      </c>
      <c r="F492" s="1">
        <v>0</v>
      </c>
      <c r="G492" s="1">
        <v>0</v>
      </c>
      <c r="H492" s="1">
        <v>0</v>
      </c>
      <c r="I492" s="1">
        <f>IF(H492 + I491 &lt; 0, H492 + I491, 0)</f>
        <v>0</v>
      </c>
      <c r="J492" s="1">
        <v>0</v>
      </c>
      <c r="K492" s="1">
        <f>IF(J492 + K491 &lt; 0, J492 + K491, 0)</f>
        <v>0</v>
      </c>
      <c r="L492" s="1">
        <v>0</v>
      </c>
      <c r="M492" s="1">
        <f>IF(L492 + M491 &lt; 0, L492 + M491, 0)</f>
        <v>0</v>
      </c>
      <c r="N492" s="1">
        <v>0</v>
      </c>
      <c r="O492" s="1">
        <f>IF(N492 + O491 &lt; 0, N492 + O491, 0)</f>
        <v>0</v>
      </c>
      <c r="P492" s="1">
        <v>0</v>
      </c>
      <c r="Q492" s="1">
        <f>IF(P492 + Q491 &lt; 0, P492 + Q491, 0)</f>
        <v>0</v>
      </c>
    </row>
    <row r="493" spans="1:17" s="1" customFormat="1">
      <c r="A493" s="3">
        <v>46020</v>
      </c>
      <c r="B493" s="1" t="s">
        <v>22</v>
      </c>
      <c r="C493" s="1">
        <v>2</v>
      </c>
      <c r="D493" s="1">
        <v>2</v>
      </c>
      <c r="E493" s="1">
        <v>0</v>
      </c>
      <c r="F493" s="1">
        <v>0</v>
      </c>
      <c r="G493" s="1">
        <v>0</v>
      </c>
      <c r="H493" s="1">
        <v>0</v>
      </c>
      <c r="I493" s="1">
        <f>IF(H493 + I492 &lt; 0, H493 + I492, 0)</f>
        <v>0</v>
      </c>
      <c r="J493" s="1">
        <v>0</v>
      </c>
      <c r="K493" s="1">
        <f>IF(J493 + K492 &lt; 0, J493 + K492, 0)</f>
        <v>0</v>
      </c>
      <c r="L493" s="1">
        <v>0</v>
      </c>
      <c r="M493" s="1">
        <f>IF(L493 + M492 &lt; 0, L493 + M492, 0)</f>
        <v>0</v>
      </c>
      <c r="N493" s="1">
        <v>0</v>
      </c>
      <c r="O493" s="1">
        <f>IF(N493 + O492 &lt; 0, N493 + O492, 0)</f>
        <v>0</v>
      </c>
      <c r="P493" s="1">
        <v>0</v>
      </c>
      <c r="Q493" s="1">
        <f>IF(P493 + Q492 &lt; 0, P493 + Q492, 0)</f>
        <v>0</v>
      </c>
    </row>
    <row r="494" spans="1:17" s="1" customFormat="1">
      <c r="A494" s="3">
        <v>46021</v>
      </c>
      <c r="B494" s="1" t="s">
        <v>23</v>
      </c>
      <c r="C494" s="1">
        <v>1</v>
      </c>
      <c r="D494" s="1">
        <v>1</v>
      </c>
      <c r="E494" s="1">
        <v>0</v>
      </c>
      <c r="F494" s="1">
        <v>0</v>
      </c>
      <c r="G494" s="1">
        <v>0</v>
      </c>
      <c r="H494" s="1">
        <v>0</v>
      </c>
      <c r="I494" s="1">
        <f>IF(H494 + I493 &lt; 0, H494 + I493, 0)</f>
        <v>0</v>
      </c>
      <c r="J494" s="1">
        <v>0</v>
      </c>
      <c r="K494" s="1">
        <f>IF(J494 + K493 &lt; 0, J494 + K493, 0)</f>
        <v>0</v>
      </c>
      <c r="L494" s="1">
        <v>-634399.1916260661</v>
      </c>
      <c r="M494" s="1">
        <f>IF(L494 + M493 &lt; 0, L494 + M493, 0)</f>
        <v>0</v>
      </c>
      <c r="N494" s="1">
        <v>0</v>
      </c>
      <c r="O494" s="1">
        <f>IF(N494 + O493 &lt; 0, N494 + O493, 0)</f>
        <v>0</v>
      </c>
      <c r="P494" s="1">
        <v>0</v>
      </c>
      <c r="Q494" s="1">
        <f>IF(P494 + Q493 &lt; 0, P494 + Q493, 0)</f>
        <v>0</v>
      </c>
    </row>
    <row r="495" spans="1:17" s="1" customFormat="1">
      <c r="A495" s="3">
        <v>46022</v>
      </c>
      <c r="B495" s="1" t="s">
        <v>24</v>
      </c>
      <c r="C495" s="1">
        <v>18</v>
      </c>
      <c r="D495" s="1">
        <v>18</v>
      </c>
      <c r="E495" s="1">
        <v>0</v>
      </c>
      <c r="F495" s="1">
        <v>0</v>
      </c>
      <c r="G495" s="1">
        <v>0</v>
      </c>
      <c r="H495" s="1">
        <v>0</v>
      </c>
      <c r="I495" s="1">
        <f>IF(H495 + I494 &lt; 0, H495 + I494, 0)</f>
        <v>0</v>
      </c>
      <c r="J495" s="1">
        <v>0</v>
      </c>
      <c r="K495" s="1">
        <f>IF(J495 + K494 &lt; 0, J495 + K494, 0)</f>
        <v>0</v>
      </c>
      <c r="L495" s="1">
        <v>0</v>
      </c>
      <c r="M495" s="1">
        <f>IF(L495 + M494 &lt; 0, L495 + M494, 0)</f>
        <v>0</v>
      </c>
      <c r="N495" s="1">
        <v>0</v>
      </c>
      <c r="O495" s="1">
        <f>IF(N495 + O494 &lt; 0, N495 + O494, 0)</f>
        <v>0</v>
      </c>
      <c r="P495" s="1">
        <v>0</v>
      </c>
      <c r="Q495" s="1">
        <f>IF(P495 + Q494 &lt; 0, P495 + Q494, 0)</f>
        <v>0</v>
      </c>
    </row>
    <row r="496" spans="1:17" s="1" customFormat="1">
      <c r="A496" s="3">
        <v>46023</v>
      </c>
      <c r="B496" s="1" t="s">
        <v>25</v>
      </c>
      <c r="C496" s="1">
        <v>17</v>
      </c>
      <c r="D496" s="1">
        <v>17</v>
      </c>
      <c r="E496" s="1">
        <v>0</v>
      </c>
      <c r="F496" s="1">
        <v>0</v>
      </c>
      <c r="G496" s="1">
        <v>0</v>
      </c>
      <c r="H496" s="1">
        <v>0</v>
      </c>
      <c r="I496" s="1">
        <f>IF(H496 + I495 &lt; 0, H496 + I495, 0)</f>
        <v>0</v>
      </c>
      <c r="J496" s="1">
        <v>0</v>
      </c>
      <c r="K496" s="1">
        <f>IF(J496 + K495 &lt; 0, J496 + K495, 0)</f>
        <v>0</v>
      </c>
      <c r="L496" s="1">
        <v>0</v>
      </c>
      <c r="M496" s="1">
        <f>IF(L496 + M495 &lt; 0, L496 + M495, 0)</f>
        <v>0</v>
      </c>
      <c r="N496" s="1">
        <v>0</v>
      </c>
      <c r="O496" s="1">
        <f>IF(N496 + O495 &lt; 0, N496 + O495, 0)</f>
        <v>0</v>
      </c>
      <c r="P496" s="1">
        <v>345355.9489501807</v>
      </c>
      <c r="Q496" s="1">
        <f>IF(P496 + Q495 &lt; 0, P496 + Q495, 0)</f>
        <v>0</v>
      </c>
    </row>
    <row r="497" spans="1:17" s="1" customFormat="1">
      <c r="A497" s="3">
        <v>46024</v>
      </c>
      <c r="B497" s="1" t="s">
        <v>26</v>
      </c>
      <c r="C497" s="1">
        <v>16</v>
      </c>
      <c r="D497" s="1">
        <v>16</v>
      </c>
      <c r="E497" s="1">
        <v>0</v>
      </c>
      <c r="F497" s="1">
        <v>0</v>
      </c>
      <c r="G497" s="1">
        <v>0</v>
      </c>
      <c r="H497" s="1">
        <v>0</v>
      </c>
      <c r="I497" s="1">
        <f>IF(H497 + I496 &lt; 0, H497 + I496, 0)</f>
        <v>0</v>
      </c>
      <c r="J497" s="1">
        <v>0</v>
      </c>
      <c r="K497" s="1">
        <f>IF(J497 + K496 &lt; 0, J497 + K496, 0)</f>
        <v>0</v>
      </c>
      <c r="L497" s="1">
        <v>0</v>
      </c>
      <c r="M497" s="1">
        <f>IF(L497 + M496 &lt; 0, L497 + M496, 0)</f>
        <v>0</v>
      </c>
      <c r="N497" s="1">
        <v>0</v>
      </c>
      <c r="O497" s="1">
        <f>IF(N497 + O496 &lt; 0, N497 + O496, 0)</f>
        <v>0</v>
      </c>
      <c r="P497" s="1">
        <v>0</v>
      </c>
      <c r="Q497" s="1">
        <f>IF(P497 + Q496 &lt; 0, P497 + Q496, 0)</f>
        <v>0</v>
      </c>
    </row>
    <row r="498" spans="1:17" s="1" customFormat="1">
      <c r="A498" s="3">
        <v>46027</v>
      </c>
      <c r="B498" s="1" t="s">
        <v>22</v>
      </c>
      <c r="C498" s="1">
        <v>15</v>
      </c>
      <c r="D498" s="1">
        <v>15</v>
      </c>
      <c r="E498" s="1">
        <v>0</v>
      </c>
      <c r="F498" s="1">
        <v>0</v>
      </c>
      <c r="G498" s="1">
        <v>0</v>
      </c>
      <c r="H498" s="1">
        <v>0</v>
      </c>
      <c r="I498" s="1">
        <f>IF(H498 + I497 &lt; 0, H498 + I497, 0)</f>
        <v>0</v>
      </c>
      <c r="J498" s="1">
        <v>0</v>
      </c>
      <c r="K498" s="1">
        <f>IF(J498 + K497 &lt; 0, J498 + K497, 0)</f>
        <v>0</v>
      </c>
      <c r="L498" s="1">
        <v>0</v>
      </c>
      <c r="M498" s="1">
        <f>IF(L498 + M497 &lt; 0, L498 + M497, 0)</f>
        <v>0</v>
      </c>
      <c r="N498" s="1">
        <v>0</v>
      </c>
      <c r="O498" s="1">
        <f>IF(N498 + O497 &lt; 0, N498 + O497, 0)</f>
        <v>0</v>
      </c>
      <c r="P498" s="1">
        <v>0</v>
      </c>
      <c r="Q498" s="1">
        <f>IF(P498 + Q497 &lt; 0, P498 + Q497, 0)</f>
        <v>0</v>
      </c>
    </row>
    <row r="499" spans="1:17" s="1" customFormat="1">
      <c r="A499" s="3">
        <v>46028</v>
      </c>
      <c r="B499" s="1" t="s">
        <v>23</v>
      </c>
      <c r="C499" s="1">
        <v>14</v>
      </c>
      <c r="D499" s="1">
        <v>14</v>
      </c>
      <c r="E499" s="1">
        <v>0</v>
      </c>
      <c r="F499" s="1">
        <v>0</v>
      </c>
      <c r="G499" s="1">
        <v>0</v>
      </c>
      <c r="H499" s="1">
        <v>0</v>
      </c>
      <c r="I499" s="1">
        <f>IF(H499 + I498 &lt; 0, H499 + I498, 0)</f>
        <v>0</v>
      </c>
      <c r="J499" s="1">
        <v>0</v>
      </c>
      <c r="K499" s="1">
        <f>IF(J499 + K498 &lt; 0, J499 + K498, 0)</f>
        <v>0</v>
      </c>
      <c r="L499" s="1">
        <v>739115.5659714511</v>
      </c>
      <c r="M499" s="1">
        <f>IF(L499 + M498 &lt; 0, L499 + M498, 0)</f>
        <v>0</v>
      </c>
      <c r="N499" s="1">
        <v>0</v>
      </c>
      <c r="O499" s="1">
        <f>IF(N499 + O498 &lt; 0, N499 + O498, 0)</f>
        <v>0</v>
      </c>
      <c r="P499" s="1">
        <v>0</v>
      </c>
      <c r="Q499" s="1">
        <f>IF(P499 + Q498 &lt; 0, P499 + Q498, 0)</f>
        <v>0</v>
      </c>
    </row>
    <row r="500" spans="1:17" s="1" customFormat="1">
      <c r="A500" s="3">
        <v>46029</v>
      </c>
      <c r="B500" s="1" t="s">
        <v>24</v>
      </c>
      <c r="C500" s="1">
        <v>13</v>
      </c>
      <c r="D500" s="1">
        <v>13</v>
      </c>
      <c r="E500" s="1">
        <v>0</v>
      </c>
      <c r="F500" s="1">
        <v>0</v>
      </c>
      <c r="G500" s="1">
        <v>0</v>
      </c>
      <c r="H500" s="1">
        <v>0</v>
      </c>
      <c r="I500" s="1">
        <f>IF(H500 + I499 &lt; 0, H500 + I499, 0)</f>
        <v>0</v>
      </c>
      <c r="J500" s="1">
        <v>0</v>
      </c>
      <c r="K500" s="1">
        <f>IF(J500 + K499 &lt; 0, J500 + K499, 0)</f>
        <v>0</v>
      </c>
      <c r="L500" s="1">
        <v>0</v>
      </c>
      <c r="M500" s="1">
        <f>IF(L500 + M499 &lt; 0, L500 + M499, 0)</f>
        <v>0</v>
      </c>
      <c r="N500" s="1">
        <v>0</v>
      </c>
      <c r="O500" s="1">
        <f>IF(N500 + O499 &lt; 0, N500 + O499, 0)</f>
        <v>0</v>
      </c>
      <c r="P500" s="1">
        <v>0</v>
      </c>
      <c r="Q500" s="1">
        <f>IF(P500 + Q499 &lt; 0, P500 + Q499, 0)</f>
        <v>0</v>
      </c>
    </row>
    <row r="501" spans="1:17" s="1" customFormat="1">
      <c r="A501" s="3">
        <v>46030</v>
      </c>
      <c r="B501" s="1" t="s">
        <v>25</v>
      </c>
      <c r="C501" s="1">
        <v>12</v>
      </c>
      <c r="D501" s="1">
        <v>12</v>
      </c>
      <c r="E501" s="1">
        <v>0</v>
      </c>
      <c r="F501" s="1">
        <v>0</v>
      </c>
      <c r="G501" s="1">
        <v>0</v>
      </c>
      <c r="H501" s="1">
        <v>0</v>
      </c>
      <c r="I501" s="1">
        <f>IF(H501 + I500 &lt; 0, H501 + I500, 0)</f>
        <v>0</v>
      </c>
      <c r="J501" s="1">
        <v>0</v>
      </c>
      <c r="K501" s="1">
        <f>IF(J501 + K500 &lt; 0, J501 + K500, 0)</f>
        <v>0</v>
      </c>
      <c r="L501" s="1">
        <v>0</v>
      </c>
      <c r="M501" s="1">
        <f>IF(L501 + M500 &lt; 0, L501 + M500, 0)</f>
        <v>0</v>
      </c>
      <c r="N501" s="1">
        <v>0</v>
      </c>
      <c r="O501" s="1">
        <f>IF(N501 + O500 &lt; 0, N501 + O500, 0)</f>
        <v>0</v>
      </c>
      <c r="P501" s="1">
        <v>-388704.941492222</v>
      </c>
      <c r="Q501" s="1">
        <f>IF(P501 + Q500 &lt; 0, P501 + Q500, 0)</f>
        <v>0</v>
      </c>
    </row>
    <row r="502" spans="1:17" s="1" customFormat="1">
      <c r="A502" s="3">
        <v>46031</v>
      </c>
      <c r="B502" s="1" t="s">
        <v>26</v>
      </c>
      <c r="C502" s="1">
        <v>11</v>
      </c>
      <c r="D502" s="1">
        <v>11</v>
      </c>
      <c r="E502" s="1">
        <v>0</v>
      </c>
      <c r="F502" s="1">
        <v>0</v>
      </c>
      <c r="G502" s="1">
        <v>0</v>
      </c>
      <c r="H502" s="1">
        <v>0</v>
      </c>
      <c r="I502" s="1">
        <f>IF(H502 + I501 &lt; 0, H502 + I501, 0)</f>
        <v>0</v>
      </c>
      <c r="J502" s="1">
        <v>0</v>
      </c>
      <c r="K502" s="1">
        <f>IF(J502 + K501 &lt; 0, J502 + K501, 0)</f>
        <v>0</v>
      </c>
      <c r="L502" s="1">
        <v>0</v>
      </c>
      <c r="M502" s="1">
        <f>IF(L502 + M501 &lt; 0, L502 + M501, 0)</f>
        <v>0</v>
      </c>
      <c r="N502" s="1">
        <v>0</v>
      </c>
      <c r="O502" s="1">
        <f>IF(N502 + O501 &lt; 0, N502 + O501, 0)</f>
        <v>0</v>
      </c>
      <c r="P502" s="1">
        <v>0</v>
      </c>
      <c r="Q502" s="1">
        <f>IF(P502 + Q501 &lt; 0, P502 + Q501, 0)</f>
        <v>0</v>
      </c>
    </row>
    <row r="503" spans="1:17" s="1" customFormat="1">
      <c r="A503" s="3">
        <v>46034</v>
      </c>
      <c r="B503" s="1" t="s">
        <v>22</v>
      </c>
      <c r="C503" s="1">
        <v>10</v>
      </c>
      <c r="D503" s="1">
        <v>10</v>
      </c>
      <c r="E503" s="1">
        <v>0</v>
      </c>
      <c r="F503" s="1">
        <v>0</v>
      </c>
      <c r="G503" s="1">
        <v>0</v>
      </c>
      <c r="H503" s="1">
        <v>0</v>
      </c>
      <c r="I503" s="1">
        <f>IF(H503 + I502 &lt; 0, H503 + I502, 0)</f>
        <v>0</v>
      </c>
      <c r="J503" s="1">
        <v>0</v>
      </c>
      <c r="K503" s="1">
        <f>IF(J503 + K502 &lt; 0, J503 + K502, 0)</f>
        <v>0</v>
      </c>
      <c r="L503" s="1">
        <v>0</v>
      </c>
      <c r="M503" s="1">
        <f>IF(L503 + M502 &lt; 0, L503 + M502, 0)</f>
        <v>0</v>
      </c>
      <c r="N503" s="1">
        <v>0</v>
      </c>
      <c r="O503" s="1">
        <f>IF(N503 + O502 &lt; 0, N503 + O502, 0)</f>
        <v>0</v>
      </c>
      <c r="P503" s="1">
        <v>0</v>
      </c>
      <c r="Q503" s="1">
        <f>IF(P503 + Q502 &lt; 0, P503 + Q502, 0)</f>
        <v>0</v>
      </c>
    </row>
    <row r="504" spans="1:17" s="1" customFormat="1">
      <c r="A504" s="3">
        <v>46035</v>
      </c>
      <c r="B504" s="1" t="s">
        <v>23</v>
      </c>
      <c r="C504" s="1">
        <v>9</v>
      </c>
      <c r="D504" s="1">
        <v>9</v>
      </c>
      <c r="E504" s="1">
        <v>0</v>
      </c>
      <c r="F504" s="1">
        <v>0</v>
      </c>
      <c r="G504" s="1">
        <v>0</v>
      </c>
      <c r="H504" s="1">
        <v>0</v>
      </c>
      <c r="I504" s="1">
        <f>IF(H504 + I503 &lt; 0, H504 + I503, 0)</f>
        <v>0</v>
      </c>
      <c r="J504" s="1">
        <v>0</v>
      </c>
      <c r="K504" s="1">
        <f>IF(J504 + K503 &lt; 0, J504 + K503, 0)</f>
        <v>0</v>
      </c>
      <c r="L504" s="1">
        <v>-2243748.919691465</v>
      </c>
      <c r="M504" s="1">
        <f>IF(L504 + M503 &lt; 0, L504 + M503, 0)</f>
        <v>0</v>
      </c>
      <c r="N504" s="1">
        <v>0</v>
      </c>
      <c r="O504" s="1">
        <f>IF(N504 + O503 &lt; 0, N504 + O503, 0)</f>
        <v>0</v>
      </c>
      <c r="P504" s="1">
        <v>0</v>
      </c>
      <c r="Q504" s="1">
        <f>IF(P504 + Q503 &lt; 0, P504 + Q503, 0)</f>
        <v>0</v>
      </c>
    </row>
    <row r="505" spans="1:17" s="1" customFormat="1">
      <c r="A505" s="3">
        <v>46036</v>
      </c>
      <c r="B505" s="1" t="s">
        <v>24</v>
      </c>
      <c r="C505" s="1">
        <v>8</v>
      </c>
      <c r="D505" s="1">
        <v>8</v>
      </c>
      <c r="E505" s="1">
        <v>0</v>
      </c>
      <c r="F505" s="1">
        <v>0</v>
      </c>
      <c r="G505" s="1">
        <v>0</v>
      </c>
      <c r="H505" s="1">
        <v>0</v>
      </c>
      <c r="I505" s="1">
        <f>IF(H505 + I504 &lt; 0, H505 + I504, 0)</f>
        <v>0</v>
      </c>
      <c r="J505" s="1">
        <v>0</v>
      </c>
      <c r="K505" s="1">
        <f>IF(J505 + K504 &lt; 0, J505 + K504, 0)</f>
        <v>0</v>
      </c>
      <c r="L505" s="1">
        <v>0</v>
      </c>
      <c r="M505" s="1">
        <f>IF(L505 + M504 &lt; 0, L505 + M504, 0)</f>
        <v>0</v>
      </c>
      <c r="N505" s="1">
        <v>0</v>
      </c>
      <c r="O505" s="1">
        <f>IF(N505 + O504 &lt; 0, N505 + O504, 0)</f>
        <v>0</v>
      </c>
      <c r="P505" s="1">
        <v>-454780.2649734227</v>
      </c>
      <c r="Q505" s="1">
        <f>IF(P505 + Q504 &lt; 0, P505 + Q504, 0)</f>
        <v>0</v>
      </c>
    </row>
    <row r="506" spans="1:17" s="1" customFormat="1">
      <c r="A506" s="3">
        <v>46038</v>
      </c>
      <c r="B506" s="1" t="s">
        <v>26</v>
      </c>
      <c r="C506" s="1">
        <v>7</v>
      </c>
      <c r="D506" s="1">
        <v>7</v>
      </c>
      <c r="E506" s="1">
        <v>0</v>
      </c>
      <c r="F506" s="1">
        <v>0</v>
      </c>
      <c r="G506" s="1">
        <v>0</v>
      </c>
      <c r="H506" s="1">
        <v>0</v>
      </c>
      <c r="I506" s="1">
        <f>IF(H506 + I505 &lt; 0, H506 + I505, 0)</f>
        <v>0</v>
      </c>
      <c r="J506" s="1">
        <v>0</v>
      </c>
      <c r="K506" s="1">
        <f>IF(J506 + K505 &lt; 0, J506 + K505, 0)</f>
        <v>0</v>
      </c>
      <c r="L506" s="1">
        <v>0</v>
      </c>
      <c r="M506" s="1">
        <f>IF(L506 + M505 &lt; 0, L506 + M505, 0)</f>
        <v>0</v>
      </c>
      <c r="N506" s="1">
        <v>0</v>
      </c>
      <c r="O506" s="1">
        <f>IF(N506 + O505 &lt; 0, N506 + O505, 0)</f>
        <v>0</v>
      </c>
      <c r="P506" s="1">
        <v>0</v>
      </c>
      <c r="Q506" s="1">
        <f>IF(P506 + Q505 &lt; 0, P506 + Q505, 0)</f>
        <v>0</v>
      </c>
    </row>
    <row r="507" spans="1:17" s="1" customFormat="1">
      <c r="A507" s="3">
        <v>46041</v>
      </c>
      <c r="B507" s="1" t="s">
        <v>22</v>
      </c>
      <c r="C507" s="1">
        <v>6</v>
      </c>
      <c r="D507" s="1">
        <v>6</v>
      </c>
      <c r="E507" s="1">
        <v>0</v>
      </c>
      <c r="F507" s="1">
        <v>0</v>
      </c>
      <c r="G507" s="1">
        <v>0</v>
      </c>
      <c r="H507" s="1">
        <v>0</v>
      </c>
      <c r="I507" s="1">
        <f>IF(H507 + I506 &lt; 0, H507 + I506, 0)</f>
        <v>0</v>
      </c>
      <c r="J507" s="1">
        <v>0</v>
      </c>
      <c r="K507" s="1">
        <f>IF(J507 + K506 &lt; 0, J507 + K506, 0)</f>
        <v>0</v>
      </c>
      <c r="L507" s="1">
        <v>0</v>
      </c>
      <c r="M507" s="1">
        <f>IF(L507 + M506 &lt; 0, L507 + M506, 0)</f>
        <v>0</v>
      </c>
      <c r="N507" s="1">
        <v>0</v>
      </c>
      <c r="O507" s="1">
        <f>IF(N507 + O506 &lt; 0, N507 + O506, 0)</f>
        <v>0</v>
      </c>
      <c r="P507" s="1">
        <v>0</v>
      </c>
      <c r="Q507" s="1">
        <f>IF(P507 + Q506 &lt; 0, P507 + Q506, 0)</f>
        <v>0</v>
      </c>
    </row>
    <row r="508" spans="1:17" s="1" customFormat="1">
      <c r="A508" s="3">
        <v>46042</v>
      </c>
      <c r="B508" s="1" t="s">
        <v>23</v>
      </c>
      <c r="C508" s="1">
        <v>5</v>
      </c>
      <c r="D508" s="1">
        <v>5</v>
      </c>
      <c r="E508" s="1">
        <v>0</v>
      </c>
      <c r="F508" s="1">
        <v>0</v>
      </c>
      <c r="G508" s="1">
        <v>0</v>
      </c>
      <c r="H508" s="1">
        <v>0</v>
      </c>
      <c r="I508" s="1">
        <f>IF(H508 + I507 &lt; 0, H508 + I507, 0)</f>
        <v>0</v>
      </c>
      <c r="J508" s="1">
        <v>0</v>
      </c>
      <c r="K508" s="1">
        <f>IF(J508 + K507 &lt; 0, J508 + K507, 0)</f>
        <v>0</v>
      </c>
      <c r="L508" s="1">
        <v>104040.6964587062</v>
      </c>
      <c r="M508" s="1">
        <f>IF(L508 + M507 &lt; 0, L508 + M507, 0)</f>
        <v>0</v>
      </c>
      <c r="N508" s="1">
        <v>0</v>
      </c>
      <c r="O508" s="1">
        <f>IF(N508 + O507 &lt; 0, N508 + O507, 0)</f>
        <v>0</v>
      </c>
      <c r="P508" s="1">
        <v>0</v>
      </c>
      <c r="Q508" s="1">
        <f>IF(P508 + Q507 &lt; 0, P508 + Q507, 0)</f>
        <v>0</v>
      </c>
    </row>
    <row r="509" spans="1:17" s="1" customFormat="1">
      <c r="A509" s="3">
        <v>46043</v>
      </c>
      <c r="B509" s="1" t="s">
        <v>24</v>
      </c>
      <c r="C509" s="1">
        <v>4</v>
      </c>
      <c r="D509" s="1">
        <v>4</v>
      </c>
      <c r="E509" s="1">
        <v>0</v>
      </c>
      <c r="F509" s="1">
        <v>0</v>
      </c>
      <c r="G509" s="1">
        <v>0</v>
      </c>
      <c r="H509" s="1">
        <v>0</v>
      </c>
      <c r="I509" s="1">
        <f>IF(H509 + I508 &lt; 0, H509 + I508, 0)</f>
        <v>0</v>
      </c>
      <c r="J509" s="1">
        <v>0</v>
      </c>
      <c r="K509" s="1">
        <f>IF(J509 + K508 &lt; 0, J509 + K508, 0)</f>
        <v>0</v>
      </c>
      <c r="L509" s="1">
        <v>0</v>
      </c>
      <c r="M509" s="1">
        <f>IF(L509 + M508 &lt; 0, L509 + M508, 0)</f>
        <v>0</v>
      </c>
      <c r="N509" s="1">
        <v>0</v>
      </c>
      <c r="O509" s="1">
        <f>IF(N509 + O508 &lt; 0, N509 + O508, 0)</f>
        <v>0</v>
      </c>
      <c r="P509" s="1">
        <v>0</v>
      </c>
      <c r="Q509" s="1">
        <f>IF(P509 + Q508 &lt; 0, P509 + Q508, 0)</f>
        <v>0</v>
      </c>
    </row>
    <row r="510" spans="1:17" s="1" customFormat="1">
      <c r="A510" s="3">
        <v>46044</v>
      </c>
      <c r="B510" s="1" t="s">
        <v>25</v>
      </c>
      <c r="C510" s="1">
        <v>3</v>
      </c>
      <c r="D510" s="1">
        <v>3</v>
      </c>
      <c r="E510" s="1">
        <v>0</v>
      </c>
      <c r="F510" s="1">
        <v>0</v>
      </c>
      <c r="G510" s="1">
        <v>0</v>
      </c>
      <c r="H510" s="1">
        <v>0</v>
      </c>
      <c r="I510" s="1">
        <f>IF(H510 + I509 &lt; 0, H510 + I509, 0)</f>
        <v>0</v>
      </c>
      <c r="J510" s="1">
        <v>0</v>
      </c>
      <c r="K510" s="1">
        <f>IF(J510 + K509 &lt; 0, J510 + K509, 0)</f>
        <v>0</v>
      </c>
      <c r="L510" s="1">
        <v>0</v>
      </c>
      <c r="M510" s="1">
        <f>IF(L510 + M509 &lt; 0, L510 + M509, 0)</f>
        <v>0</v>
      </c>
      <c r="N510" s="1">
        <v>0</v>
      </c>
      <c r="O510" s="1">
        <f>IF(N510 + O509 &lt; 0, N510 + O509, 0)</f>
        <v>0</v>
      </c>
      <c r="P510" s="1">
        <v>-3437668.413419359</v>
      </c>
      <c r="Q510" s="1">
        <f>IF(P510 + Q509 &lt; 0, P510 + Q509, 0)</f>
        <v>0</v>
      </c>
    </row>
    <row r="511" spans="1:17" s="1" customFormat="1"/>
    <row r="512" spans="1:17" s="1" customFormat="1"/>
    <row r="513" s="1" customFormat="1"/>
    <row r="514" s="1" customFormat="1"/>
    <row r="515" s="1" customFormat="1"/>
    <row r="516" s="1" customFormat="1"/>
    <row r="517" s="1" customFormat="1"/>
    <row r="518" s="1" customFormat="1"/>
    <row r="519" s="1" customFormat="1"/>
    <row r="520" s="1" customFormat="1"/>
    <row r="521" s="1" customFormat="1"/>
    <row r="522" s="1" customFormat="1"/>
    <row r="523" s="1" customFormat="1"/>
    <row r="524" s="1" customFormat="1"/>
    <row r="525" s="1" customFormat="1"/>
    <row r="526" s="1" customFormat="1"/>
    <row r="527" s="1" customFormat="1"/>
    <row r="528" s="1" customFormat="1"/>
    <row r="529" s="1" customFormat="1"/>
    <row r="530" s="1" customFormat="1"/>
    <row r="531" s="1" customFormat="1"/>
    <row r="532" s="1" customFormat="1"/>
    <row r="533" s="1" customFormat="1"/>
    <row r="534" s="1" customFormat="1"/>
    <row r="535" s="1" customFormat="1"/>
    <row r="536" s="1" customFormat="1"/>
    <row r="537" s="1" customFormat="1"/>
    <row r="538" s="1" customFormat="1"/>
    <row r="539" s="1" customFormat="1"/>
    <row r="540" s="1" customFormat="1"/>
    <row r="541" s="1" customFormat="1"/>
    <row r="542" s="1" customFormat="1"/>
    <row r="543" s="1" customFormat="1"/>
    <row r="544" s="1" customFormat="1"/>
    <row r="545" s="1" customFormat="1"/>
    <row r="546" s="1" customFormat="1"/>
    <row r="547" s="1" customFormat="1"/>
    <row r="548" s="1" customFormat="1"/>
    <row r="549" s="1" customFormat="1"/>
    <row r="550" s="1" customFormat="1"/>
    <row r="551" s="1" customFormat="1"/>
    <row r="552" s="1" customFormat="1"/>
    <row r="553" s="1" customFormat="1"/>
    <row r="554" s="1" customFormat="1"/>
    <row r="555" s="1" customFormat="1"/>
    <row r="556" s="1" customFormat="1"/>
    <row r="557" s="1" customFormat="1"/>
    <row r="558" s="1" customFormat="1"/>
    <row r="559" s="1" customFormat="1"/>
    <row r="560" s="1" customFormat="1"/>
    <row r="561" s="1" customFormat="1"/>
    <row r="562" s="1" customFormat="1"/>
    <row r="563" s="1" customFormat="1"/>
    <row r="564" s="1" customFormat="1"/>
    <row r="565" s="1" customFormat="1"/>
    <row r="566" s="1" customFormat="1"/>
    <row r="567" s="1" customFormat="1"/>
    <row r="568" s="1" customFormat="1"/>
    <row r="569" s="1" customFormat="1"/>
    <row r="570" s="1" customFormat="1"/>
    <row r="571" s="1" customFormat="1"/>
    <row r="572" s="1" customFormat="1"/>
    <row r="573" s="1" customFormat="1"/>
    <row r="574" s="1" customFormat="1"/>
    <row r="575" s="1" customFormat="1"/>
    <row r="576" s="1" customFormat="1"/>
    <row r="577" s="1" customFormat="1"/>
    <row r="578" s="1" customFormat="1"/>
    <row r="579" s="1" customFormat="1"/>
    <row r="580" s="1" customFormat="1"/>
    <row r="581" s="1" customFormat="1"/>
    <row r="582" s="1" customFormat="1"/>
    <row r="583" s="1" customFormat="1"/>
    <row r="584" s="1" customFormat="1"/>
    <row r="585" s="1" customFormat="1"/>
    <row r="586" s="1" customFormat="1"/>
    <row r="587" s="1" customFormat="1"/>
    <row r="588" s="1" customFormat="1"/>
    <row r="589" s="1" customFormat="1"/>
    <row r="590" s="1" customFormat="1"/>
    <row r="591" s="1" customFormat="1"/>
    <row r="592" s="1" customFormat="1"/>
    <row r="593" s="1" customFormat="1"/>
    <row r="594" s="1" customFormat="1"/>
    <row r="595" s="1" customFormat="1"/>
    <row r="596" s="1" customFormat="1"/>
    <row r="597" s="1" customFormat="1"/>
    <row r="598" s="1" customFormat="1"/>
    <row r="599" s="1" customFormat="1"/>
    <row r="600" s="1" customFormat="1"/>
    <row r="601" s="1" customFormat="1"/>
    <row r="602" s="1" customFormat="1"/>
    <row r="603" s="1" customFormat="1"/>
    <row r="604" s="1" customFormat="1"/>
    <row r="605" s="1" customFormat="1"/>
    <row r="606" s="1" customFormat="1"/>
    <row r="607" s="1" customFormat="1"/>
    <row r="608" s="1" customFormat="1"/>
    <row r="609" s="1" customFormat="1"/>
    <row r="610" s="1" customFormat="1"/>
    <row r="611" s="1" customFormat="1"/>
    <row r="612" s="1" customFormat="1"/>
    <row r="613" s="1" customFormat="1"/>
    <row r="614" s="1" customFormat="1"/>
    <row r="615" s="1" customFormat="1"/>
    <row r="616" s="1" customFormat="1"/>
    <row r="617" s="1" customFormat="1"/>
    <row r="618" s="1" customFormat="1"/>
    <row r="619" s="1" customFormat="1"/>
    <row r="620" s="1" customFormat="1"/>
    <row r="621" s="1" customFormat="1"/>
    <row r="622" s="1" customFormat="1"/>
    <row r="623" s="1" customFormat="1"/>
    <row r="624" s="1" customFormat="1"/>
    <row r="625" s="1" customFormat="1"/>
    <row r="626" s="1" customFormat="1"/>
    <row r="627" s="1" customFormat="1"/>
    <row r="628" s="1" customFormat="1"/>
    <row r="629" s="1" customFormat="1"/>
    <row r="630" s="1" customFormat="1"/>
    <row r="631" s="1" customFormat="1"/>
    <row r="632" s="1" customFormat="1"/>
    <row r="633" s="1" customFormat="1"/>
    <row r="634" s="1" customFormat="1"/>
    <row r="635" s="1" customFormat="1"/>
    <row r="636" s="1" customFormat="1"/>
    <row r="637" s="1" customFormat="1"/>
    <row r="638" s="1" customFormat="1"/>
    <row r="639" s="1" customFormat="1"/>
    <row r="640" s="1" customFormat="1"/>
    <row r="641" s="1" customFormat="1"/>
    <row r="642" s="1" customFormat="1"/>
    <row r="643" s="1" customFormat="1"/>
    <row r="644" s="1" customFormat="1"/>
    <row r="645" s="1" customFormat="1"/>
    <row r="646" s="1" customFormat="1"/>
    <row r="647" s="1" customFormat="1"/>
    <row r="648" s="1" customFormat="1"/>
    <row r="649" s="1" customFormat="1"/>
    <row r="650" s="1" customFormat="1"/>
    <row r="651" s="1" customFormat="1"/>
    <row r="652" s="1" customFormat="1"/>
    <row r="653" s="1" customFormat="1"/>
    <row r="654" s="1" customFormat="1"/>
    <row r="655" s="1" customFormat="1"/>
    <row r="656" s="1" customFormat="1"/>
    <row r="657" s="1" customFormat="1"/>
    <row r="658" s="1" customFormat="1"/>
    <row r="659" s="1" customFormat="1"/>
    <row r="660" s="1" customFormat="1"/>
    <row r="661" s="1" customFormat="1"/>
    <row r="662" s="1" customFormat="1"/>
    <row r="663" s="1" customFormat="1"/>
    <row r="664" s="1" customFormat="1"/>
    <row r="665" s="1" customFormat="1"/>
    <row r="666" s="1" customFormat="1"/>
    <row r="667" s="1" customFormat="1"/>
    <row r="668" s="1" customFormat="1"/>
    <row r="669" s="1" customFormat="1"/>
    <row r="670" s="1" customFormat="1"/>
    <row r="671" s="1" customFormat="1"/>
    <row r="672" s="1" customFormat="1"/>
    <row r="673" s="1" customFormat="1"/>
    <row r="674" s="1" customFormat="1"/>
    <row r="675" s="1" customFormat="1"/>
    <row r="676" s="1" customFormat="1"/>
    <row r="677" s="1" customFormat="1"/>
    <row r="678" s="1" customFormat="1"/>
    <row r="679" s="1" customFormat="1"/>
    <row r="680" s="1" customFormat="1"/>
    <row r="681" s="1" customFormat="1"/>
    <row r="682" s="1" customFormat="1"/>
    <row r="683" s="1" customFormat="1"/>
    <row r="684" s="1" customFormat="1"/>
    <row r="685" s="1" customFormat="1"/>
    <row r="686" s="1" customFormat="1"/>
    <row r="687" s="1" customFormat="1"/>
    <row r="688" s="1" customFormat="1"/>
    <row r="689" s="1" customFormat="1"/>
    <row r="690" s="1" customFormat="1"/>
    <row r="691" s="1" customFormat="1"/>
    <row r="692" s="1" customFormat="1"/>
    <row r="693" s="1" customFormat="1"/>
    <row r="694" s="1" customFormat="1"/>
    <row r="695" s="1" customFormat="1"/>
    <row r="696" s="1" customFormat="1"/>
    <row r="697" s="1" customFormat="1"/>
    <row r="698" s="1" customFormat="1"/>
    <row r="699" s="1" customFormat="1"/>
    <row r="700" s="1" customFormat="1"/>
    <row r="701" s="1" customFormat="1"/>
    <row r="702" s="1" customFormat="1"/>
    <row r="703" s="1" customFormat="1"/>
    <row r="704" s="1" customFormat="1"/>
    <row r="705" s="1" customFormat="1"/>
    <row r="706" s="1" customFormat="1"/>
    <row r="707" s="1" customFormat="1"/>
    <row r="708" s="1" customFormat="1"/>
    <row r="709" s="1" customFormat="1"/>
    <row r="710" s="1" customFormat="1"/>
    <row r="711" s="1" customFormat="1"/>
    <row r="712" s="1" customFormat="1"/>
    <row r="713" s="1" customFormat="1"/>
    <row r="714" s="1" customFormat="1"/>
    <row r="715" s="1" customFormat="1"/>
    <row r="716" s="1" customFormat="1"/>
    <row r="717" s="1" customFormat="1"/>
    <row r="718" s="1" customFormat="1"/>
    <row r="719" s="1" customFormat="1"/>
    <row r="720" s="1" customFormat="1"/>
    <row r="721" s="1" customFormat="1"/>
    <row r="722" s="1" customFormat="1"/>
    <row r="723" s="1" customFormat="1"/>
    <row r="724" s="1" customFormat="1"/>
    <row r="725" s="1" customFormat="1"/>
    <row r="726" s="1" customFormat="1"/>
    <row r="727" s="1" customFormat="1"/>
    <row r="728" s="1" customFormat="1"/>
    <row r="729" s="1" customFormat="1"/>
    <row r="730" s="1" customFormat="1"/>
    <row r="731" s="1" customFormat="1"/>
    <row r="732" s="1" customFormat="1"/>
    <row r="733" s="1" customFormat="1"/>
    <row r="734" s="1" customFormat="1"/>
    <row r="735" s="1" customFormat="1"/>
    <row r="736" s="1" customFormat="1"/>
    <row r="737" s="1" customFormat="1"/>
    <row r="738" s="1" customFormat="1"/>
    <row r="739" s="1" customFormat="1"/>
    <row r="740" s="1" customFormat="1"/>
    <row r="741" s="1" customFormat="1"/>
    <row r="742" s="1" customFormat="1"/>
    <row r="743" s="1" customFormat="1"/>
    <row r="744" s="1" customFormat="1"/>
    <row r="745" s="1" customFormat="1"/>
    <row r="746" s="1" customFormat="1"/>
    <row r="747" s="1" customFormat="1"/>
    <row r="748" s="1" customFormat="1"/>
    <row r="749" s="1" customFormat="1"/>
    <row r="750" s="1" customFormat="1"/>
    <row r="751" s="1" customFormat="1"/>
    <row r="752" s="1" customFormat="1"/>
    <row r="753" s="1" customFormat="1"/>
    <row r="754" s="1" customFormat="1"/>
    <row r="755" s="1" customFormat="1"/>
    <row r="756" s="1" customFormat="1"/>
    <row r="757" s="1" customFormat="1"/>
    <row r="758" s="1" customFormat="1"/>
    <row r="759" s="1" customFormat="1"/>
    <row r="760" s="1" customFormat="1"/>
    <row r="761" s="1" customFormat="1"/>
    <row r="762" s="1" customFormat="1"/>
    <row r="763" s="1" customFormat="1"/>
    <row r="764" s="1" customFormat="1"/>
    <row r="765" s="1" customFormat="1"/>
    <row r="766" s="1" customFormat="1"/>
    <row r="767" s="1" customFormat="1"/>
    <row r="768" s="1" customFormat="1"/>
    <row r="769" s="1" customFormat="1"/>
    <row r="770" s="1" customFormat="1"/>
    <row r="771" s="1" customFormat="1"/>
    <row r="772" s="1" customFormat="1"/>
    <row r="773" s="1" customFormat="1"/>
    <row r="774" s="1" customFormat="1"/>
    <row r="775" s="1" customFormat="1"/>
    <row r="776" s="1" customFormat="1"/>
    <row r="777" s="1" customFormat="1"/>
    <row r="778" s="1" customFormat="1"/>
    <row r="779" s="1" customFormat="1"/>
    <row r="780" s="1" customFormat="1"/>
    <row r="781" s="1" customFormat="1"/>
    <row r="782" s="1" customFormat="1"/>
    <row r="783" s="1" customFormat="1"/>
    <row r="784" s="1" customFormat="1"/>
    <row r="785" s="1" customFormat="1"/>
    <row r="786" s="1" customFormat="1"/>
    <row r="787" s="1" customFormat="1"/>
    <row r="788" s="1" customFormat="1"/>
    <row r="789" s="1" customFormat="1"/>
    <row r="790" s="1" customFormat="1"/>
    <row r="791" s="1" customFormat="1"/>
    <row r="792" s="1" customFormat="1"/>
    <row r="793" s="1" customFormat="1"/>
    <row r="794" s="1" customFormat="1"/>
    <row r="795" s="1" customFormat="1"/>
    <row r="796" s="1" customFormat="1"/>
    <row r="797" s="1" customFormat="1"/>
    <row r="798" s="1" customFormat="1"/>
    <row r="799" s="1" customFormat="1"/>
    <row r="800" s="1" customFormat="1"/>
    <row r="801" s="1" customFormat="1"/>
    <row r="802" s="1" customFormat="1"/>
    <row r="803" s="1" customFormat="1"/>
    <row r="804" s="1" customFormat="1"/>
    <row r="805" s="1" customFormat="1"/>
    <row r="806" s="1" customFormat="1"/>
    <row r="807" s="1" customFormat="1"/>
    <row r="808" s="1" customFormat="1"/>
    <row r="809" s="1" customFormat="1"/>
    <row r="810" s="1" customFormat="1"/>
    <row r="811" s="1" customFormat="1"/>
    <row r="812" s="1" customFormat="1"/>
    <row r="813" s="1" customFormat="1"/>
    <row r="814" s="1" customFormat="1"/>
    <row r="815" s="1" customFormat="1"/>
    <row r="816" s="1" customFormat="1"/>
    <row r="817" s="1" customFormat="1"/>
    <row r="818" s="1" customFormat="1"/>
    <row r="819" s="1" customFormat="1"/>
    <row r="820" s="1" customFormat="1"/>
    <row r="821" s="1" customFormat="1"/>
    <row r="822" s="1" customFormat="1"/>
    <row r="823" s="1" customFormat="1"/>
    <row r="824" s="1" customFormat="1"/>
    <row r="825" s="1" customFormat="1"/>
    <row r="826" s="1" customFormat="1"/>
    <row r="827" s="1" customFormat="1"/>
    <row r="828" s="1" customFormat="1"/>
    <row r="829" s="1" customFormat="1"/>
    <row r="830" s="1" customFormat="1"/>
    <row r="831" s="1" customFormat="1"/>
    <row r="832" s="1" customFormat="1"/>
    <row r="833" s="1" customFormat="1"/>
    <row r="834" s="1" customFormat="1"/>
    <row r="835" s="1" customFormat="1"/>
    <row r="836" s="1" customFormat="1"/>
    <row r="837" s="1" customFormat="1"/>
    <row r="838" s="1" customFormat="1"/>
    <row r="839" s="1" customFormat="1"/>
    <row r="840" s="1" customFormat="1"/>
    <row r="841" s="1" customFormat="1"/>
    <row r="842" s="1" customFormat="1"/>
    <row r="843" s="1" customFormat="1"/>
    <row r="844" s="1" customFormat="1"/>
    <row r="845" s="1" customFormat="1"/>
    <row r="846" s="1" customFormat="1"/>
    <row r="847" s="1" customFormat="1"/>
    <row r="848" s="1" customFormat="1"/>
    <row r="849" s="1" customFormat="1"/>
    <row r="850" s="1" customFormat="1"/>
    <row r="851" s="1" customFormat="1"/>
    <row r="852" s="1" customFormat="1"/>
    <row r="853" s="1" customFormat="1"/>
    <row r="854" s="1" customFormat="1"/>
    <row r="855" s="1" customFormat="1"/>
    <row r="856" s="1" customFormat="1"/>
    <row r="857" s="1" customFormat="1"/>
    <row r="858" s="1" customFormat="1"/>
    <row r="859" s="1" customFormat="1"/>
    <row r="860" s="1" customFormat="1"/>
    <row r="861" s="1" customFormat="1"/>
    <row r="862" s="1" customFormat="1"/>
    <row r="863" s="1" customFormat="1"/>
    <row r="864" s="1" customFormat="1"/>
    <row r="865" s="1" customFormat="1"/>
    <row r="866" s="1" customFormat="1"/>
    <row r="867" s="1" customFormat="1"/>
    <row r="868" s="1" customFormat="1"/>
    <row r="869" s="1" customFormat="1"/>
    <row r="870" s="1" customFormat="1"/>
    <row r="871" s="1" customFormat="1"/>
    <row r="872" s="1" customFormat="1"/>
    <row r="873" s="1" customFormat="1"/>
    <row r="874" s="1" customFormat="1"/>
    <row r="875" s="1" customFormat="1"/>
    <row r="876" s="1" customFormat="1"/>
    <row r="877" s="1" customFormat="1"/>
    <row r="878" s="1" customFormat="1"/>
    <row r="879" s="1" customFormat="1"/>
    <row r="880" s="1" customFormat="1"/>
    <row r="881" s="1" customFormat="1"/>
    <row r="882" s="1" customFormat="1"/>
    <row r="883" s="1" customFormat="1"/>
    <row r="884" s="1" customFormat="1"/>
    <row r="885" s="1" customFormat="1"/>
    <row r="886" s="1" customFormat="1"/>
    <row r="887" s="1" customFormat="1"/>
    <row r="888" s="1" customFormat="1"/>
    <row r="889" s="1" customFormat="1"/>
    <row r="890" s="1" customFormat="1"/>
    <row r="891" s="1" customFormat="1"/>
    <row r="892" s="1" customFormat="1"/>
    <row r="893" s="1" customFormat="1"/>
    <row r="894" s="1" customFormat="1"/>
    <row r="895" s="1" customFormat="1"/>
    <row r="896" s="1" customFormat="1"/>
    <row r="897" s="1" customFormat="1"/>
    <row r="898" s="1" customFormat="1"/>
    <row r="899" s="1" customFormat="1"/>
    <row r="900" s="1" customFormat="1"/>
    <row r="901" s="1" customFormat="1"/>
    <row r="902" s="1" customFormat="1"/>
    <row r="903" s="1" customFormat="1"/>
    <row r="904" s="1" customFormat="1"/>
    <row r="905" s="1" customFormat="1"/>
    <row r="906" s="1" customFormat="1"/>
    <row r="907" s="1" customFormat="1"/>
    <row r="908" s="1" customFormat="1"/>
    <row r="909" s="1" customFormat="1"/>
    <row r="910" s="1" customFormat="1"/>
    <row r="911" s="1" customFormat="1"/>
    <row r="912" s="1" customFormat="1"/>
    <row r="913" s="1" customFormat="1"/>
    <row r="914" s="1" customFormat="1"/>
    <row r="915" s="1" customFormat="1"/>
    <row r="916" s="1" customFormat="1"/>
    <row r="917" s="1" customFormat="1"/>
    <row r="918" s="1" customFormat="1"/>
    <row r="919" s="1" customFormat="1"/>
    <row r="920" s="1" customFormat="1"/>
    <row r="921" s="1" customFormat="1"/>
    <row r="922" s="1" customFormat="1"/>
    <row r="923" s="1" customFormat="1"/>
    <row r="924" s="1" customFormat="1"/>
    <row r="925" s="1" customFormat="1"/>
    <row r="926" s="1" customFormat="1"/>
    <row r="927" s="1" customFormat="1"/>
    <row r="928" s="1" customFormat="1"/>
    <row r="929" s="1" customFormat="1"/>
    <row r="930" s="1" customFormat="1"/>
    <row r="931" s="1" customFormat="1"/>
    <row r="932" s="1" customFormat="1"/>
    <row r="933" s="1" customFormat="1"/>
    <row r="934" s="1" customFormat="1"/>
    <row r="935" s="1" customFormat="1"/>
    <row r="936" s="1" customFormat="1"/>
    <row r="937" s="1" customFormat="1"/>
    <row r="938" s="1" customFormat="1"/>
    <row r="939" s="1" customFormat="1"/>
    <row r="940" s="1" customFormat="1"/>
    <row r="941" s="1" customFormat="1"/>
    <row r="942" s="1" customFormat="1"/>
    <row r="943" s="1" customFormat="1"/>
    <row r="944" s="1" customFormat="1"/>
    <row r="945" s="1" customFormat="1"/>
    <row r="946" s="1" customFormat="1"/>
    <row r="947" s="1" customFormat="1"/>
    <row r="948" s="1" customFormat="1"/>
    <row r="949" s="1" customFormat="1"/>
    <row r="950" s="1" customFormat="1"/>
    <row r="951" s="1" customFormat="1"/>
    <row r="952" s="1" customFormat="1"/>
    <row r="953" s="1" customFormat="1"/>
    <row r="954" s="1" customFormat="1"/>
    <row r="955" s="1" customFormat="1"/>
    <row r="956" s="1" customFormat="1"/>
    <row r="957" s="1" customFormat="1"/>
    <row r="958" s="1" customFormat="1"/>
    <row r="959" s="1" customFormat="1"/>
    <row r="960" s="1" customFormat="1"/>
    <row r="961" s="1" customFormat="1"/>
    <row r="962" s="1" customFormat="1"/>
    <row r="963" s="1" customFormat="1"/>
    <row r="964" s="1" customFormat="1"/>
    <row r="965" s="1" customFormat="1"/>
    <row r="966" s="1" customFormat="1"/>
    <row r="967" s="1" customFormat="1"/>
    <row r="968" s="1" customFormat="1"/>
    <row r="969" s="1" customFormat="1"/>
    <row r="970" s="1" customFormat="1"/>
    <row r="971" s="1" customFormat="1"/>
    <row r="972" s="1" customFormat="1"/>
    <row r="973" s="1" customFormat="1"/>
    <row r="974" s="1" customFormat="1"/>
    <row r="975" s="1" customFormat="1"/>
    <row r="976" s="1" customFormat="1"/>
    <row r="977" s="1" customFormat="1"/>
    <row r="978" s="1" customFormat="1"/>
    <row r="979" s="1" customFormat="1"/>
    <row r="980" s="1" customFormat="1"/>
    <row r="981" s="1" customFormat="1"/>
    <row r="982" s="1" customFormat="1"/>
    <row r="983" s="1" customFormat="1"/>
    <row r="984" s="1" customFormat="1"/>
    <row r="985" s="1" customFormat="1"/>
    <row r="986" s="1" customFormat="1"/>
    <row r="987" s="1" customFormat="1"/>
    <row r="988" s="1" customFormat="1"/>
    <row r="989" s="1" customFormat="1"/>
    <row r="990" s="1" customFormat="1"/>
    <row r="991" s="1" customFormat="1"/>
    <row r="992" s="1" customFormat="1"/>
    <row r="993" s="1" customFormat="1"/>
    <row r="994" s="1" customFormat="1"/>
    <row r="995" s="1" customFormat="1"/>
    <row r="996" s="1" customFormat="1"/>
    <row r="997" s="1" customFormat="1"/>
    <row r="998" s="1" customFormat="1"/>
    <row r="999" s="1" customFormat="1"/>
    <row r="1000" s="1" customFormat="1"/>
    <row r="1001" s="1" customFormat="1"/>
    <row r="1002" s="1" customFormat="1"/>
    <row r="1003" s="1" customFormat="1"/>
    <row r="1004" s="1" customFormat="1"/>
    <row r="1005" s="1" customFormat="1"/>
    <row r="1006" s="1" customFormat="1"/>
    <row r="1007" s="1" customFormat="1"/>
    <row r="1008" s="1" customFormat="1"/>
    <row r="1009" s="1" customFormat="1"/>
    <row r="1010" s="1" customFormat="1"/>
    <row r="1011" s="1" customFormat="1"/>
    <row r="1012" s="1" customFormat="1"/>
    <row r="1013" s="1" customFormat="1"/>
    <row r="1014" s="1" customFormat="1"/>
    <row r="1015" s="1" customFormat="1"/>
    <row r="1016" s="1" customFormat="1"/>
    <row r="1017" s="1" customFormat="1"/>
    <row r="1018" s="1" customFormat="1"/>
    <row r="1019" s="1" customFormat="1"/>
    <row r="1020" s="1" customFormat="1"/>
    <row r="1021" s="1" customFormat="1"/>
    <row r="1022" s="1" customFormat="1"/>
    <row r="1023" s="1" customFormat="1"/>
    <row r="1024" s="1" customFormat="1"/>
    <row r="1025" s="1" customFormat="1"/>
    <row r="1026" s="1" customFormat="1"/>
    <row r="1027" s="1" customFormat="1"/>
    <row r="1028" s="1" customFormat="1"/>
    <row r="1029" s="1" customFormat="1"/>
    <row r="1030" s="1" customFormat="1"/>
    <row r="1031" s="1" customFormat="1"/>
    <row r="1032" s="1" customFormat="1"/>
    <row r="1033" s="1" customFormat="1"/>
    <row r="1034" s="1" customFormat="1"/>
    <row r="1035" s="1" customFormat="1"/>
    <row r="1036" s="1" customFormat="1"/>
    <row r="1037" s="1" customFormat="1"/>
    <row r="1038" s="1" customFormat="1"/>
    <row r="1039" s="1" customFormat="1"/>
    <row r="1040" s="1" customFormat="1"/>
    <row r="1041" s="1" customFormat="1"/>
    <row r="1042" s="1" customFormat="1"/>
    <row r="1043" s="1" customFormat="1"/>
    <row r="1044" s="1" customFormat="1"/>
    <row r="1045" s="1" customFormat="1"/>
    <row r="1046" s="1" customFormat="1"/>
    <row r="1047" s="1" customFormat="1"/>
    <row r="1048" s="1" customFormat="1"/>
    <row r="1049" s="1" customFormat="1"/>
    <row r="1050" s="1" customFormat="1"/>
    <row r="1051" s="1" customFormat="1"/>
    <row r="1052" s="1" customFormat="1"/>
    <row r="1053" s="1" customFormat="1"/>
    <row r="1054" s="1" customFormat="1"/>
    <row r="1055" s="1" customFormat="1"/>
    <row r="1056" s="1" customFormat="1"/>
    <row r="1057" s="1" customFormat="1"/>
    <row r="1058" s="1" customFormat="1"/>
    <row r="1059" s="1" customFormat="1"/>
    <row r="1060" s="1" customFormat="1"/>
    <row r="1061" s="1" customFormat="1"/>
    <row r="1062" s="1" customFormat="1"/>
    <row r="1063" s="1" customFormat="1"/>
    <row r="1064" s="1" customFormat="1"/>
    <row r="1065" s="1" customFormat="1"/>
    <row r="1066" s="1" customFormat="1"/>
    <row r="1067" s="1" customFormat="1"/>
    <row r="1068" s="1" customFormat="1"/>
    <row r="1069" s="1" customFormat="1"/>
    <row r="1070" s="1" customFormat="1"/>
    <row r="1071" s="1" customFormat="1"/>
    <row r="1072" s="1" customFormat="1"/>
    <row r="1073" s="1" customFormat="1"/>
    <row r="1074" s="1" customFormat="1"/>
    <row r="1075" s="1" customFormat="1"/>
    <row r="1076" s="1" customFormat="1"/>
    <row r="1077" s="1" customFormat="1"/>
    <row r="1078" s="1" customFormat="1"/>
    <row r="1079" s="1" customFormat="1"/>
    <row r="1080" s="1" customFormat="1"/>
    <row r="1081" s="1" customFormat="1"/>
    <row r="1082" s="1" customFormat="1"/>
    <row r="1083" s="1" customFormat="1"/>
    <row r="1084" s="1" customFormat="1"/>
    <row r="1085" s="1" customFormat="1"/>
    <row r="1086" s="1" customFormat="1"/>
    <row r="1087" s="1" customFormat="1"/>
    <row r="1088" s="1" customFormat="1"/>
    <row r="1089" s="1" customFormat="1"/>
    <row r="1090" s="1" customFormat="1"/>
    <row r="1091" s="1" customFormat="1"/>
    <row r="1092" s="1" customFormat="1"/>
    <row r="1093" s="1" customFormat="1"/>
    <row r="1094" s="1" customFormat="1"/>
    <row r="1095" s="1" customFormat="1"/>
    <row r="1096" s="1" customFormat="1"/>
    <row r="1097" s="1" customFormat="1"/>
    <row r="1098" s="1" customFormat="1"/>
    <row r="1099" s="1" customFormat="1"/>
    <row r="1100" s="1" customFormat="1"/>
    <row r="1101" s="1" customFormat="1"/>
    <row r="1102" s="1" customFormat="1"/>
    <row r="1103" s="1" customFormat="1"/>
    <row r="1104" s="1" customFormat="1"/>
    <row r="1105" s="1" customFormat="1"/>
    <row r="1106" s="1" customFormat="1"/>
    <row r="1107" s="1" customFormat="1"/>
    <row r="1108" s="1" customFormat="1"/>
    <row r="1109" s="1" customFormat="1"/>
    <row r="1110" s="1" customFormat="1"/>
    <row r="1111" s="1" customFormat="1"/>
    <row r="1112" s="1" customFormat="1"/>
    <row r="1113" s="1" customFormat="1"/>
    <row r="1114" s="1" customFormat="1"/>
    <row r="1115" s="1" customFormat="1"/>
    <row r="1116" s="1" customFormat="1"/>
    <row r="1117" s="1" customFormat="1"/>
    <row r="1118" s="1" customFormat="1"/>
    <row r="1119" s="1" customFormat="1"/>
    <row r="1120" s="1" customFormat="1"/>
    <row r="1121" s="1" customFormat="1"/>
    <row r="1122" s="1" customFormat="1"/>
    <row r="1123" s="1" customFormat="1"/>
    <row r="1124" s="1" customFormat="1"/>
    <row r="1125" s="1" customFormat="1"/>
    <row r="1126" s="1" customFormat="1"/>
    <row r="1127" s="1" customFormat="1"/>
    <row r="1128" s="1" customFormat="1"/>
    <row r="1129" s="1" customFormat="1"/>
    <row r="1130" s="1" customFormat="1"/>
    <row r="1131" s="1" customFormat="1"/>
    <row r="1132" s="1" customFormat="1"/>
    <row r="1133" s="1" customFormat="1"/>
    <row r="1134" s="1" customFormat="1"/>
    <row r="1135" s="1" customFormat="1"/>
    <row r="1136" s="1" customFormat="1"/>
    <row r="1137" s="1" customFormat="1"/>
    <row r="1138" s="1" customFormat="1"/>
    <row r="1139" s="1" customFormat="1"/>
    <row r="1140" s="1" customFormat="1"/>
    <row r="1141" s="1" customFormat="1"/>
    <row r="1142" s="1" customFormat="1"/>
    <row r="1143" s="1" customFormat="1"/>
    <row r="1144" s="1" customFormat="1"/>
    <row r="1145" s="1" customFormat="1"/>
    <row r="1146" s="1" customFormat="1"/>
    <row r="1147" s="1" customFormat="1"/>
    <row r="1148" s="1" customFormat="1"/>
    <row r="1149" s="1" customFormat="1"/>
    <row r="1150" s="1" customFormat="1"/>
    <row r="1151" s="1" customFormat="1"/>
    <row r="1152" s="1" customFormat="1"/>
    <row r="1153" s="1" customFormat="1"/>
    <row r="1154" s="1" customFormat="1"/>
    <row r="1155" s="1" customFormat="1"/>
    <row r="1156" s="1" customFormat="1"/>
    <row r="1157" s="1" customFormat="1"/>
    <row r="1158" s="1" customFormat="1"/>
    <row r="1159" s="1" customFormat="1"/>
    <row r="1160" s="1" customFormat="1"/>
    <row r="1161" s="1" customFormat="1"/>
    <row r="1162" s="1" customFormat="1"/>
    <row r="1163" s="1" customFormat="1"/>
    <row r="1164" s="1" customFormat="1"/>
    <row r="1165" s="1" customFormat="1"/>
    <row r="1166" s="1" customFormat="1"/>
    <row r="1167" s="1" customFormat="1"/>
    <row r="1168" s="1" customFormat="1"/>
    <row r="1169" s="1" customFormat="1"/>
    <row r="1170" s="1" customFormat="1"/>
    <row r="1171" s="1" customFormat="1"/>
    <row r="1172" s="1" customFormat="1"/>
    <row r="1173" s="1" customFormat="1"/>
    <row r="1174" s="1" customFormat="1"/>
    <row r="1175" s="1" customFormat="1"/>
    <row r="1176" s="1" customFormat="1"/>
    <row r="1177" s="1" customFormat="1"/>
    <row r="1178" s="1" customFormat="1"/>
    <row r="1179" s="1" customFormat="1"/>
    <row r="1180" s="1" customFormat="1"/>
    <row r="1181" s="1" customFormat="1"/>
    <row r="1182" s="1" customFormat="1"/>
    <row r="1183" s="1" customFormat="1"/>
    <row r="1184" s="1" customFormat="1"/>
    <row r="1185" s="1" customFormat="1"/>
    <row r="1186" s="1" customFormat="1"/>
    <row r="1187" s="1" customFormat="1"/>
    <row r="1188" s="1" customFormat="1"/>
    <row r="1189" s="1" customFormat="1"/>
    <row r="1190" s="1" customFormat="1"/>
    <row r="1191" s="1" customFormat="1"/>
    <row r="1192" s="1" customFormat="1"/>
    <row r="1193" s="1" customFormat="1"/>
    <row r="1194" s="1" customFormat="1"/>
    <row r="1195" s="1" customFormat="1"/>
    <row r="1196" s="1" customFormat="1"/>
    <row r="1197" s="1" customFormat="1"/>
    <row r="1198" s="1" customFormat="1"/>
    <row r="1199" s="1" customFormat="1"/>
    <row r="1200" s="1" customFormat="1"/>
    <row r="1201" s="1" customFormat="1"/>
    <row r="1202" s="1" customFormat="1"/>
    <row r="1203" s="1" customFormat="1"/>
    <row r="1204" s="1" customFormat="1"/>
    <row r="1205" s="1" customFormat="1"/>
    <row r="1206" s="1" customFormat="1"/>
    <row r="1207" s="1" customFormat="1"/>
    <row r="1208" s="1" customFormat="1"/>
    <row r="1209" s="1" customFormat="1"/>
    <row r="1210" s="1" customFormat="1"/>
    <row r="1211" s="1" customFormat="1"/>
    <row r="1212" s="1" customFormat="1"/>
    <row r="1213" s="1" customFormat="1"/>
    <row r="1214" s="1" customFormat="1"/>
    <row r="1215" s="1" customFormat="1"/>
    <row r="1216" s="1" customFormat="1"/>
    <row r="1217" s="1" customFormat="1"/>
    <row r="1218" s="1" customFormat="1"/>
    <row r="1219" s="1" customFormat="1"/>
    <row r="1220" s="1" customFormat="1"/>
    <row r="1221" s="1" customFormat="1"/>
    <row r="1222" s="1" customFormat="1"/>
    <row r="1223" s="1" customFormat="1"/>
    <row r="1224" s="1" customFormat="1"/>
    <row r="1225" s="1" customFormat="1"/>
    <row r="1226" s="1" customFormat="1"/>
    <row r="1227" s="1" customFormat="1"/>
    <row r="1228" s="1" customFormat="1"/>
    <row r="1229" s="1" customFormat="1"/>
    <row r="1230" s="1" customFormat="1"/>
    <row r="1231" s="1" customFormat="1"/>
    <row r="1232" s="1" customFormat="1"/>
    <row r="1233" s="1" customFormat="1"/>
    <row r="1234" s="1" customFormat="1"/>
    <row r="1235" s="1" customFormat="1"/>
    <row r="1236" s="1" customFormat="1"/>
    <row r="1237" s="1" customFormat="1"/>
    <row r="1238" s="1" customFormat="1"/>
    <row r="1239" s="1" customFormat="1"/>
    <row r="1240" s="1" customFormat="1"/>
    <row r="1241" s="1" customFormat="1"/>
    <row r="1242" s="1" customFormat="1"/>
    <row r="1243" s="1" customFormat="1"/>
    <row r="1244" s="1" customFormat="1"/>
    <row r="1245" s="1" customFormat="1"/>
    <row r="1246" s="1" customFormat="1"/>
    <row r="1247" s="1" customFormat="1"/>
    <row r="1248" s="1" customFormat="1"/>
    <row r="1249" s="1" customFormat="1"/>
    <row r="1250" s="1" customFormat="1"/>
    <row r="1251" s="1" customFormat="1"/>
    <row r="1252" s="1" customFormat="1"/>
    <row r="1253" s="1" customFormat="1"/>
    <row r="1254" s="1" customFormat="1"/>
    <row r="1255" s="1" customFormat="1"/>
    <row r="1256" s="1" customFormat="1"/>
    <row r="1257" s="1" customFormat="1"/>
    <row r="1258" s="1" customFormat="1"/>
    <row r="1259" s="1" customFormat="1"/>
    <row r="1260" s="1" customFormat="1"/>
    <row r="1261" s="1" customFormat="1"/>
    <row r="1262" s="1" customFormat="1"/>
    <row r="1263" s="1" customFormat="1"/>
    <row r="1264" s="1" customFormat="1"/>
    <row r="1265" s="1" customFormat="1"/>
    <row r="1266" s="1" customFormat="1"/>
    <row r="1267" s="1" customFormat="1"/>
    <row r="1268" s="1" customFormat="1"/>
    <row r="1269" s="1" customFormat="1"/>
    <row r="1270" s="1" customFormat="1"/>
    <row r="1271" s="1" customFormat="1"/>
    <row r="1272" s="1" customFormat="1"/>
    <row r="1273" s="1" customFormat="1"/>
    <row r="1274" s="1" customFormat="1"/>
    <row r="1275" s="1" customFormat="1"/>
    <row r="1276" s="1" customFormat="1"/>
    <row r="1277" s="1" customFormat="1"/>
    <row r="1278" s="1" customFormat="1"/>
    <row r="1279" s="1" customFormat="1"/>
    <row r="1280" s="1" customFormat="1"/>
    <row r="1281" s="1" customFormat="1"/>
    <row r="1282" s="1" customFormat="1"/>
    <row r="1283" s="1" customFormat="1"/>
    <row r="1284" s="1" customFormat="1"/>
    <row r="1285" s="1" customFormat="1"/>
    <row r="1286" s="1" customFormat="1"/>
    <row r="1287" s="1" customFormat="1"/>
    <row r="1288" s="1" customFormat="1"/>
    <row r="1289" s="1" customFormat="1"/>
    <row r="1290" s="1" customFormat="1"/>
    <row r="1291" s="1" customFormat="1"/>
    <row r="1292" s="1" customFormat="1"/>
    <row r="1293" s="1" customFormat="1"/>
    <row r="1294" s="1" customFormat="1"/>
    <row r="1295" s="1" customFormat="1"/>
    <row r="1296" s="1" customFormat="1"/>
    <row r="1297" s="1" customFormat="1"/>
    <row r="1298" s="1" customFormat="1"/>
    <row r="1299" s="1" customFormat="1"/>
    <row r="1300" s="1" customFormat="1"/>
    <row r="1301" s="1" customFormat="1"/>
    <row r="1302" s="1" customFormat="1"/>
    <row r="1303" s="1" customFormat="1"/>
    <row r="1304" s="1" customFormat="1"/>
    <row r="1305" s="1" customFormat="1"/>
    <row r="1306" s="1" customFormat="1"/>
    <row r="1307" s="1" customFormat="1"/>
    <row r="1308" s="1" customFormat="1"/>
    <row r="1309" s="1" customFormat="1"/>
    <row r="1310" s="1" customFormat="1"/>
    <row r="1311" s="1" customFormat="1"/>
    <row r="1312" s="1" customFormat="1"/>
    <row r="1313" s="1" customFormat="1"/>
    <row r="1314" s="1" customFormat="1"/>
    <row r="1315" s="1" customFormat="1"/>
    <row r="1316" s="1" customFormat="1"/>
    <row r="1317" s="1" customFormat="1"/>
    <row r="1318" s="1" customFormat="1"/>
    <row r="1319" s="1" customFormat="1"/>
    <row r="1320" s="1" customFormat="1"/>
    <row r="1321" s="1" customFormat="1"/>
    <row r="1322" s="1" customFormat="1"/>
    <row r="1323" s="1" customFormat="1"/>
    <row r="1324" s="1" customFormat="1"/>
    <row r="1325" s="1" customFormat="1"/>
    <row r="1326" s="1" customFormat="1"/>
    <row r="1327" s="1" customFormat="1"/>
    <row r="1328" s="1" customFormat="1"/>
    <row r="1329" s="1" customFormat="1"/>
    <row r="1330" s="1" customFormat="1"/>
    <row r="1331" s="1" customFormat="1"/>
    <row r="1332" s="1" customFormat="1"/>
    <row r="1333" s="1" customFormat="1"/>
    <row r="1334" s="1" customFormat="1"/>
    <row r="1335" s="1" customFormat="1"/>
    <row r="1336" s="1" customFormat="1"/>
    <row r="1337" s="1" customFormat="1"/>
    <row r="1338" s="1" customFormat="1"/>
    <row r="1339" s="1" customFormat="1"/>
    <row r="1340" s="1" customFormat="1"/>
    <row r="1341" s="1" customFormat="1"/>
    <row r="1342" s="1" customFormat="1"/>
    <row r="1343" s="1" customFormat="1"/>
    <row r="1344" s="1" customFormat="1"/>
    <row r="1345" s="1" customFormat="1"/>
    <row r="1346" s="1" customFormat="1"/>
    <row r="1347" s="1" customFormat="1"/>
    <row r="1348" s="1" customFormat="1"/>
    <row r="1349" s="1" customFormat="1"/>
    <row r="1350" s="1" customFormat="1"/>
    <row r="1351" s="1" customFormat="1"/>
    <row r="1352" s="1" customFormat="1"/>
    <row r="1353" s="1" customFormat="1"/>
    <row r="1354" s="1" customFormat="1"/>
    <row r="1355" s="1" customFormat="1"/>
    <row r="1356" s="1" customFormat="1"/>
    <row r="1357" s="1" customFormat="1"/>
    <row r="1358" s="1" customFormat="1"/>
    <row r="1359" s="1" customFormat="1"/>
    <row r="1360" s="1" customFormat="1"/>
    <row r="1361" s="1" customFormat="1"/>
    <row r="1362" s="1" customFormat="1"/>
    <row r="1363" s="1" customFormat="1"/>
    <row r="1364" s="1" customFormat="1"/>
    <row r="1365" s="1" customFormat="1"/>
    <row r="1366" s="1" customFormat="1"/>
    <row r="1367" s="1" customFormat="1"/>
    <row r="1368" s="1" customFormat="1"/>
    <row r="1369" s="1" customFormat="1"/>
    <row r="1370" s="1" customFormat="1"/>
    <row r="1371" s="1" customFormat="1"/>
    <row r="1372" s="1" customFormat="1"/>
    <row r="1373" s="1" customFormat="1"/>
    <row r="1374" s="1" customFormat="1"/>
    <row r="1375" s="1" customFormat="1"/>
    <row r="1376" s="1" customFormat="1"/>
    <row r="1377" s="1" customFormat="1"/>
    <row r="1378" s="1" customFormat="1"/>
    <row r="1379" s="1" customFormat="1"/>
    <row r="1380" s="1" customFormat="1"/>
    <row r="1381" s="1" customFormat="1"/>
    <row r="1382" s="1" customFormat="1"/>
    <row r="1383" s="1" customFormat="1"/>
    <row r="1384" s="1" customFormat="1"/>
    <row r="1385" s="1" customFormat="1"/>
    <row r="1386" s="1" customFormat="1"/>
    <row r="1387" s="1" customFormat="1"/>
    <row r="1388" s="1" customFormat="1"/>
    <row r="1389" s="1" customFormat="1"/>
    <row r="1390" s="1" customFormat="1"/>
    <row r="1391" s="1" customFormat="1"/>
    <row r="1392" s="1" customFormat="1"/>
    <row r="1393" s="1" customFormat="1"/>
    <row r="1394" s="1" customFormat="1"/>
    <row r="1395" s="1" customFormat="1"/>
    <row r="1396" s="1" customFormat="1"/>
    <row r="1397" s="1" customFormat="1"/>
    <row r="1398" s="1" customFormat="1"/>
    <row r="1399" s="1" customFormat="1"/>
    <row r="1400" s="1" customFormat="1"/>
    <row r="1401" s="1" customFormat="1"/>
    <row r="1402" s="1" customFormat="1"/>
    <row r="1403" s="1" customFormat="1"/>
    <row r="1404" s="1" customFormat="1"/>
    <row r="1405" s="1" customFormat="1"/>
    <row r="1406" s="1" customFormat="1"/>
    <row r="1407" s="1" customFormat="1"/>
    <row r="1408" s="1" customFormat="1"/>
    <row r="1409" s="1" customFormat="1"/>
    <row r="1410" s="1" customFormat="1"/>
    <row r="1411" s="1" customFormat="1"/>
    <row r="1412" s="1" customFormat="1"/>
    <row r="1413" s="1" customFormat="1"/>
    <row r="1414" s="1" customFormat="1"/>
    <row r="1415" s="1" customFormat="1"/>
    <row r="1416" s="1" customFormat="1"/>
    <row r="1417" s="1" customFormat="1"/>
    <row r="1418" s="1" customFormat="1"/>
    <row r="1419" s="1" customFormat="1"/>
    <row r="1420" s="1" customFormat="1"/>
    <row r="1421" s="1" customFormat="1"/>
    <row r="1422" s="1" customFormat="1"/>
    <row r="1423" s="1" customFormat="1"/>
    <row r="1424" s="1" customFormat="1"/>
    <row r="1425" s="1" customFormat="1"/>
    <row r="1426" s="1" customFormat="1"/>
    <row r="1427" s="1" customFormat="1"/>
    <row r="1428" s="1" customFormat="1"/>
    <row r="1429" s="1" customFormat="1"/>
    <row r="1430" s="1" customFormat="1"/>
    <row r="1431" s="1" customFormat="1"/>
    <row r="1432" s="1" customFormat="1"/>
    <row r="1433" s="1" customFormat="1"/>
    <row r="1434" s="1" customFormat="1"/>
    <row r="1435" s="1" customFormat="1"/>
    <row r="1436" s="1" customFormat="1"/>
    <row r="1437" s="1" customFormat="1"/>
    <row r="1438" s="1" customFormat="1"/>
    <row r="1439" s="1" customFormat="1"/>
    <row r="1440" s="1" customFormat="1"/>
    <row r="1441" s="1" customFormat="1"/>
    <row r="1442" s="1" customFormat="1"/>
    <row r="1443" s="1" customFormat="1"/>
    <row r="1444" s="1" customFormat="1"/>
    <row r="1445" s="1" customFormat="1"/>
    <row r="1446" s="1" customFormat="1"/>
    <row r="1447" s="1" customFormat="1"/>
    <row r="1448" s="1" customFormat="1"/>
    <row r="1449" s="1" customFormat="1"/>
    <row r="1450" s="1" customFormat="1"/>
    <row r="1451" s="1" customFormat="1"/>
    <row r="1452" s="1" customFormat="1"/>
    <row r="1453" s="1" customFormat="1"/>
    <row r="1454" s="1" customFormat="1"/>
    <row r="1455" s="1" customFormat="1"/>
    <row r="1456" s="1" customFormat="1"/>
    <row r="1457" s="1" customFormat="1"/>
    <row r="1458" s="1" customFormat="1"/>
    <row r="1459" s="1" customFormat="1"/>
    <row r="1460" s="1" customFormat="1"/>
    <row r="1461" s="1" customFormat="1"/>
    <row r="1462" s="1" customFormat="1"/>
    <row r="1463" s="1" customFormat="1"/>
    <row r="1464" s="1" customFormat="1"/>
    <row r="1465" s="1" customFormat="1"/>
    <row r="1466" s="1" customFormat="1"/>
    <row r="1467" s="1" customFormat="1"/>
    <row r="1468" s="1" customFormat="1"/>
    <row r="1469" s="1" customFormat="1"/>
    <row r="1470" s="1" customFormat="1"/>
    <row r="1471" s="1" customFormat="1"/>
    <row r="1472" s="1" customFormat="1"/>
    <row r="1473" s="1" customFormat="1"/>
    <row r="1474" s="1" customFormat="1"/>
    <row r="1475" s="1" customFormat="1"/>
    <row r="1476" s="1" customFormat="1"/>
    <row r="1477" s="1" customFormat="1"/>
    <row r="1478" s="1" customFormat="1"/>
    <row r="1479" s="1" customFormat="1"/>
    <row r="1480" s="1" customFormat="1"/>
    <row r="1481" s="1" customFormat="1"/>
    <row r="1482" s="1" customFormat="1"/>
    <row r="1483" s="1" customFormat="1"/>
    <row r="1484" s="1" customFormat="1"/>
    <row r="1485" s="1" customFormat="1"/>
    <row r="1486" s="1" customFormat="1"/>
    <row r="1487" s="1" customFormat="1"/>
    <row r="1488" s="1" customFormat="1"/>
    <row r="1489" s="1" customFormat="1"/>
    <row r="1490" s="1" customFormat="1"/>
    <row r="1491" s="1" customFormat="1"/>
    <row r="1492" s="1" customFormat="1"/>
    <row r="1493" s="1" customFormat="1"/>
    <row r="1494" s="1" customFormat="1"/>
    <row r="1495" s="1" customFormat="1"/>
    <row r="1496" s="1" customFormat="1"/>
    <row r="1497" s="1" customFormat="1"/>
    <row r="1498" s="1" customFormat="1"/>
    <row r="1499" s="1" customFormat="1"/>
    <row r="1500" s="1" customFormat="1"/>
    <row r="1501" s="1" customFormat="1"/>
    <row r="1502" s="1" customFormat="1"/>
    <row r="1503" s="1" customFormat="1"/>
    <row r="1504" s="1" customFormat="1"/>
    <row r="1505" s="1" customFormat="1"/>
    <row r="1506" s="1" customFormat="1"/>
    <row r="1507" s="1" customFormat="1"/>
    <row r="1508" s="1" customFormat="1"/>
    <row r="1509" s="1" customFormat="1"/>
    <row r="1510" s="1" customFormat="1"/>
    <row r="1511" s="1" customFormat="1"/>
    <row r="1512" s="1" customFormat="1"/>
    <row r="1513" s="1" customFormat="1"/>
    <row r="1514" s="1" customFormat="1"/>
    <row r="1515" s="1" customFormat="1"/>
    <row r="1516" s="1" customFormat="1"/>
    <row r="1517" s="1" customFormat="1"/>
    <row r="1518" s="1" customFormat="1"/>
    <row r="1519" s="1" customFormat="1"/>
    <row r="1520" s="1" customFormat="1"/>
    <row r="1521" s="1" customFormat="1"/>
    <row r="1522" s="1" customFormat="1"/>
    <row r="1523" s="1" customFormat="1"/>
    <row r="1524" s="1" customFormat="1"/>
    <row r="1525" s="1" customFormat="1"/>
    <row r="1526" s="1" customFormat="1"/>
    <row r="1527" s="1" customFormat="1"/>
    <row r="1528" s="1" customFormat="1"/>
    <row r="1529" s="1" customFormat="1"/>
    <row r="1530" s="1" customFormat="1"/>
    <row r="1531" s="1" customFormat="1"/>
    <row r="1532" s="1" customFormat="1"/>
    <row r="1533" s="1" customFormat="1"/>
    <row r="1534" s="1" customFormat="1"/>
    <row r="1535" s="1" customFormat="1"/>
    <row r="1536" s="1" customFormat="1"/>
    <row r="1537" s="1" customFormat="1"/>
    <row r="1538" s="1" customFormat="1"/>
    <row r="1539" s="1" customFormat="1"/>
    <row r="1540" s="1" customFormat="1"/>
    <row r="1541" s="1" customFormat="1"/>
    <row r="1542" s="1" customFormat="1"/>
    <row r="1543" s="1" customFormat="1"/>
    <row r="1544" s="1" customFormat="1"/>
    <row r="1545" s="1" customFormat="1"/>
    <row r="1546" s="1" customFormat="1"/>
    <row r="1547" s="1" customFormat="1"/>
    <row r="1548" s="1" customFormat="1"/>
    <row r="1549" s="1" customFormat="1"/>
    <row r="1550" s="1" customFormat="1"/>
    <row r="1551" s="1" customFormat="1"/>
    <row r="1552" s="1" customFormat="1"/>
    <row r="1553" s="1" customFormat="1"/>
    <row r="1554" s="1" customFormat="1"/>
    <row r="1555" s="1" customFormat="1"/>
    <row r="1556" s="1" customFormat="1"/>
    <row r="1557" s="1" customFormat="1"/>
    <row r="1558" s="1" customFormat="1"/>
    <row r="1559" s="1" customFormat="1"/>
    <row r="1560" s="1" customFormat="1"/>
    <row r="1561" s="1" customFormat="1"/>
    <row r="1562" s="1" customFormat="1"/>
    <row r="1563" s="1" customFormat="1"/>
    <row r="1564" s="1" customFormat="1"/>
    <row r="1565" s="1" customFormat="1"/>
    <row r="1566" s="1" customFormat="1"/>
    <row r="1567" s="1" customFormat="1"/>
    <row r="1568" s="1" customFormat="1"/>
    <row r="1569" s="1" customFormat="1"/>
    <row r="1570" s="1" customFormat="1"/>
    <row r="1571" s="1" customFormat="1"/>
    <row r="1572" s="1" customFormat="1"/>
    <row r="1573" s="1" customFormat="1"/>
    <row r="1574" s="1" customFormat="1"/>
    <row r="1575" s="1" customFormat="1"/>
    <row r="1576" s="1" customFormat="1"/>
    <row r="1577" s="1" customFormat="1"/>
    <row r="1578" s="1" customFormat="1"/>
    <row r="1579" s="1" customFormat="1"/>
    <row r="1580" s="1" customFormat="1"/>
    <row r="1581" s="1" customFormat="1"/>
    <row r="1582" s="1" customFormat="1"/>
    <row r="1583" s="1" customFormat="1"/>
    <row r="1584" s="1" customFormat="1"/>
    <row r="1585" s="1" customFormat="1"/>
    <row r="1586" s="1" customFormat="1"/>
    <row r="1587" s="1" customFormat="1"/>
    <row r="1588" s="1" customFormat="1"/>
    <row r="1589" s="1" customFormat="1"/>
    <row r="1590" s="1" customFormat="1"/>
    <row r="1591" s="1" customFormat="1"/>
    <row r="1592" s="1" customFormat="1"/>
    <row r="1593" s="1" customFormat="1"/>
    <row r="1594" s="1" customFormat="1"/>
    <row r="1595" s="1" customFormat="1"/>
    <row r="1596" s="1" customFormat="1"/>
    <row r="1597" s="1" customFormat="1"/>
    <row r="1598" s="1" customFormat="1"/>
    <row r="1599" s="1" customFormat="1"/>
    <row r="1600" s="1" customFormat="1"/>
    <row r="1601" s="1" customFormat="1"/>
    <row r="1602" s="1" customFormat="1"/>
    <row r="1603" s="1" customFormat="1"/>
    <row r="1604" s="1" customFormat="1"/>
    <row r="1605" s="1" customFormat="1"/>
    <row r="1606" s="1" customFormat="1"/>
    <row r="1607" s="1" customFormat="1"/>
    <row r="1608" s="1" customFormat="1"/>
    <row r="1609" s="1" customFormat="1"/>
    <row r="1610" s="1" customFormat="1"/>
    <row r="1611" s="1" customFormat="1"/>
    <row r="1612" s="1" customFormat="1"/>
    <row r="1613" s="1" customFormat="1"/>
    <row r="1614" s="1" customFormat="1"/>
    <row r="1615" s="1" customFormat="1"/>
    <row r="1616" s="1" customFormat="1"/>
    <row r="1617" s="1" customFormat="1"/>
    <row r="1618" s="1" customFormat="1"/>
    <row r="1619" s="1" customFormat="1"/>
    <row r="1620" s="1" customFormat="1"/>
    <row r="1621" s="1" customFormat="1"/>
    <row r="1622" s="1" customFormat="1"/>
    <row r="1623" s="1" customFormat="1"/>
    <row r="1624" s="1" customFormat="1"/>
    <row r="1625" s="1" customFormat="1"/>
    <row r="1626" s="1" customFormat="1"/>
    <row r="1627" s="1" customFormat="1"/>
    <row r="1628" s="1" customFormat="1"/>
    <row r="1629" s="1" customFormat="1"/>
    <row r="1630" s="1" customFormat="1"/>
    <row r="1631" s="1" customFormat="1"/>
    <row r="1632" s="1" customFormat="1"/>
    <row r="1633" s="1" customFormat="1"/>
    <row r="1634" s="1" customFormat="1"/>
    <row r="1635" s="1" customFormat="1"/>
    <row r="1636" s="1" customFormat="1"/>
    <row r="1637" s="1" customFormat="1"/>
    <row r="1638" s="1" customFormat="1"/>
    <row r="1639" s="1" customFormat="1"/>
    <row r="1640" s="1" customFormat="1"/>
    <row r="1641" s="1" customFormat="1"/>
    <row r="1642" s="1" customFormat="1"/>
    <row r="1643" s="1" customFormat="1"/>
    <row r="1644" s="1" customFormat="1"/>
    <row r="1645" s="1" customFormat="1"/>
    <row r="1646" s="1" customFormat="1"/>
    <row r="1647" s="1" customFormat="1"/>
    <row r="1648" s="1" customFormat="1"/>
    <row r="1649" s="1" customFormat="1"/>
    <row r="1650" s="1" customFormat="1"/>
    <row r="1651" s="1" customFormat="1"/>
    <row r="1652" s="1" customFormat="1"/>
    <row r="1653" s="1" customFormat="1"/>
    <row r="1654" s="1" customFormat="1"/>
    <row r="1655" s="1" customFormat="1"/>
    <row r="1656" s="1" customFormat="1"/>
    <row r="1657" s="1" customFormat="1"/>
    <row r="1658" s="1" customFormat="1"/>
    <row r="1659" s="1" customFormat="1"/>
    <row r="1660" s="1" customFormat="1"/>
    <row r="1661" s="1" customFormat="1"/>
    <row r="1662" s="1" customFormat="1"/>
    <row r="1663" s="1" customFormat="1"/>
    <row r="1664" s="1" customFormat="1"/>
    <row r="1665" s="1" customFormat="1"/>
    <row r="1666" s="1" customFormat="1"/>
    <row r="1667" s="1" customFormat="1"/>
    <row r="1668" s="1" customFormat="1"/>
    <row r="1669" s="1" customFormat="1"/>
    <row r="1670" s="1" customFormat="1"/>
    <row r="1671" s="1" customFormat="1"/>
    <row r="1672" s="1" customFormat="1"/>
    <row r="1673" s="1" customFormat="1"/>
    <row r="1674" s="1" customFormat="1"/>
    <row r="1675" s="1" customFormat="1"/>
    <row r="1676" s="1" customFormat="1"/>
    <row r="1677" s="1" customFormat="1"/>
    <row r="1678" s="1" customFormat="1"/>
    <row r="1679" s="1" customFormat="1"/>
    <row r="1680" s="1" customFormat="1"/>
    <row r="1681" s="1" customFormat="1"/>
    <row r="1682" s="1" customFormat="1"/>
    <row r="1683" s="1" customFormat="1"/>
    <row r="1684" s="1" customFormat="1"/>
    <row r="1685" s="1" customFormat="1"/>
    <row r="1686" s="1" customFormat="1"/>
    <row r="1687" s="1" customFormat="1"/>
    <row r="1688" s="1" customFormat="1"/>
    <row r="1689" s="1" customFormat="1"/>
    <row r="1690" s="1" customFormat="1"/>
    <row r="1691" s="1" customFormat="1"/>
    <row r="1692" s="1" customFormat="1"/>
    <row r="1693" s="1" customFormat="1"/>
    <row r="1694" s="1" customFormat="1"/>
    <row r="1695" s="1" customFormat="1"/>
    <row r="1696" s="1" customFormat="1"/>
    <row r="1697" s="1" customFormat="1"/>
    <row r="1698" s="1" customFormat="1"/>
    <row r="1699" s="1" customFormat="1"/>
    <row r="1700" s="1" customFormat="1"/>
    <row r="1701" s="1" customFormat="1"/>
    <row r="1702" s="1" customFormat="1"/>
    <row r="1703" s="1" customFormat="1"/>
    <row r="1704" s="1" customFormat="1"/>
    <row r="1705" s="1" customFormat="1"/>
    <row r="1706" s="1" customFormat="1"/>
    <row r="1707" s="1" customFormat="1"/>
    <row r="1708" s="1" customFormat="1"/>
    <row r="1709" s="1" customFormat="1"/>
    <row r="1710" s="1" customFormat="1"/>
    <row r="1711" s="1" customFormat="1"/>
    <row r="1712" s="1" customFormat="1"/>
    <row r="1713" s="1" customFormat="1"/>
    <row r="1714" s="1" customFormat="1"/>
    <row r="1715" s="1" customFormat="1"/>
    <row r="1716" s="1" customFormat="1"/>
    <row r="1717" s="1" customFormat="1"/>
    <row r="1718" s="1" customFormat="1"/>
    <row r="1719" s="1" customFormat="1"/>
    <row r="1720" s="1" customFormat="1"/>
    <row r="1721" s="1" customFormat="1"/>
    <row r="1722" s="1" customFormat="1"/>
    <row r="1723" s="1" customFormat="1"/>
    <row r="1724" s="1" customFormat="1"/>
    <row r="1725" s="1" customFormat="1"/>
    <row r="1726" s="1" customFormat="1"/>
    <row r="1727" s="1" customFormat="1"/>
    <row r="1728" s="1" customFormat="1"/>
    <row r="1729" s="1" customFormat="1"/>
    <row r="1730" s="1" customFormat="1"/>
    <row r="1731" s="1" customFormat="1"/>
    <row r="1732" s="1" customFormat="1"/>
    <row r="1733" s="1" customFormat="1"/>
    <row r="1734" s="1" customFormat="1"/>
    <row r="1735" s="1" customFormat="1"/>
    <row r="1736" s="1" customFormat="1"/>
    <row r="1737" s="1" customFormat="1"/>
    <row r="1738" s="1" customFormat="1"/>
    <row r="1739" s="1" customFormat="1"/>
    <row r="1740" s="1" customFormat="1"/>
    <row r="1741" s="1" customFormat="1"/>
    <row r="1742" s="1" customFormat="1"/>
    <row r="1743" s="1" customFormat="1"/>
    <row r="1744" s="1" customFormat="1"/>
    <row r="1745" s="1" customFormat="1"/>
    <row r="1746" s="1" customFormat="1"/>
    <row r="1747" s="1" customFormat="1"/>
    <row r="1748" s="1" customFormat="1"/>
    <row r="1749" s="1" customFormat="1"/>
    <row r="1750" s="1" customFormat="1"/>
    <row r="1751" s="1" customFormat="1"/>
    <row r="1752" s="1" customFormat="1"/>
    <row r="1753" s="1" customFormat="1"/>
    <row r="1754" s="1" customFormat="1"/>
    <row r="1755" s="1" customFormat="1"/>
    <row r="1756" s="1" customFormat="1"/>
    <row r="1757" s="1" customFormat="1"/>
    <row r="1758" s="1" customFormat="1"/>
    <row r="1759" s="1" customFormat="1"/>
    <row r="1760" s="1" customFormat="1"/>
    <row r="1761" s="1" customFormat="1"/>
    <row r="1762" s="1" customFormat="1"/>
    <row r="1763" s="1" customFormat="1"/>
    <row r="1764" s="1" customFormat="1"/>
    <row r="1765" s="1" customFormat="1"/>
    <row r="1766" s="1" customFormat="1"/>
    <row r="1767" s="1" customFormat="1"/>
    <row r="1768" s="1" customFormat="1"/>
    <row r="1769" s="1" customFormat="1"/>
    <row r="1770" s="1" customFormat="1"/>
    <row r="1771" s="1" customFormat="1"/>
    <row r="1772" s="1" customFormat="1"/>
    <row r="1773" s="1" customFormat="1"/>
    <row r="1774" s="1" customFormat="1"/>
    <row r="1775" s="1" customFormat="1"/>
    <row r="1776" s="1" customFormat="1"/>
    <row r="1777" s="1" customFormat="1"/>
    <row r="1778" s="1" customFormat="1"/>
    <row r="1779" s="1" customFormat="1"/>
    <row r="1780" s="1" customFormat="1"/>
    <row r="1781" s="1" customFormat="1"/>
    <row r="1782" s="1" customFormat="1"/>
    <row r="1783" s="1" customFormat="1"/>
    <row r="1784" s="1" customFormat="1"/>
    <row r="1785" s="1" customFormat="1"/>
    <row r="1786" s="1" customFormat="1"/>
    <row r="1787" s="1" customFormat="1"/>
    <row r="1788" s="1" customFormat="1"/>
    <row r="1789" s="1" customFormat="1"/>
    <row r="1790" s="1" customFormat="1"/>
    <row r="1791" s="1" customFormat="1"/>
    <row r="1792" s="1" customFormat="1"/>
    <row r="1793" s="1" customFormat="1"/>
    <row r="1794" s="1" customFormat="1"/>
    <row r="1795" s="1" customFormat="1"/>
    <row r="1796" s="1" customFormat="1"/>
    <row r="1797" s="1" customFormat="1"/>
    <row r="1798" s="1" customFormat="1"/>
    <row r="1799" s="1" customFormat="1"/>
    <row r="1800" s="1" customFormat="1"/>
    <row r="1801" s="1" customFormat="1"/>
    <row r="1802" s="1" customFormat="1"/>
    <row r="1803" s="1" customFormat="1"/>
    <row r="1804" s="1" customFormat="1"/>
    <row r="1805" s="1" customFormat="1"/>
    <row r="1806" s="1" customFormat="1"/>
    <row r="1807" s="1" customFormat="1"/>
    <row r="1808" s="1" customFormat="1"/>
    <row r="1809" s="1" customFormat="1"/>
    <row r="1810" s="1" customFormat="1"/>
    <row r="1811" s="1" customFormat="1"/>
    <row r="1812" s="1" customFormat="1"/>
    <row r="1813" s="1" customFormat="1"/>
    <row r="1814" s="1" customFormat="1"/>
    <row r="1815" s="1" customFormat="1"/>
    <row r="1816" s="1" customFormat="1"/>
    <row r="1817" s="1" customFormat="1"/>
    <row r="1818" s="1" customFormat="1"/>
    <row r="1819" s="1" customFormat="1"/>
    <row r="1820" s="1" customFormat="1"/>
    <row r="1821" s="1" customFormat="1"/>
    <row r="1822" s="1" customFormat="1"/>
    <row r="1823" s="1" customFormat="1"/>
    <row r="1824" s="1" customFormat="1"/>
    <row r="1825" s="1" customFormat="1"/>
    <row r="1826" s="1" customFormat="1"/>
    <row r="1827" s="1" customFormat="1"/>
    <row r="1828" s="1" customFormat="1"/>
    <row r="1829" s="1" customFormat="1"/>
    <row r="1830" s="1" customFormat="1"/>
    <row r="1831" s="1" customFormat="1"/>
    <row r="1832" s="1" customFormat="1"/>
    <row r="1833" s="1" customFormat="1"/>
    <row r="1834" s="1" customFormat="1"/>
    <row r="1835" s="1" customFormat="1"/>
    <row r="1836" s="1" customFormat="1"/>
    <row r="1837" s="1" customFormat="1"/>
    <row r="1838" s="1" customFormat="1"/>
    <row r="1839" s="1" customFormat="1"/>
    <row r="1840" s="1" customFormat="1"/>
    <row r="1841" s="1" customFormat="1"/>
    <row r="1842" s="1" customFormat="1"/>
    <row r="1843" s="1" customFormat="1"/>
    <row r="1844" s="1" customFormat="1"/>
    <row r="1845" s="1" customFormat="1"/>
    <row r="1846" s="1" customFormat="1"/>
    <row r="1847" s="1" customFormat="1"/>
    <row r="1848" s="1" customFormat="1"/>
    <row r="1849" s="1" customFormat="1"/>
    <row r="1850" s="1" customFormat="1"/>
    <row r="1851" s="1" customFormat="1"/>
    <row r="1852" s="1" customFormat="1"/>
    <row r="1853" s="1" customFormat="1"/>
    <row r="1854" s="1" customFormat="1"/>
    <row r="1855" s="1" customFormat="1"/>
    <row r="1856" s="1" customFormat="1"/>
    <row r="1857" s="1" customFormat="1"/>
    <row r="1858" s="1" customFormat="1"/>
    <row r="1859" s="1" customFormat="1"/>
    <row r="1860" s="1" customFormat="1"/>
    <row r="1861" s="1" customFormat="1"/>
    <row r="1862" s="1" customFormat="1"/>
    <row r="1863" s="1" customFormat="1"/>
    <row r="1864" s="1" customFormat="1"/>
    <row r="1865" s="1" customFormat="1"/>
    <row r="1866" s="1" customFormat="1"/>
    <row r="1867" s="1" customFormat="1"/>
    <row r="1868" s="1" customFormat="1"/>
    <row r="1869" s="1" customFormat="1"/>
    <row r="1870" s="1" customFormat="1"/>
    <row r="1871" s="1" customFormat="1"/>
    <row r="1872" s="1" customFormat="1"/>
    <row r="1873" s="1" customFormat="1"/>
    <row r="1874" s="1" customFormat="1"/>
    <row r="1875" s="1" customFormat="1"/>
    <row r="1876" s="1" customFormat="1"/>
    <row r="1877" s="1" customFormat="1"/>
    <row r="1878" s="1" customFormat="1"/>
    <row r="1879" s="1" customFormat="1"/>
    <row r="1880" s="1" customFormat="1"/>
    <row r="1881" s="1" customFormat="1"/>
    <row r="1882" s="1" customFormat="1"/>
    <row r="1883" s="1" customFormat="1"/>
    <row r="1884" s="1" customFormat="1"/>
    <row r="1885" s="1" customFormat="1"/>
    <row r="1886" s="1" customFormat="1"/>
    <row r="1887" s="1" customFormat="1"/>
    <row r="1888" s="1" customFormat="1"/>
    <row r="1889" s="1" customFormat="1"/>
    <row r="1890" s="1" customFormat="1"/>
    <row r="1891" s="1" customFormat="1"/>
    <row r="1892" s="1" customFormat="1"/>
    <row r="1893" s="1" customFormat="1"/>
    <row r="1894" s="1" customFormat="1"/>
    <row r="1895" s="1" customFormat="1"/>
    <row r="1896" s="1" customFormat="1"/>
    <row r="1897" s="1" customFormat="1"/>
    <row r="1898" s="1" customFormat="1"/>
    <row r="1899" s="1" customFormat="1"/>
    <row r="1900" s="1" customFormat="1"/>
    <row r="1901" s="1" customFormat="1"/>
    <row r="1902" s="1" customFormat="1"/>
    <row r="1903" s="1" customFormat="1"/>
    <row r="1904" s="1" customFormat="1"/>
    <row r="1905" s="1" customFormat="1"/>
    <row r="1906" s="1" customFormat="1"/>
    <row r="1907" s="1" customFormat="1"/>
    <row r="1908" s="1" customFormat="1"/>
    <row r="1909" s="1" customFormat="1"/>
    <row r="1910" s="1" customFormat="1"/>
    <row r="1911" s="1" customFormat="1"/>
    <row r="1912" s="1" customFormat="1"/>
    <row r="1913" s="1" customFormat="1"/>
    <row r="1914" s="1" customFormat="1"/>
    <row r="1915" s="1" customFormat="1"/>
    <row r="1916" s="1" customFormat="1"/>
    <row r="1917" s="1" customFormat="1"/>
    <row r="1918" s="1" customFormat="1"/>
    <row r="1919" s="1" customFormat="1"/>
    <row r="1920" s="1" customFormat="1"/>
    <row r="1921" s="1" customFormat="1"/>
    <row r="1922" s="1" customFormat="1"/>
    <row r="1923" s="1" customFormat="1"/>
    <row r="1924" s="1" customFormat="1"/>
    <row r="1925" s="1" customFormat="1"/>
    <row r="1926" s="1" customFormat="1"/>
    <row r="1927" s="1" customFormat="1"/>
    <row r="1928" s="1" customFormat="1"/>
    <row r="1929" s="1" customFormat="1"/>
    <row r="1930" s="1" customFormat="1"/>
    <row r="1931" s="1" customFormat="1"/>
    <row r="1932" s="1" customFormat="1"/>
    <row r="1933" s="1" customFormat="1"/>
    <row r="1934" s="1" customFormat="1"/>
    <row r="1935" s="1" customFormat="1"/>
    <row r="1936" s="1" customFormat="1"/>
    <row r="1937" s="1" customFormat="1"/>
    <row r="1938" s="1" customFormat="1"/>
    <row r="1939" s="1" customFormat="1"/>
    <row r="1940" s="1" customFormat="1"/>
    <row r="1941" s="1" customFormat="1"/>
    <row r="1942" s="1" customFormat="1"/>
    <row r="1943" s="1" customFormat="1"/>
    <row r="1944" s="1" customFormat="1"/>
    <row r="1945" s="1" customFormat="1"/>
    <row r="1946" s="1" customFormat="1"/>
    <row r="1947" s="1" customFormat="1"/>
    <row r="1948" s="1" customFormat="1"/>
    <row r="1949" s="1" customFormat="1"/>
    <row r="1950" s="1" customFormat="1"/>
    <row r="1951" s="1" customFormat="1"/>
    <row r="1952" s="1" customFormat="1"/>
    <row r="1953" s="1" customFormat="1"/>
    <row r="1954" s="1" customFormat="1"/>
    <row r="1955" s="1" customFormat="1"/>
    <row r="1956" s="1" customFormat="1"/>
    <row r="1957" s="1" customFormat="1"/>
    <row r="1958" s="1" customFormat="1"/>
    <row r="1959" s="1" customFormat="1"/>
    <row r="1960" s="1" customFormat="1"/>
    <row r="1961" s="1" customFormat="1"/>
    <row r="1962" s="1" customFormat="1"/>
    <row r="1963" s="1" customFormat="1"/>
    <row r="1964" s="1" customFormat="1"/>
    <row r="1965" s="1" customFormat="1"/>
    <row r="1966" s="1" customFormat="1"/>
    <row r="1967" s="1" customFormat="1"/>
    <row r="1968" s="1" customFormat="1"/>
    <row r="1969" s="1" customFormat="1"/>
    <row r="1970" s="1" customFormat="1"/>
    <row r="1971" s="1" customFormat="1"/>
    <row r="1972" s="1" customFormat="1"/>
    <row r="1973" s="1" customFormat="1"/>
    <row r="1974" s="1" customFormat="1"/>
    <row r="1975" s="1" customFormat="1"/>
    <row r="1976" s="1" customFormat="1"/>
    <row r="1977" s="1" customFormat="1"/>
    <row r="1978" s="1" customFormat="1"/>
    <row r="1979" s="1" customFormat="1"/>
    <row r="1980" s="1" customFormat="1"/>
    <row r="1981" s="1" customFormat="1"/>
    <row r="1982" s="1" customFormat="1"/>
    <row r="1983" s="1" customFormat="1"/>
    <row r="1984" s="1" customFormat="1"/>
    <row r="1985" s="1" customFormat="1"/>
    <row r="1986" s="1" customFormat="1"/>
    <row r="1987" s="1" customFormat="1"/>
    <row r="1988" s="1" customFormat="1"/>
    <row r="1989" s="1" customFormat="1"/>
    <row r="1990" s="1" customFormat="1"/>
    <row r="1991" s="1" customFormat="1"/>
    <row r="1992" s="1" customFormat="1"/>
    <row r="1993" s="1" customFormat="1"/>
    <row r="1994" s="1" customFormat="1"/>
    <row r="1995" s="1" customFormat="1"/>
    <row r="1996" s="1" customFormat="1"/>
    <row r="1997" s="1" customFormat="1"/>
    <row r="1998" s="1" customFormat="1"/>
    <row r="1999" s="1" customFormat="1"/>
    <row r="2000" s="1" customFormat="1"/>
  </sheetData>
  <conditionalFormatting sqref="C2:ZZ1000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N2000"/>
  <sheetViews>
    <sheetView workbookViewId="0"/>
  </sheetViews>
  <sheetFormatPr defaultRowHeight="15"/>
  <sheetData>
    <row r="1" spans="1:40" s="1" customFormat="1">
      <c r="A1" s="2" t="s">
        <v>15</v>
      </c>
      <c r="B1" s="2" t="s">
        <v>16</v>
      </c>
      <c r="C1" s="2" t="s">
        <v>28</v>
      </c>
      <c r="D1" s="2" t="s">
        <v>32</v>
      </c>
      <c r="E1" s="2" t="s">
        <v>36</v>
      </c>
      <c r="F1" s="2" t="s">
        <v>40</v>
      </c>
      <c r="G1" s="2" t="s">
        <v>44</v>
      </c>
      <c r="H1" s="2" t="s">
        <v>97</v>
      </c>
      <c r="I1" s="2" t="s">
        <v>98</v>
      </c>
      <c r="J1" s="2" t="s">
        <v>99</v>
      </c>
      <c r="K1" s="2" t="s">
        <v>100</v>
      </c>
      <c r="L1" s="2" t="s">
        <v>101</v>
      </c>
      <c r="M1" s="2" t="s">
        <v>102</v>
      </c>
      <c r="N1" s="2" t="s">
        <v>103</v>
      </c>
      <c r="O1" s="2" t="s">
        <v>104</v>
      </c>
      <c r="P1" s="2" t="s">
        <v>105</v>
      </c>
      <c r="Q1" s="2" t="s">
        <v>106</v>
      </c>
      <c r="R1" s="2" t="s">
        <v>107</v>
      </c>
      <c r="S1" s="2" t="s">
        <v>108</v>
      </c>
      <c r="T1" s="2" t="s">
        <v>109</v>
      </c>
      <c r="U1" s="2" t="s">
        <v>110</v>
      </c>
      <c r="V1" s="2" t="s">
        <v>111</v>
      </c>
      <c r="W1" s="2" t="s">
        <v>112</v>
      </c>
      <c r="X1" s="2" t="s">
        <v>113</v>
      </c>
      <c r="Y1" s="2" t="s">
        <v>114</v>
      </c>
      <c r="Z1" s="2" t="s">
        <v>115</v>
      </c>
      <c r="AA1" s="2" t="s">
        <v>116</v>
      </c>
      <c r="AB1" s="2" t="s">
        <v>117</v>
      </c>
      <c r="AC1" s="2" t="s">
        <v>118</v>
      </c>
      <c r="AD1" s="2" t="s">
        <v>119</v>
      </c>
      <c r="AE1" s="2" t="s">
        <v>120</v>
      </c>
      <c r="AF1" s="2" t="s">
        <v>121</v>
      </c>
      <c r="AG1" s="2" t="s">
        <v>122</v>
      </c>
      <c r="AH1" s="2" t="s">
        <v>123</v>
      </c>
      <c r="AI1" s="2" t="s">
        <v>124</v>
      </c>
      <c r="AJ1" s="2" t="s">
        <v>125</v>
      </c>
      <c r="AK1" s="2" t="s">
        <v>126</v>
      </c>
      <c r="AL1" s="2" t="s">
        <v>127</v>
      </c>
      <c r="AM1" s="2" t="s">
        <v>128</v>
      </c>
      <c r="AN1" s="2" t="s">
        <v>129</v>
      </c>
    </row>
    <row r="2" spans="1:40" s="1" customFormat="1">
      <c r="A2" s="3">
        <v>45292</v>
      </c>
      <c r="B2" s="2" t="s">
        <v>22</v>
      </c>
      <c r="C2" s="1">
        <f>SUM(PL!H2:J2)</f>
        <v>0</v>
      </c>
      <c r="D2" s="1">
        <f>SUM(PL!K2:M2)</f>
        <v>0</v>
      </c>
      <c r="E2" s="1">
        <f>SUM(PL!N2:P2)</f>
        <v>0</v>
      </c>
      <c r="F2" s="1">
        <f>SUM(PL!Q2:S2)</f>
        <v>0</v>
      </c>
      <c r="G2" s="1">
        <f>SUM(PL!T2:V2)</f>
        <v>0</v>
      </c>
      <c r="H2" s="1">
        <f>SUM(C2:G2)</f>
        <v>0</v>
      </c>
      <c r="I2" s="1">
        <f>IF(C2 &lt; 0, C2, 0)</f>
        <v>0</v>
      </c>
      <c r="J2" s="1">
        <f>IF(D2 &lt; 0, D2, 0)</f>
        <v>0</v>
      </c>
      <c r="K2" s="1">
        <f>IF(E2 &lt; 0, E2, 0)</f>
        <v>0</v>
      </c>
      <c r="L2" s="1">
        <f>IF(F2 &lt; 0, F2, 0)</f>
        <v>0</v>
      </c>
      <c r="M2" s="1">
        <f>IF(G2 &lt; 0, G2, 0)</f>
        <v>0</v>
      </c>
      <c r="N2" s="1">
        <f>IF(H2 &lt; 0, H2, 0)</f>
        <v>0</v>
      </c>
      <c r="O2" s="1">
        <f>IF(N2 &lt; 0, 1, 0)</f>
        <v>0</v>
      </c>
      <c r="P2" s="1">
        <f>C2-((ABS(SUM(PL!H2:J2)))*0.125)</f>
        <v>0</v>
      </c>
      <c r="Q2" s="1">
        <f>D2-((ABS(SUM(PL!K2:M2)))*0.125)</f>
        <v>0</v>
      </c>
      <c r="R2" s="1">
        <f>E2-((ABS(SUM(PL!N2:P2)))*0.125)</f>
        <v>0</v>
      </c>
      <c r="S2" s="1">
        <f>F2-((ABS(SUM(PL!Q2:S2)))*0.125)</f>
        <v>0</v>
      </c>
      <c r="T2" s="1">
        <f>G2-((ABS(SUM(PL!T2:V2)))*0.125)</f>
        <v>0</v>
      </c>
      <c r="U2" s="1">
        <f>P2 + Q2 + R2 + S2 + T2</f>
        <v>0</v>
      </c>
      <c r="V2" s="1">
        <f>IF(P2 &lt; 0, P2, 0)</f>
        <v>0</v>
      </c>
      <c r="W2" s="1">
        <f>IF(Q2 &lt; 0, Q2, 0)</f>
        <v>0</v>
      </c>
      <c r="X2" s="1">
        <f>IF(R2 &lt; 0, R2, 0)</f>
        <v>0</v>
      </c>
      <c r="Y2" s="1">
        <f>IF(S2 &lt; 0, S2, 0)</f>
        <v>0</v>
      </c>
      <c r="Z2" s="1">
        <f>IF(T2 &lt; 0, T2, 0)</f>
        <v>0</v>
      </c>
      <c r="AA2" s="1">
        <f>IF(U2 &lt; 0, U2, 0)</f>
        <v>0</v>
      </c>
      <c r="AB2" s="1">
        <f>IF(AA2 &lt; 0, 1, 0)</f>
        <v>0</v>
      </c>
      <c r="AC2" s="1">
        <f>IF(H2&lt;0,1,0)</f>
        <v>0</v>
      </c>
      <c r="AD2" s="1">
        <f>IF(AC2=1,H2,0)</f>
        <v>0</v>
      </c>
      <c r="AE2" s="1">
        <f>IF(H2&gt;0,1,0)</f>
        <v>0</v>
      </c>
      <c r="AF2" s="1">
        <f>IF(AE2=1,H2,0)</f>
        <v>0</v>
      </c>
      <c r="AG2" s="1">
        <f>IF(AD2&lt;-20000000.0/100,1,0)</f>
        <v>0</v>
      </c>
      <c r="AH2" s="1">
        <f>IF(AF2&gt;20000000.0/100,1,0)</f>
        <v>0</v>
      </c>
      <c r="AI2" s="1">
        <f>IF(U2&lt;0,1,0)</f>
        <v>0</v>
      </c>
      <c r="AJ2" s="1">
        <f>IF(AI2=1,U2,0)</f>
        <v>0</v>
      </c>
      <c r="AK2" s="1">
        <f>IF(U2&gt;0,1,0)</f>
        <v>0</v>
      </c>
      <c r="AL2" s="1">
        <f>IF(AK2=1,U2,0)</f>
        <v>0</v>
      </c>
      <c r="AM2" s="1">
        <f>IF(AJ2&lt;-20000000.0/100,1,0)</f>
        <v>0</v>
      </c>
      <c r="AN2" s="1">
        <f>IF(AL2&gt;20000000.0/100,1,0)</f>
        <v>0</v>
      </c>
    </row>
    <row r="3" spans="1:40" s="1" customFormat="1">
      <c r="A3" s="3">
        <v>45293</v>
      </c>
      <c r="B3" s="2" t="s">
        <v>23</v>
      </c>
      <c r="C3" s="1">
        <f>SUM(PL!H3:J3)</f>
        <v>0</v>
      </c>
      <c r="D3" s="1">
        <f>SUM(PL!K3:M3)</f>
        <v>0</v>
      </c>
      <c r="E3" s="1">
        <f>SUM(PL!N3:P3)</f>
        <v>0</v>
      </c>
      <c r="F3" s="1">
        <f>SUM(PL!Q3:S3)</f>
        <v>0</v>
      </c>
      <c r="G3" s="1">
        <f>SUM(PL!T3:V3)</f>
        <v>0</v>
      </c>
      <c r="H3" s="1">
        <f>SUM(C3:G3)</f>
        <v>0</v>
      </c>
      <c r="I3" s="1">
        <f>IF(C3 + I2 &lt; 0, C3 + I2, 0)</f>
        <v>0</v>
      </c>
      <c r="J3" s="1">
        <f>IF(D3 + J2 &lt; 0, D3 + J2, 0)</f>
        <v>0</v>
      </c>
      <c r="K3" s="1">
        <f>IF(E3 + K2 &lt; 0, E3 + K2, 0)</f>
        <v>0</v>
      </c>
      <c r="L3" s="1">
        <f>IF(F3 + L2 &lt; 0, F3 + L2, 0)</f>
        <v>0</v>
      </c>
      <c r="M3" s="1">
        <f>IF(G3 + M2 &lt; 0, G3 + M2, 0)</f>
        <v>0</v>
      </c>
      <c r="N3" s="1">
        <f>IF(H3 + N2 &lt; 0, H3 + N2, 0)</f>
        <v>0</v>
      </c>
      <c r="O3" s="1">
        <f>IF(N3 &lt; 0, 1 + O2, 0)</f>
        <v>0</v>
      </c>
      <c r="P3" s="1">
        <f>C3-((ABS(SUM(PL!H3:J3)))*0.125)</f>
        <v>0</v>
      </c>
      <c r="Q3" s="1">
        <f>D3-((ABS(SUM(PL!K3:M3)))*0.125)</f>
        <v>0</v>
      </c>
      <c r="R3" s="1">
        <f>E3-((ABS(SUM(PL!N3:P3)))*0.125)</f>
        <v>0</v>
      </c>
      <c r="S3" s="1">
        <f>F3-((ABS(SUM(PL!Q3:S3)))*0.125)</f>
        <v>0</v>
      </c>
      <c r="T3" s="1">
        <f>G3-((ABS(SUM(PL!T3:V3)))*0.125)</f>
        <v>0</v>
      </c>
      <c r="U3" s="1">
        <f>P3 + Q3 + R3 + S3 + T3</f>
        <v>0</v>
      </c>
      <c r="V3" s="1">
        <f>IF(P3 + V2 &lt; 0, P3 + V2, 0)</f>
        <v>0</v>
      </c>
      <c r="W3" s="1">
        <f>IF(Q3 + W2 &lt; 0, Q3 + W2, 0)</f>
        <v>0</v>
      </c>
      <c r="X3" s="1">
        <f>IF(R3 + X2 &lt; 0, R3 + X2, 0)</f>
        <v>0</v>
      </c>
      <c r="Y3" s="1">
        <f>IF(S3 + Y2 &lt; 0, S3 + Y2, 0)</f>
        <v>0</v>
      </c>
      <c r="Z3" s="1">
        <f>IF(T3 + Z2 &lt; 0, T3 + Z2, 0)</f>
        <v>0</v>
      </c>
      <c r="AA3" s="1">
        <f>IF(U3 + AA2 &lt; 0, U3 + AA2, 0)</f>
        <v>0</v>
      </c>
      <c r="AB3" s="1">
        <f>IF(AA3 &lt; 0, 1 + AB2, 0)</f>
        <v>0</v>
      </c>
      <c r="AC3" s="1">
        <f>IF(H3&lt;0,1,0)</f>
        <v>0</v>
      </c>
      <c r="AD3" s="1">
        <f>IF(AC3=1,H3,0)</f>
        <v>0</v>
      </c>
      <c r="AE3" s="1">
        <f>IF(H3&gt;0,1,0)</f>
        <v>0</v>
      </c>
      <c r="AF3" s="1">
        <f>IF(AE3=1,H3,0)</f>
        <v>0</v>
      </c>
      <c r="AG3" s="1">
        <f>IF(AD3&lt;-20000000.0/100,1,0)</f>
        <v>0</v>
      </c>
      <c r="AH3" s="1">
        <f>IF(AF3&gt;20000000.0/100,1,0)</f>
        <v>0</v>
      </c>
      <c r="AI3" s="1">
        <f>IF(U3&lt;0,1,0)</f>
        <v>0</v>
      </c>
      <c r="AJ3" s="1">
        <f>IF(AI3=1,U3,0)</f>
        <v>0</v>
      </c>
      <c r="AK3" s="1">
        <f>IF(U3&gt;0,1,0)</f>
        <v>0</v>
      </c>
      <c r="AL3" s="1">
        <f>IF(AK3=1,U3,0)</f>
        <v>0</v>
      </c>
      <c r="AM3" s="1">
        <f>IF(AJ3&lt;-20000000.0/100,1,0)</f>
        <v>0</v>
      </c>
      <c r="AN3" s="1">
        <f>IF(AL3&gt;20000000.0/100,1,0)</f>
        <v>0</v>
      </c>
    </row>
    <row r="4" spans="1:40" s="1" customFormat="1">
      <c r="A4" s="3">
        <v>45294</v>
      </c>
      <c r="B4" s="2" t="s">
        <v>24</v>
      </c>
      <c r="C4" s="1">
        <f>SUM(PL!H4:J4)</f>
        <v>0</v>
      </c>
      <c r="D4" s="1">
        <f>SUM(PL!K4:M4)</f>
        <v>0</v>
      </c>
      <c r="E4" s="1">
        <f>SUM(PL!N4:P4)</f>
        <v>0</v>
      </c>
      <c r="F4" s="1">
        <f>SUM(PL!Q4:S4)</f>
        <v>0</v>
      </c>
      <c r="G4" s="1">
        <f>SUM(PL!T4:V4)</f>
        <v>0</v>
      </c>
      <c r="H4" s="1">
        <f>SUM(C4:G4)</f>
        <v>0</v>
      </c>
      <c r="I4" s="1">
        <f>IF(C4 + I3 &lt; 0, C4 + I3, 0)</f>
        <v>0</v>
      </c>
      <c r="J4" s="1">
        <f>IF(D4 + J3 &lt; 0, D4 + J3, 0)</f>
        <v>0</v>
      </c>
      <c r="K4" s="1">
        <f>IF(E4 + K3 &lt; 0, E4 + K3, 0)</f>
        <v>0</v>
      </c>
      <c r="L4" s="1">
        <f>IF(F4 + L3 &lt; 0, F4 + L3, 0)</f>
        <v>0</v>
      </c>
      <c r="M4" s="1">
        <f>IF(G4 + M3 &lt; 0, G4 + M3, 0)</f>
        <v>0</v>
      </c>
      <c r="N4" s="1">
        <f>IF(H4 + N3 &lt; 0, H4 + N3, 0)</f>
        <v>0</v>
      </c>
      <c r="O4" s="1">
        <f>IF(N4 &lt; 0, 1 + O3, 0)</f>
        <v>0</v>
      </c>
      <c r="P4" s="1">
        <f>C4-((ABS(SUM(PL!H4:J4)))*0.125)</f>
        <v>0</v>
      </c>
      <c r="Q4" s="1">
        <f>D4-((ABS(SUM(PL!K4:M4)))*0.125)</f>
        <v>0</v>
      </c>
      <c r="R4" s="1">
        <f>E4-((ABS(SUM(PL!N4:P4)))*0.125)</f>
        <v>0</v>
      </c>
      <c r="S4" s="1">
        <f>F4-((ABS(SUM(PL!Q4:S4)))*0.125)</f>
        <v>0</v>
      </c>
      <c r="T4" s="1">
        <f>G4-((ABS(SUM(PL!T4:V4)))*0.125)</f>
        <v>0</v>
      </c>
      <c r="U4" s="1">
        <f>P4 + Q4 + R4 + S4 + T4</f>
        <v>0</v>
      </c>
      <c r="V4" s="1">
        <f>IF(P4 + V3 &lt; 0, P4 + V3, 0)</f>
        <v>0</v>
      </c>
      <c r="W4" s="1">
        <f>IF(Q4 + W3 &lt; 0, Q4 + W3, 0)</f>
        <v>0</v>
      </c>
      <c r="X4" s="1">
        <f>IF(R4 + X3 &lt; 0, R4 + X3, 0)</f>
        <v>0</v>
      </c>
      <c r="Y4" s="1">
        <f>IF(S4 + Y3 &lt; 0, S4 + Y3, 0)</f>
        <v>0</v>
      </c>
      <c r="Z4" s="1">
        <f>IF(T4 + Z3 &lt; 0, T4 + Z3, 0)</f>
        <v>0</v>
      </c>
      <c r="AA4" s="1">
        <f>IF(U4 + AA3 &lt; 0, U4 + AA3, 0)</f>
        <v>0</v>
      </c>
      <c r="AB4" s="1">
        <f>IF(AA4 &lt; 0, 1 + AB3, 0)</f>
        <v>0</v>
      </c>
      <c r="AC4" s="1">
        <f>IF(H4&lt;0,1,0)</f>
        <v>0</v>
      </c>
      <c r="AD4" s="1">
        <f>IF(AC4=1,H4,0)</f>
        <v>0</v>
      </c>
      <c r="AE4" s="1">
        <f>IF(H4&gt;0,1,0)</f>
        <v>0</v>
      </c>
      <c r="AF4" s="1">
        <f>IF(AE4=1,H4,0)</f>
        <v>0</v>
      </c>
      <c r="AG4" s="1">
        <f>IF(AD4&lt;-20000000.0/100,1,0)</f>
        <v>0</v>
      </c>
      <c r="AH4" s="1">
        <f>IF(AF4&gt;20000000.0/100,1,0)</f>
        <v>0</v>
      </c>
      <c r="AI4" s="1">
        <f>IF(U4&lt;0,1,0)</f>
        <v>0</v>
      </c>
      <c r="AJ4" s="1">
        <f>IF(AI4=1,U4,0)</f>
        <v>0</v>
      </c>
      <c r="AK4" s="1">
        <f>IF(U4&gt;0,1,0)</f>
        <v>0</v>
      </c>
      <c r="AL4" s="1">
        <f>IF(AK4=1,U4,0)</f>
        <v>0</v>
      </c>
      <c r="AM4" s="1">
        <f>IF(AJ4&lt;-20000000.0/100,1,0)</f>
        <v>0</v>
      </c>
      <c r="AN4" s="1">
        <f>IF(AL4&gt;20000000.0/100,1,0)</f>
        <v>0</v>
      </c>
    </row>
    <row r="5" spans="1:40" s="1" customFormat="1">
      <c r="A5" s="3">
        <v>45295</v>
      </c>
      <c r="B5" s="2" t="s">
        <v>25</v>
      </c>
      <c r="C5" s="1">
        <f>SUM(PL!H5:J5)</f>
        <v>0</v>
      </c>
      <c r="D5" s="1">
        <f>SUM(PL!K5:M5)</f>
        <v>0</v>
      </c>
      <c r="E5" s="1">
        <f>SUM(PL!N5:P5)</f>
        <v>0</v>
      </c>
      <c r="F5" s="1">
        <f>SUM(PL!Q5:S5)</f>
        <v>0</v>
      </c>
      <c r="G5" s="1">
        <f>SUM(PL!T5:V5)</f>
        <v>0</v>
      </c>
      <c r="H5" s="1">
        <f>SUM(C5:G5)</f>
        <v>0</v>
      </c>
      <c r="I5" s="1">
        <f>IF(C5 + I4 &lt; 0, C5 + I4, 0)</f>
        <v>0</v>
      </c>
      <c r="J5" s="1">
        <f>IF(D5 + J4 &lt; 0, D5 + J4, 0)</f>
        <v>0</v>
      </c>
      <c r="K5" s="1">
        <f>IF(E5 + K4 &lt; 0, E5 + K4, 0)</f>
        <v>0</v>
      </c>
      <c r="L5" s="1">
        <f>IF(F5 + L4 &lt; 0, F5 + L4, 0)</f>
        <v>0</v>
      </c>
      <c r="M5" s="1">
        <f>IF(G5 + M4 &lt; 0, G5 + M4, 0)</f>
        <v>0</v>
      </c>
      <c r="N5" s="1">
        <f>IF(H5 + N4 &lt; 0, H5 + N4, 0)</f>
        <v>0</v>
      </c>
      <c r="O5" s="1">
        <f>IF(N5 &lt; 0, 1 + O4, 0)</f>
        <v>0</v>
      </c>
      <c r="P5" s="1">
        <f>C5-((ABS(SUM(PL!H5:J5)))*0.125)</f>
        <v>0</v>
      </c>
      <c r="Q5" s="1">
        <f>D5-((ABS(SUM(PL!K5:M5)))*0.125)</f>
        <v>0</v>
      </c>
      <c r="R5" s="1">
        <f>E5-((ABS(SUM(PL!N5:P5)))*0.125)</f>
        <v>0</v>
      </c>
      <c r="S5" s="1">
        <f>F5-((ABS(SUM(PL!Q5:S5)))*0.125)</f>
        <v>0</v>
      </c>
      <c r="T5" s="1">
        <f>G5-((ABS(SUM(PL!T5:V5)))*0.125)</f>
        <v>0</v>
      </c>
      <c r="U5" s="1">
        <f>P5 + Q5 + R5 + S5 + T5</f>
        <v>0</v>
      </c>
      <c r="V5" s="1">
        <f>IF(P5 + V4 &lt; 0, P5 + V4, 0)</f>
        <v>0</v>
      </c>
      <c r="W5" s="1">
        <f>IF(Q5 + W4 &lt; 0, Q5 + W4, 0)</f>
        <v>0</v>
      </c>
      <c r="X5" s="1">
        <f>IF(R5 + X4 &lt; 0, R5 + X4, 0)</f>
        <v>0</v>
      </c>
      <c r="Y5" s="1">
        <f>IF(S5 + Y4 &lt; 0, S5 + Y4, 0)</f>
        <v>0</v>
      </c>
      <c r="Z5" s="1">
        <f>IF(T5 + Z4 &lt; 0, T5 + Z4, 0)</f>
        <v>0</v>
      </c>
      <c r="AA5" s="1">
        <f>IF(U5 + AA4 &lt; 0, U5 + AA4, 0)</f>
        <v>0</v>
      </c>
      <c r="AB5" s="1">
        <f>IF(AA5 &lt; 0, 1 + AB4, 0)</f>
        <v>0</v>
      </c>
      <c r="AC5" s="1">
        <f>IF(H5&lt;0,1,0)</f>
        <v>0</v>
      </c>
      <c r="AD5" s="1">
        <f>IF(AC5=1,H5,0)</f>
        <v>0</v>
      </c>
      <c r="AE5" s="1">
        <f>IF(H5&gt;0,1,0)</f>
        <v>0</v>
      </c>
      <c r="AF5" s="1">
        <f>IF(AE5=1,H5,0)</f>
        <v>0</v>
      </c>
      <c r="AG5" s="1">
        <f>IF(AD5&lt;-20000000.0/100,1,0)</f>
        <v>0</v>
      </c>
      <c r="AH5" s="1">
        <f>IF(AF5&gt;20000000.0/100,1,0)</f>
        <v>0</v>
      </c>
      <c r="AI5" s="1">
        <f>IF(U5&lt;0,1,0)</f>
        <v>0</v>
      </c>
      <c r="AJ5" s="1">
        <f>IF(AI5=1,U5,0)</f>
        <v>0</v>
      </c>
      <c r="AK5" s="1">
        <f>IF(U5&gt;0,1,0)</f>
        <v>0</v>
      </c>
      <c r="AL5" s="1">
        <f>IF(AK5=1,U5,0)</f>
        <v>0</v>
      </c>
      <c r="AM5" s="1">
        <f>IF(AJ5&lt;-20000000.0/100,1,0)</f>
        <v>0</v>
      </c>
      <c r="AN5" s="1">
        <f>IF(AL5&gt;20000000.0/100,1,0)</f>
        <v>0</v>
      </c>
    </row>
    <row r="6" spans="1:40" s="1" customFormat="1">
      <c r="A6" s="3">
        <v>45296</v>
      </c>
      <c r="B6" s="2" t="s">
        <v>26</v>
      </c>
      <c r="C6" s="1">
        <f>SUM(PL!H6:J6)</f>
        <v>0</v>
      </c>
      <c r="D6" s="1">
        <f>SUM(PL!K6:M6)</f>
        <v>0</v>
      </c>
      <c r="E6" s="1">
        <f>SUM(PL!N6:P6)</f>
        <v>0</v>
      </c>
      <c r="F6" s="1">
        <f>SUM(PL!Q6:S6)</f>
        <v>0</v>
      </c>
      <c r="G6" s="1">
        <f>SUM(PL!T6:V6)</f>
        <v>0</v>
      </c>
      <c r="H6" s="1">
        <f>SUM(C6:G6)</f>
        <v>0</v>
      </c>
      <c r="I6" s="1">
        <f>IF(C6 + I5 &lt; 0, C6 + I5, 0)</f>
        <v>0</v>
      </c>
      <c r="J6" s="1">
        <f>IF(D6 + J5 &lt; 0, D6 + J5, 0)</f>
        <v>0</v>
      </c>
      <c r="K6" s="1">
        <f>IF(E6 + K5 &lt; 0, E6 + K5, 0)</f>
        <v>0</v>
      </c>
      <c r="L6" s="1">
        <f>IF(F6 + L5 &lt; 0, F6 + L5, 0)</f>
        <v>0</v>
      </c>
      <c r="M6" s="1">
        <f>IF(G6 + M5 &lt; 0, G6 + M5, 0)</f>
        <v>0</v>
      </c>
      <c r="N6" s="1">
        <f>IF(H6 + N5 &lt; 0, H6 + N5, 0)</f>
        <v>0</v>
      </c>
      <c r="O6" s="1">
        <f>IF(N6 &lt; 0, 1 + O5, 0)</f>
        <v>0</v>
      </c>
      <c r="P6" s="1">
        <f>C6-((ABS(SUM(PL!H6:J6)))*0.125)</f>
        <v>0</v>
      </c>
      <c r="Q6" s="1">
        <f>D6-((ABS(SUM(PL!K6:M6)))*0.125)</f>
        <v>0</v>
      </c>
      <c r="R6" s="1">
        <f>E6-((ABS(SUM(PL!N6:P6)))*0.125)</f>
        <v>0</v>
      </c>
      <c r="S6" s="1">
        <f>F6-((ABS(SUM(PL!Q6:S6)))*0.125)</f>
        <v>0</v>
      </c>
      <c r="T6" s="1">
        <f>G6-((ABS(SUM(PL!T6:V6)))*0.125)</f>
        <v>0</v>
      </c>
      <c r="U6" s="1">
        <f>P6 + Q6 + R6 + S6 + T6</f>
        <v>0</v>
      </c>
      <c r="V6" s="1">
        <f>IF(P6 + V5 &lt; 0, P6 + V5, 0)</f>
        <v>0</v>
      </c>
      <c r="W6" s="1">
        <f>IF(Q6 + W5 &lt; 0, Q6 + W5, 0)</f>
        <v>0</v>
      </c>
      <c r="X6" s="1">
        <f>IF(R6 + X5 &lt; 0, R6 + X5, 0)</f>
        <v>0</v>
      </c>
      <c r="Y6" s="1">
        <f>IF(S6 + Y5 &lt; 0, S6 + Y5, 0)</f>
        <v>0</v>
      </c>
      <c r="Z6" s="1">
        <f>IF(T6 + Z5 &lt; 0, T6 + Z5, 0)</f>
        <v>0</v>
      </c>
      <c r="AA6" s="1">
        <f>IF(U6 + AA5 &lt; 0, U6 + AA5, 0)</f>
        <v>0</v>
      </c>
      <c r="AB6" s="1">
        <f>IF(AA6 &lt; 0, 1 + AB5, 0)</f>
        <v>0</v>
      </c>
      <c r="AC6" s="1">
        <f>IF(H6&lt;0,1,0)</f>
        <v>0</v>
      </c>
      <c r="AD6" s="1">
        <f>IF(AC6=1,H6,0)</f>
        <v>0</v>
      </c>
      <c r="AE6" s="1">
        <f>IF(H6&gt;0,1,0)</f>
        <v>0</v>
      </c>
      <c r="AF6" s="1">
        <f>IF(AE6=1,H6,0)</f>
        <v>0</v>
      </c>
      <c r="AG6" s="1">
        <f>IF(AD6&lt;-20000000.0/100,1,0)</f>
        <v>0</v>
      </c>
      <c r="AH6" s="1">
        <f>IF(AF6&gt;20000000.0/100,1,0)</f>
        <v>0</v>
      </c>
      <c r="AI6" s="1">
        <f>IF(U6&lt;0,1,0)</f>
        <v>0</v>
      </c>
      <c r="AJ6" s="1">
        <f>IF(AI6=1,U6,0)</f>
        <v>0</v>
      </c>
      <c r="AK6" s="1">
        <f>IF(U6&gt;0,1,0)</f>
        <v>0</v>
      </c>
      <c r="AL6" s="1">
        <f>IF(AK6=1,U6,0)</f>
        <v>0</v>
      </c>
      <c r="AM6" s="1">
        <f>IF(AJ6&lt;-20000000.0/100,1,0)</f>
        <v>0</v>
      </c>
      <c r="AN6" s="1">
        <f>IF(AL6&gt;20000000.0/100,1,0)</f>
        <v>0</v>
      </c>
    </row>
    <row r="7" spans="1:40" s="1" customFormat="1">
      <c r="A7" s="3">
        <v>45299</v>
      </c>
      <c r="B7" s="2" t="s">
        <v>22</v>
      </c>
      <c r="C7" s="1">
        <f>SUM(PL!H7:J7)</f>
        <v>0</v>
      </c>
      <c r="D7" s="1">
        <f>SUM(PL!K7:M7)</f>
        <v>0</v>
      </c>
      <c r="E7" s="1">
        <f>SUM(PL!N7:P7)</f>
        <v>0</v>
      </c>
      <c r="F7" s="1">
        <f>SUM(PL!Q7:S7)</f>
        <v>0</v>
      </c>
      <c r="G7" s="1">
        <f>SUM(PL!T7:V7)</f>
        <v>0</v>
      </c>
      <c r="H7" s="1">
        <f>SUM(C7:G7)</f>
        <v>0</v>
      </c>
      <c r="I7" s="1">
        <f>IF(C7 + I6 &lt; 0, C7 + I6, 0)</f>
        <v>0</v>
      </c>
      <c r="J7" s="1">
        <f>IF(D7 + J6 &lt; 0, D7 + J6, 0)</f>
        <v>0</v>
      </c>
      <c r="K7" s="1">
        <f>IF(E7 + K6 &lt; 0, E7 + K6, 0)</f>
        <v>0</v>
      </c>
      <c r="L7" s="1">
        <f>IF(F7 + L6 &lt; 0, F7 + L6, 0)</f>
        <v>0</v>
      </c>
      <c r="M7" s="1">
        <f>IF(G7 + M6 &lt; 0, G7 + M6, 0)</f>
        <v>0</v>
      </c>
      <c r="N7" s="1">
        <f>IF(H7 + N6 &lt; 0, H7 + N6, 0)</f>
        <v>0</v>
      </c>
      <c r="O7" s="1">
        <f>IF(N7 &lt; 0, 1 + O6, 0)</f>
        <v>0</v>
      </c>
      <c r="P7" s="1">
        <f>C7-((ABS(SUM(PL!H7:J7)))*0.125)</f>
        <v>0</v>
      </c>
      <c r="Q7" s="1">
        <f>D7-((ABS(SUM(PL!K7:M7)))*0.125)</f>
        <v>0</v>
      </c>
      <c r="R7" s="1">
        <f>E7-((ABS(SUM(PL!N7:P7)))*0.125)</f>
        <v>0</v>
      </c>
      <c r="S7" s="1">
        <f>F7-((ABS(SUM(PL!Q7:S7)))*0.125)</f>
        <v>0</v>
      </c>
      <c r="T7" s="1">
        <f>G7-((ABS(SUM(PL!T7:V7)))*0.125)</f>
        <v>0</v>
      </c>
      <c r="U7" s="1">
        <f>P7 + Q7 + R7 + S7 + T7</f>
        <v>0</v>
      </c>
      <c r="V7" s="1">
        <f>IF(P7 + V6 &lt; 0, P7 + V6, 0)</f>
        <v>0</v>
      </c>
      <c r="W7" s="1">
        <f>IF(Q7 + W6 &lt; 0, Q7 + W6, 0)</f>
        <v>0</v>
      </c>
      <c r="X7" s="1">
        <f>IF(R7 + X6 &lt; 0, R7 + X6, 0)</f>
        <v>0</v>
      </c>
      <c r="Y7" s="1">
        <f>IF(S7 + Y6 &lt; 0, S7 + Y6, 0)</f>
        <v>0</v>
      </c>
      <c r="Z7" s="1">
        <f>IF(T7 + Z6 &lt; 0, T7 + Z6, 0)</f>
        <v>0</v>
      </c>
      <c r="AA7" s="1">
        <f>IF(U7 + AA6 &lt; 0, U7 + AA6, 0)</f>
        <v>0</v>
      </c>
      <c r="AB7" s="1">
        <f>IF(AA7 &lt; 0, 1 + AB6, 0)</f>
        <v>0</v>
      </c>
      <c r="AC7" s="1">
        <f>IF(H7&lt;0,1,0)</f>
        <v>0</v>
      </c>
      <c r="AD7" s="1">
        <f>IF(AC7=1,H7,0)</f>
        <v>0</v>
      </c>
      <c r="AE7" s="1">
        <f>IF(H7&gt;0,1,0)</f>
        <v>0</v>
      </c>
      <c r="AF7" s="1">
        <f>IF(AE7=1,H7,0)</f>
        <v>0</v>
      </c>
      <c r="AG7" s="1">
        <f>IF(AD7&lt;-20000000.0/100,1,0)</f>
        <v>0</v>
      </c>
      <c r="AH7" s="1">
        <f>IF(AF7&gt;20000000.0/100,1,0)</f>
        <v>0</v>
      </c>
      <c r="AI7" s="1">
        <f>IF(U7&lt;0,1,0)</f>
        <v>0</v>
      </c>
      <c r="AJ7" s="1">
        <f>IF(AI7=1,U7,0)</f>
        <v>0</v>
      </c>
      <c r="AK7" s="1">
        <f>IF(U7&gt;0,1,0)</f>
        <v>0</v>
      </c>
      <c r="AL7" s="1">
        <f>IF(AK7=1,U7,0)</f>
        <v>0</v>
      </c>
      <c r="AM7" s="1">
        <f>IF(AJ7&lt;-20000000.0/100,1,0)</f>
        <v>0</v>
      </c>
      <c r="AN7" s="1">
        <f>IF(AL7&gt;20000000.0/100,1,0)</f>
        <v>0</v>
      </c>
    </row>
    <row r="8" spans="1:40" s="1" customFormat="1">
      <c r="A8" s="3">
        <v>45300</v>
      </c>
      <c r="B8" s="2" t="s">
        <v>23</v>
      </c>
      <c r="C8" s="1">
        <f>SUM(PL!H8:J8)</f>
        <v>0</v>
      </c>
      <c r="D8" s="1">
        <f>SUM(PL!K8:M8)</f>
        <v>0</v>
      </c>
      <c r="E8" s="1">
        <f>SUM(PL!N8:P8)</f>
        <v>0</v>
      </c>
      <c r="F8" s="1">
        <f>SUM(PL!Q8:S8)</f>
        <v>0</v>
      </c>
      <c r="G8" s="1">
        <f>SUM(PL!T8:V8)</f>
        <v>0</v>
      </c>
      <c r="H8" s="1">
        <f>SUM(C8:G8)</f>
        <v>0</v>
      </c>
      <c r="I8" s="1">
        <f>IF(C8 + I7 &lt; 0, C8 + I7, 0)</f>
        <v>0</v>
      </c>
      <c r="J8" s="1">
        <f>IF(D8 + J7 &lt; 0, D8 + J7, 0)</f>
        <v>0</v>
      </c>
      <c r="K8" s="1">
        <f>IF(E8 + K7 &lt; 0, E8 + K7, 0)</f>
        <v>0</v>
      </c>
      <c r="L8" s="1">
        <f>IF(F8 + L7 &lt; 0, F8 + L7, 0)</f>
        <v>0</v>
      </c>
      <c r="M8" s="1">
        <f>IF(G8 + M7 &lt; 0, G8 + M7, 0)</f>
        <v>0</v>
      </c>
      <c r="N8" s="1">
        <f>IF(H8 + N7 &lt; 0, H8 + N7, 0)</f>
        <v>0</v>
      </c>
      <c r="O8" s="1">
        <f>IF(N8 &lt; 0, 1 + O7, 0)</f>
        <v>0</v>
      </c>
      <c r="P8" s="1">
        <f>C8-((ABS(SUM(PL!H8:J8)))*0.125)</f>
        <v>0</v>
      </c>
      <c r="Q8" s="1">
        <f>D8-((ABS(SUM(PL!K8:M8)))*0.125)</f>
        <v>0</v>
      </c>
      <c r="R8" s="1">
        <f>E8-((ABS(SUM(PL!N8:P8)))*0.125)</f>
        <v>0</v>
      </c>
      <c r="S8" s="1">
        <f>F8-((ABS(SUM(PL!Q8:S8)))*0.125)</f>
        <v>0</v>
      </c>
      <c r="T8" s="1">
        <f>G8-((ABS(SUM(PL!T8:V8)))*0.125)</f>
        <v>0</v>
      </c>
      <c r="U8" s="1">
        <f>P8 + Q8 + R8 + S8 + T8</f>
        <v>0</v>
      </c>
      <c r="V8" s="1">
        <f>IF(P8 + V7 &lt; 0, P8 + V7, 0)</f>
        <v>0</v>
      </c>
      <c r="W8" s="1">
        <f>IF(Q8 + W7 &lt; 0, Q8 + W7, 0)</f>
        <v>0</v>
      </c>
      <c r="X8" s="1">
        <f>IF(R8 + X7 &lt; 0, R8 + X7, 0)</f>
        <v>0</v>
      </c>
      <c r="Y8" s="1">
        <f>IF(S8 + Y7 &lt; 0, S8 + Y7, 0)</f>
        <v>0</v>
      </c>
      <c r="Z8" s="1">
        <f>IF(T8 + Z7 &lt; 0, T8 + Z7, 0)</f>
        <v>0</v>
      </c>
      <c r="AA8" s="1">
        <f>IF(U8 + AA7 &lt; 0, U8 + AA7, 0)</f>
        <v>0</v>
      </c>
      <c r="AB8" s="1">
        <f>IF(AA8 &lt; 0, 1 + AB7, 0)</f>
        <v>0</v>
      </c>
      <c r="AC8" s="1">
        <f>IF(H8&lt;0,1,0)</f>
        <v>0</v>
      </c>
      <c r="AD8" s="1">
        <f>IF(AC8=1,H8,0)</f>
        <v>0</v>
      </c>
      <c r="AE8" s="1">
        <f>IF(H8&gt;0,1,0)</f>
        <v>0</v>
      </c>
      <c r="AF8" s="1">
        <f>IF(AE8=1,H8,0)</f>
        <v>0</v>
      </c>
      <c r="AG8" s="1">
        <f>IF(AD8&lt;-20000000.0/100,1,0)</f>
        <v>0</v>
      </c>
      <c r="AH8" s="1">
        <f>IF(AF8&gt;20000000.0/100,1,0)</f>
        <v>0</v>
      </c>
      <c r="AI8" s="1">
        <f>IF(U8&lt;0,1,0)</f>
        <v>0</v>
      </c>
      <c r="AJ8" s="1">
        <f>IF(AI8=1,U8,0)</f>
        <v>0</v>
      </c>
      <c r="AK8" s="1">
        <f>IF(U8&gt;0,1,0)</f>
        <v>0</v>
      </c>
      <c r="AL8" s="1">
        <f>IF(AK8=1,U8,0)</f>
        <v>0</v>
      </c>
      <c r="AM8" s="1">
        <f>IF(AJ8&lt;-20000000.0/100,1,0)</f>
        <v>0</v>
      </c>
      <c r="AN8" s="1">
        <f>IF(AL8&gt;20000000.0/100,1,0)</f>
        <v>0</v>
      </c>
    </row>
    <row r="9" spans="1:40" s="1" customFormat="1">
      <c r="A9" s="3">
        <v>45301</v>
      </c>
      <c r="B9" s="2" t="s">
        <v>24</v>
      </c>
      <c r="C9" s="1">
        <f>SUM(PL!H9:J9)</f>
        <v>0</v>
      </c>
      <c r="D9" s="1">
        <f>SUM(PL!K9:M9)</f>
        <v>0</v>
      </c>
      <c r="E9" s="1">
        <f>SUM(PL!N9:P9)</f>
        <v>0</v>
      </c>
      <c r="F9" s="1">
        <f>SUM(PL!Q9:S9)</f>
        <v>0</v>
      </c>
      <c r="G9" s="1">
        <f>SUM(PL!T9:V9)</f>
        <v>0</v>
      </c>
      <c r="H9" s="1">
        <f>SUM(C9:G9)</f>
        <v>0</v>
      </c>
      <c r="I9" s="1">
        <f>IF(C9 + I8 &lt; 0, C9 + I8, 0)</f>
        <v>0</v>
      </c>
      <c r="J9" s="1">
        <f>IF(D9 + J8 &lt; 0, D9 + J8, 0)</f>
        <v>0</v>
      </c>
      <c r="K9" s="1">
        <f>IF(E9 + K8 &lt; 0, E9 + K8, 0)</f>
        <v>0</v>
      </c>
      <c r="L9" s="1">
        <f>IF(F9 + L8 &lt; 0, F9 + L8, 0)</f>
        <v>0</v>
      </c>
      <c r="M9" s="1">
        <f>IF(G9 + M8 &lt; 0, G9 + M8, 0)</f>
        <v>0</v>
      </c>
      <c r="N9" s="1">
        <f>IF(H9 + N8 &lt; 0, H9 + N8, 0)</f>
        <v>0</v>
      </c>
      <c r="O9" s="1">
        <f>IF(N9 &lt; 0, 1 + O8, 0)</f>
        <v>0</v>
      </c>
      <c r="P9" s="1">
        <f>C9-((ABS(SUM(PL!H9:J9)))*0.125)</f>
        <v>0</v>
      </c>
      <c r="Q9" s="1">
        <f>D9-((ABS(SUM(PL!K9:M9)))*0.125)</f>
        <v>0</v>
      </c>
      <c r="R9" s="1">
        <f>E9-((ABS(SUM(PL!N9:P9)))*0.125)</f>
        <v>0</v>
      </c>
      <c r="S9" s="1">
        <f>F9-((ABS(SUM(PL!Q9:S9)))*0.125)</f>
        <v>0</v>
      </c>
      <c r="T9" s="1">
        <f>G9-((ABS(SUM(PL!T9:V9)))*0.125)</f>
        <v>0</v>
      </c>
      <c r="U9" s="1">
        <f>P9 + Q9 + R9 + S9 + T9</f>
        <v>0</v>
      </c>
      <c r="V9" s="1">
        <f>IF(P9 + V8 &lt; 0, P9 + V8, 0)</f>
        <v>0</v>
      </c>
      <c r="W9" s="1">
        <f>IF(Q9 + W8 &lt; 0, Q9 + W8, 0)</f>
        <v>0</v>
      </c>
      <c r="X9" s="1">
        <f>IF(R9 + X8 &lt; 0, R9 + X8, 0)</f>
        <v>0</v>
      </c>
      <c r="Y9" s="1">
        <f>IF(S9 + Y8 &lt; 0, S9 + Y8, 0)</f>
        <v>0</v>
      </c>
      <c r="Z9" s="1">
        <f>IF(T9 + Z8 &lt; 0, T9 + Z8, 0)</f>
        <v>0</v>
      </c>
      <c r="AA9" s="1">
        <f>IF(U9 + AA8 &lt; 0, U9 + AA8, 0)</f>
        <v>0</v>
      </c>
      <c r="AB9" s="1">
        <f>IF(AA9 &lt; 0, 1 + AB8, 0)</f>
        <v>0</v>
      </c>
      <c r="AC9" s="1">
        <f>IF(H9&lt;0,1,0)</f>
        <v>0</v>
      </c>
      <c r="AD9" s="1">
        <f>IF(AC9=1,H9,0)</f>
        <v>0</v>
      </c>
      <c r="AE9" s="1">
        <f>IF(H9&gt;0,1,0)</f>
        <v>0</v>
      </c>
      <c r="AF9" s="1">
        <f>IF(AE9=1,H9,0)</f>
        <v>0</v>
      </c>
      <c r="AG9" s="1">
        <f>IF(AD9&lt;-20000000.0/100,1,0)</f>
        <v>0</v>
      </c>
      <c r="AH9" s="1">
        <f>IF(AF9&gt;20000000.0/100,1,0)</f>
        <v>0</v>
      </c>
      <c r="AI9" s="1">
        <f>IF(U9&lt;0,1,0)</f>
        <v>0</v>
      </c>
      <c r="AJ9" s="1">
        <f>IF(AI9=1,U9,0)</f>
        <v>0</v>
      </c>
      <c r="AK9" s="1">
        <f>IF(U9&gt;0,1,0)</f>
        <v>0</v>
      </c>
      <c r="AL9" s="1">
        <f>IF(AK9=1,U9,0)</f>
        <v>0</v>
      </c>
      <c r="AM9" s="1">
        <f>IF(AJ9&lt;-20000000.0/100,1,0)</f>
        <v>0</v>
      </c>
      <c r="AN9" s="1">
        <f>IF(AL9&gt;20000000.0/100,1,0)</f>
        <v>0</v>
      </c>
    </row>
    <row r="10" spans="1:40" s="1" customFormat="1">
      <c r="A10" s="3">
        <v>45302</v>
      </c>
      <c r="B10" s="2" t="s">
        <v>25</v>
      </c>
      <c r="C10" s="1">
        <f>SUM(PL!H10:J10)</f>
        <v>0</v>
      </c>
      <c r="D10" s="1">
        <f>SUM(PL!K10:M10)</f>
        <v>0</v>
      </c>
      <c r="E10" s="1">
        <f>SUM(PL!N10:P10)</f>
        <v>0</v>
      </c>
      <c r="F10" s="1">
        <f>SUM(PL!Q10:S10)</f>
        <v>0</v>
      </c>
      <c r="G10" s="1">
        <f>SUM(PL!T10:V10)</f>
        <v>0</v>
      </c>
      <c r="H10" s="1">
        <f>SUM(C10:G10)</f>
        <v>0</v>
      </c>
      <c r="I10" s="1">
        <f>IF(C10 + I9 &lt; 0, C10 + I9, 0)</f>
        <v>0</v>
      </c>
      <c r="J10" s="1">
        <f>IF(D10 + J9 &lt; 0, D10 + J9, 0)</f>
        <v>0</v>
      </c>
      <c r="K10" s="1">
        <f>IF(E10 + K9 &lt; 0, E10 + K9, 0)</f>
        <v>0</v>
      </c>
      <c r="L10" s="1">
        <f>IF(F10 + L9 &lt; 0, F10 + L9, 0)</f>
        <v>0</v>
      </c>
      <c r="M10" s="1">
        <f>IF(G10 + M9 &lt; 0, G10 + M9, 0)</f>
        <v>0</v>
      </c>
      <c r="N10" s="1">
        <f>IF(H10 + N9 &lt; 0, H10 + N9, 0)</f>
        <v>0</v>
      </c>
      <c r="O10" s="1">
        <f>IF(N10 &lt; 0, 1 + O9, 0)</f>
        <v>0</v>
      </c>
      <c r="P10" s="1">
        <f>C10-((ABS(SUM(PL!H10:J10)))*0.125)</f>
        <v>0</v>
      </c>
      <c r="Q10" s="1">
        <f>D10-((ABS(SUM(PL!K10:M10)))*0.125)</f>
        <v>0</v>
      </c>
      <c r="R10" s="1">
        <f>E10-((ABS(SUM(PL!N10:P10)))*0.125)</f>
        <v>0</v>
      </c>
      <c r="S10" s="1">
        <f>F10-((ABS(SUM(PL!Q10:S10)))*0.125)</f>
        <v>0</v>
      </c>
      <c r="T10" s="1">
        <f>G10-((ABS(SUM(PL!T10:V10)))*0.125)</f>
        <v>0</v>
      </c>
      <c r="U10" s="1">
        <f>P10 + Q10 + R10 + S10 + T10</f>
        <v>0</v>
      </c>
      <c r="V10" s="1">
        <f>IF(P10 + V9 &lt; 0, P10 + V9, 0)</f>
        <v>0</v>
      </c>
      <c r="W10" s="1">
        <f>IF(Q10 + W9 &lt; 0, Q10 + W9, 0)</f>
        <v>0</v>
      </c>
      <c r="X10" s="1">
        <f>IF(R10 + X9 &lt; 0, R10 + X9, 0)</f>
        <v>0</v>
      </c>
      <c r="Y10" s="1">
        <f>IF(S10 + Y9 &lt; 0, S10 + Y9, 0)</f>
        <v>0</v>
      </c>
      <c r="Z10" s="1">
        <f>IF(T10 + Z9 &lt; 0, T10 + Z9, 0)</f>
        <v>0</v>
      </c>
      <c r="AA10" s="1">
        <f>IF(U10 + AA9 &lt; 0, U10 + AA9, 0)</f>
        <v>0</v>
      </c>
      <c r="AB10" s="1">
        <f>IF(AA10 &lt; 0, 1 + AB9, 0)</f>
        <v>0</v>
      </c>
      <c r="AC10" s="1">
        <f>IF(H10&lt;0,1,0)</f>
        <v>0</v>
      </c>
      <c r="AD10" s="1">
        <f>IF(AC10=1,H10,0)</f>
        <v>0</v>
      </c>
      <c r="AE10" s="1">
        <f>IF(H10&gt;0,1,0)</f>
        <v>0</v>
      </c>
      <c r="AF10" s="1">
        <f>IF(AE10=1,H10,0)</f>
        <v>0</v>
      </c>
      <c r="AG10" s="1">
        <f>IF(AD10&lt;-20000000.0/100,1,0)</f>
        <v>0</v>
      </c>
      <c r="AH10" s="1">
        <f>IF(AF10&gt;20000000.0/100,1,0)</f>
        <v>0</v>
      </c>
      <c r="AI10" s="1">
        <f>IF(U10&lt;0,1,0)</f>
        <v>0</v>
      </c>
      <c r="AJ10" s="1">
        <f>IF(AI10=1,U10,0)</f>
        <v>0</v>
      </c>
      <c r="AK10" s="1">
        <f>IF(U10&gt;0,1,0)</f>
        <v>0</v>
      </c>
      <c r="AL10" s="1">
        <f>IF(AK10=1,U10,0)</f>
        <v>0</v>
      </c>
      <c r="AM10" s="1">
        <f>IF(AJ10&lt;-20000000.0/100,1,0)</f>
        <v>0</v>
      </c>
      <c r="AN10" s="1">
        <f>IF(AL10&gt;20000000.0/100,1,0)</f>
        <v>0</v>
      </c>
    </row>
    <row r="11" spans="1:40" s="1" customFormat="1">
      <c r="A11" s="3">
        <v>45303</v>
      </c>
      <c r="B11" s="2" t="s">
        <v>26</v>
      </c>
      <c r="C11" s="1">
        <f>SUM(PL!H11:J11)</f>
        <v>0</v>
      </c>
      <c r="D11" s="1">
        <f>SUM(PL!K11:M11)</f>
        <v>0</v>
      </c>
      <c r="E11" s="1">
        <f>SUM(PL!N11:P11)</f>
        <v>0</v>
      </c>
      <c r="F11" s="1">
        <f>SUM(PL!Q11:S11)</f>
        <v>0</v>
      </c>
      <c r="G11" s="1">
        <f>SUM(PL!T11:V11)</f>
        <v>0</v>
      </c>
      <c r="H11" s="1">
        <f>SUM(C11:G11)</f>
        <v>0</v>
      </c>
      <c r="I11" s="1">
        <f>IF(C11 + I10 &lt; 0, C11 + I10, 0)</f>
        <v>0</v>
      </c>
      <c r="J11" s="1">
        <f>IF(D11 + J10 &lt; 0, D11 + J10, 0)</f>
        <v>0</v>
      </c>
      <c r="K11" s="1">
        <f>IF(E11 + K10 &lt; 0, E11 + K10, 0)</f>
        <v>0</v>
      </c>
      <c r="L11" s="1">
        <f>IF(F11 + L10 &lt; 0, F11 + L10, 0)</f>
        <v>0</v>
      </c>
      <c r="M11" s="1">
        <f>IF(G11 + M10 &lt; 0, G11 + M10, 0)</f>
        <v>0</v>
      </c>
      <c r="N11" s="1">
        <f>IF(H11 + N10 &lt; 0, H11 + N10, 0)</f>
        <v>0</v>
      </c>
      <c r="O11" s="1">
        <f>IF(N11 &lt; 0, 1 + O10, 0)</f>
        <v>0</v>
      </c>
      <c r="P11" s="1">
        <f>C11-((ABS(SUM(PL!H11:J11)))*0.125)</f>
        <v>0</v>
      </c>
      <c r="Q11" s="1">
        <f>D11-((ABS(SUM(PL!K11:M11)))*0.125)</f>
        <v>0</v>
      </c>
      <c r="R11" s="1">
        <f>E11-((ABS(SUM(PL!N11:P11)))*0.125)</f>
        <v>0</v>
      </c>
      <c r="S11" s="1">
        <f>F11-((ABS(SUM(PL!Q11:S11)))*0.125)</f>
        <v>0</v>
      </c>
      <c r="T11" s="1">
        <f>G11-((ABS(SUM(PL!T11:V11)))*0.125)</f>
        <v>0</v>
      </c>
      <c r="U11" s="1">
        <f>P11 + Q11 + R11 + S11 + T11</f>
        <v>0</v>
      </c>
      <c r="V11" s="1">
        <f>IF(P11 + V10 &lt; 0, P11 + V10, 0)</f>
        <v>0</v>
      </c>
      <c r="W11" s="1">
        <f>IF(Q11 + W10 &lt; 0, Q11 + W10, 0)</f>
        <v>0</v>
      </c>
      <c r="X11" s="1">
        <f>IF(R11 + X10 &lt; 0, R11 + X10, 0)</f>
        <v>0</v>
      </c>
      <c r="Y11" s="1">
        <f>IF(S11 + Y10 &lt; 0, S11 + Y10, 0)</f>
        <v>0</v>
      </c>
      <c r="Z11" s="1">
        <f>IF(T11 + Z10 &lt; 0, T11 + Z10, 0)</f>
        <v>0</v>
      </c>
      <c r="AA11" s="1">
        <f>IF(U11 + AA10 &lt; 0, U11 + AA10, 0)</f>
        <v>0</v>
      </c>
      <c r="AB11" s="1">
        <f>IF(AA11 &lt; 0, 1 + AB10, 0)</f>
        <v>0</v>
      </c>
      <c r="AC11" s="1">
        <f>IF(H11&lt;0,1,0)</f>
        <v>0</v>
      </c>
      <c r="AD11" s="1">
        <f>IF(AC11=1,H11,0)</f>
        <v>0</v>
      </c>
      <c r="AE11" s="1">
        <f>IF(H11&gt;0,1,0)</f>
        <v>0</v>
      </c>
      <c r="AF11" s="1">
        <f>IF(AE11=1,H11,0)</f>
        <v>0</v>
      </c>
      <c r="AG11" s="1">
        <f>IF(AD11&lt;-20000000.0/100,1,0)</f>
        <v>0</v>
      </c>
      <c r="AH11" s="1">
        <f>IF(AF11&gt;20000000.0/100,1,0)</f>
        <v>0</v>
      </c>
      <c r="AI11" s="1">
        <f>IF(U11&lt;0,1,0)</f>
        <v>0</v>
      </c>
      <c r="AJ11" s="1">
        <f>IF(AI11=1,U11,0)</f>
        <v>0</v>
      </c>
      <c r="AK11" s="1">
        <f>IF(U11&gt;0,1,0)</f>
        <v>0</v>
      </c>
      <c r="AL11" s="1">
        <f>IF(AK11=1,U11,0)</f>
        <v>0</v>
      </c>
      <c r="AM11" s="1">
        <f>IF(AJ11&lt;-20000000.0/100,1,0)</f>
        <v>0</v>
      </c>
      <c r="AN11" s="1">
        <f>IF(AL11&gt;20000000.0/100,1,0)</f>
        <v>0</v>
      </c>
    </row>
    <row r="12" spans="1:40" s="1" customFormat="1">
      <c r="A12" s="3">
        <v>45306</v>
      </c>
      <c r="B12" s="2" t="s">
        <v>22</v>
      </c>
      <c r="C12" s="1">
        <f>SUM(PL!H12:J12)</f>
        <v>0</v>
      </c>
      <c r="D12" s="1">
        <f>SUM(PL!K12:M12)</f>
        <v>0</v>
      </c>
      <c r="E12" s="1">
        <f>SUM(PL!N12:P12)</f>
        <v>0</v>
      </c>
      <c r="F12" s="1">
        <f>SUM(PL!Q12:S12)</f>
        <v>0</v>
      </c>
      <c r="G12" s="1">
        <f>SUM(PL!T12:V12)</f>
        <v>0</v>
      </c>
      <c r="H12" s="1">
        <f>SUM(C12:G12)</f>
        <v>0</v>
      </c>
      <c r="I12" s="1">
        <f>IF(C12 + I11 &lt; 0, C12 + I11, 0)</f>
        <v>0</v>
      </c>
      <c r="J12" s="1">
        <f>IF(D12 + J11 &lt; 0, D12 + J11, 0)</f>
        <v>0</v>
      </c>
      <c r="K12" s="1">
        <f>IF(E12 + K11 &lt; 0, E12 + K11, 0)</f>
        <v>0</v>
      </c>
      <c r="L12" s="1">
        <f>IF(F12 + L11 &lt; 0, F12 + L11, 0)</f>
        <v>0</v>
      </c>
      <c r="M12" s="1">
        <f>IF(G12 + M11 &lt; 0, G12 + M11, 0)</f>
        <v>0</v>
      </c>
      <c r="N12" s="1">
        <f>IF(H12 + N11 &lt; 0, H12 + N11, 0)</f>
        <v>0</v>
      </c>
      <c r="O12" s="1">
        <f>IF(N12 &lt; 0, 1 + O11, 0)</f>
        <v>0</v>
      </c>
      <c r="P12" s="1">
        <f>C12-((ABS(SUM(PL!H12:J12)))*0.125)</f>
        <v>0</v>
      </c>
      <c r="Q12" s="1">
        <f>D12-((ABS(SUM(PL!K12:M12)))*0.125)</f>
        <v>0</v>
      </c>
      <c r="R12" s="1">
        <f>E12-((ABS(SUM(PL!N12:P12)))*0.125)</f>
        <v>0</v>
      </c>
      <c r="S12" s="1">
        <f>F12-((ABS(SUM(PL!Q12:S12)))*0.125)</f>
        <v>0</v>
      </c>
      <c r="T12" s="1">
        <f>G12-((ABS(SUM(PL!T12:V12)))*0.125)</f>
        <v>0</v>
      </c>
      <c r="U12" s="1">
        <f>P12 + Q12 + R12 + S12 + T12</f>
        <v>0</v>
      </c>
      <c r="V12" s="1">
        <f>IF(P12 + V11 &lt; 0, P12 + V11, 0)</f>
        <v>0</v>
      </c>
      <c r="W12" s="1">
        <f>IF(Q12 + W11 &lt; 0, Q12 + W11, 0)</f>
        <v>0</v>
      </c>
      <c r="X12" s="1">
        <f>IF(R12 + X11 &lt; 0, R12 + X11, 0)</f>
        <v>0</v>
      </c>
      <c r="Y12" s="1">
        <f>IF(S12 + Y11 &lt; 0, S12 + Y11, 0)</f>
        <v>0</v>
      </c>
      <c r="Z12" s="1">
        <f>IF(T12 + Z11 &lt; 0, T12 + Z11, 0)</f>
        <v>0</v>
      </c>
      <c r="AA12" s="1">
        <f>IF(U12 + AA11 &lt; 0, U12 + AA11, 0)</f>
        <v>0</v>
      </c>
      <c r="AB12" s="1">
        <f>IF(AA12 &lt; 0, 1 + AB11, 0)</f>
        <v>0</v>
      </c>
      <c r="AC12" s="1">
        <f>IF(H12&lt;0,1,0)</f>
        <v>0</v>
      </c>
      <c r="AD12" s="1">
        <f>IF(AC12=1,H12,0)</f>
        <v>0</v>
      </c>
      <c r="AE12" s="1">
        <f>IF(H12&gt;0,1,0)</f>
        <v>0</v>
      </c>
      <c r="AF12" s="1">
        <f>IF(AE12=1,H12,0)</f>
        <v>0</v>
      </c>
      <c r="AG12" s="1">
        <f>IF(AD12&lt;-20000000.0/100,1,0)</f>
        <v>0</v>
      </c>
      <c r="AH12" s="1">
        <f>IF(AF12&gt;20000000.0/100,1,0)</f>
        <v>0</v>
      </c>
      <c r="AI12" s="1">
        <f>IF(U12&lt;0,1,0)</f>
        <v>0</v>
      </c>
      <c r="AJ12" s="1">
        <f>IF(AI12=1,U12,0)</f>
        <v>0</v>
      </c>
      <c r="AK12" s="1">
        <f>IF(U12&gt;0,1,0)</f>
        <v>0</v>
      </c>
      <c r="AL12" s="1">
        <f>IF(AK12=1,U12,0)</f>
        <v>0</v>
      </c>
      <c r="AM12" s="1">
        <f>IF(AJ12&lt;-20000000.0/100,1,0)</f>
        <v>0</v>
      </c>
      <c r="AN12" s="1">
        <f>IF(AL12&gt;20000000.0/100,1,0)</f>
        <v>0</v>
      </c>
    </row>
    <row r="13" spans="1:40" s="1" customFormat="1">
      <c r="A13" s="3">
        <v>45307</v>
      </c>
      <c r="B13" s="2" t="s">
        <v>23</v>
      </c>
      <c r="C13" s="1">
        <f>SUM(PL!H13:J13)</f>
        <v>0</v>
      </c>
      <c r="D13" s="1">
        <f>SUM(PL!K13:M13)</f>
        <v>0</v>
      </c>
      <c r="E13" s="1">
        <f>SUM(PL!N13:P13)</f>
        <v>0</v>
      </c>
      <c r="F13" s="1">
        <f>SUM(PL!Q13:S13)</f>
        <v>0</v>
      </c>
      <c r="G13" s="1">
        <f>SUM(PL!T13:V13)</f>
        <v>0</v>
      </c>
      <c r="H13" s="1">
        <f>SUM(C13:G13)</f>
        <v>0</v>
      </c>
      <c r="I13" s="1">
        <f>IF(C13 + I12 &lt; 0, C13 + I12, 0)</f>
        <v>0</v>
      </c>
      <c r="J13" s="1">
        <f>IF(D13 + J12 &lt; 0, D13 + J12, 0)</f>
        <v>0</v>
      </c>
      <c r="K13" s="1">
        <f>IF(E13 + K12 &lt; 0, E13 + K12, 0)</f>
        <v>0</v>
      </c>
      <c r="L13" s="1">
        <f>IF(F13 + L12 &lt; 0, F13 + L12, 0)</f>
        <v>0</v>
      </c>
      <c r="M13" s="1">
        <f>IF(G13 + M12 &lt; 0, G13 + M12, 0)</f>
        <v>0</v>
      </c>
      <c r="N13" s="1">
        <f>IF(H13 + N12 &lt; 0, H13 + N12, 0)</f>
        <v>0</v>
      </c>
      <c r="O13" s="1">
        <f>IF(N13 &lt; 0, 1 + O12, 0)</f>
        <v>0</v>
      </c>
      <c r="P13" s="1">
        <f>C13-((ABS(SUM(PL!H13:J13)))*0.125)</f>
        <v>0</v>
      </c>
      <c r="Q13" s="1">
        <f>D13-((ABS(SUM(PL!K13:M13)))*0.125)</f>
        <v>0</v>
      </c>
      <c r="R13" s="1">
        <f>E13-((ABS(SUM(PL!N13:P13)))*0.125)</f>
        <v>0</v>
      </c>
      <c r="S13" s="1">
        <f>F13-((ABS(SUM(PL!Q13:S13)))*0.125)</f>
        <v>0</v>
      </c>
      <c r="T13" s="1">
        <f>G13-((ABS(SUM(PL!T13:V13)))*0.125)</f>
        <v>0</v>
      </c>
      <c r="U13" s="1">
        <f>P13 + Q13 + R13 + S13 + T13</f>
        <v>0</v>
      </c>
      <c r="V13" s="1">
        <f>IF(P13 + V12 &lt; 0, P13 + V12, 0)</f>
        <v>0</v>
      </c>
      <c r="W13" s="1">
        <f>IF(Q13 + W12 &lt; 0, Q13 + W12, 0)</f>
        <v>0</v>
      </c>
      <c r="X13" s="1">
        <f>IF(R13 + X12 &lt; 0, R13 + X12, 0)</f>
        <v>0</v>
      </c>
      <c r="Y13" s="1">
        <f>IF(S13 + Y12 &lt; 0, S13 + Y12, 0)</f>
        <v>0</v>
      </c>
      <c r="Z13" s="1">
        <f>IF(T13 + Z12 &lt; 0, T13 + Z12, 0)</f>
        <v>0</v>
      </c>
      <c r="AA13" s="1">
        <f>IF(U13 + AA12 &lt; 0, U13 + AA12, 0)</f>
        <v>0</v>
      </c>
      <c r="AB13" s="1">
        <f>IF(AA13 &lt; 0, 1 + AB12, 0)</f>
        <v>0</v>
      </c>
      <c r="AC13" s="1">
        <f>IF(H13&lt;0,1,0)</f>
        <v>0</v>
      </c>
      <c r="AD13" s="1">
        <f>IF(AC13=1,H13,0)</f>
        <v>0</v>
      </c>
      <c r="AE13" s="1">
        <f>IF(H13&gt;0,1,0)</f>
        <v>0</v>
      </c>
      <c r="AF13" s="1">
        <f>IF(AE13=1,H13,0)</f>
        <v>0</v>
      </c>
      <c r="AG13" s="1">
        <f>IF(AD13&lt;-20000000.0/100,1,0)</f>
        <v>0</v>
      </c>
      <c r="AH13" s="1">
        <f>IF(AF13&gt;20000000.0/100,1,0)</f>
        <v>0</v>
      </c>
      <c r="AI13" s="1">
        <f>IF(U13&lt;0,1,0)</f>
        <v>0</v>
      </c>
      <c r="AJ13" s="1">
        <f>IF(AI13=1,U13,0)</f>
        <v>0</v>
      </c>
      <c r="AK13" s="1">
        <f>IF(U13&gt;0,1,0)</f>
        <v>0</v>
      </c>
      <c r="AL13" s="1">
        <f>IF(AK13=1,U13,0)</f>
        <v>0</v>
      </c>
      <c r="AM13" s="1">
        <f>IF(AJ13&lt;-20000000.0/100,1,0)</f>
        <v>0</v>
      </c>
      <c r="AN13" s="1">
        <f>IF(AL13&gt;20000000.0/100,1,0)</f>
        <v>0</v>
      </c>
    </row>
    <row r="14" spans="1:40" s="1" customFormat="1">
      <c r="A14" s="3">
        <v>45308</v>
      </c>
      <c r="B14" s="2" t="s">
        <v>24</v>
      </c>
      <c r="C14" s="1">
        <f>SUM(PL!H14:J14)</f>
        <v>0</v>
      </c>
      <c r="D14" s="1">
        <f>SUM(PL!K14:M14)</f>
        <v>0</v>
      </c>
      <c r="E14" s="1">
        <f>SUM(PL!N14:P14)</f>
        <v>0</v>
      </c>
      <c r="F14" s="1">
        <f>SUM(PL!Q14:S14)</f>
        <v>0</v>
      </c>
      <c r="G14" s="1">
        <f>SUM(PL!T14:V14)</f>
        <v>0</v>
      </c>
      <c r="H14" s="1">
        <f>SUM(C14:G14)</f>
        <v>0</v>
      </c>
      <c r="I14" s="1">
        <f>IF(C14 + I13 &lt; 0, C14 + I13, 0)</f>
        <v>0</v>
      </c>
      <c r="J14" s="1">
        <f>IF(D14 + J13 &lt; 0, D14 + J13, 0)</f>
        <v>0</v>
      </c>
      <c r="K14" s="1">
        <f>IF(E14 + K13 &lt; 0, E14 + K13, 0)</f>
        <v>0</v>
      </c>
      <c r="L14" s="1">
        <f>IF(F14 + L13 &lt; 0, F14 + L13, 0)</f>
        <v>0</v>
      </c>
      <c r="M14" s="1">
        <f>IF(G14 + M13 &lt; 0, G14 + M13, 0)</f>
        <v>0</v>
      </c>
      <c r="N14" s="1">
        <f>IF(H14 + N13 &lt; 0, H14 + N13, 0)</f>
        <v>0</v>
      </c>
      <c r="O14" s="1">
        <f>IF(N14 &lt; 0, 1 + O13, 0)</f>
        <v>0</v>
      </c>
      <c r="P14" s="1">
        <f>C14-((ABS(SUM(PL!H14:J14)))*0.125)</f>
        <v>0</v>
      </c>
      <c r="Q14" s="1">
        <f>D14-((ABS(SUM(PL!K14:M14)))*0.125)</f>
        <v>0</v>
      </c>
      <c r="R14" s="1">
        <f>E14-((ABS(SUM(PL!N14:P14)))*0.125)</f>
        <v>0</v>
      </c>
      <c r="S14" s="1">
        <f>F14-((ABS(SUM(PL!Q14:S14)))*0.125)</f>
        <v>0</v>
      </c>
      <c r="T14" s="1">
        <f>G14-((ABS(SUM(PL!T14:V14)))*0.125)</f>
        <v>0</v>
      </c>
      <c r="U14" s="1">
        <f>P14 + Q14 + R14 + S14 + T14</f>
        <v>0</v>
      </c>
      <c r="V14" s="1">
        <f>IF(P14 + V13 &lt; 0, P14 + V13, 0)</f>
        <v>0</v>
      </c>
      <c r="W14" s="1">
        <f>IF(Q14 + W13 &lt; 0, Q14 + W13, 0)</f>
        <v>0</v>
      </c>
      <c r="X14" s="1">
        <f>IF(R14 + X13 &lt; 0, R14 + X13, 0)</f>
        <v>0</v>
      </c>
      <c r="Y14" s="1">
        <f>IF(S14 + Y13 &lt; 0, S14 + Y13, 0)</f>
        <v>0</v>
      </c>
      <c r="Z14" s="1">
        <f>IF(T14 + Z13 &lt; 0, T14 + Z13, 0)</f>
        <v>0</v>
      </c>
      <c r="AA14" s="1">
        <f>IF(U14 + AA13 &lt; 0, U14 + AA13, 0)</f>
        <v>0</v>
      </c>
      <c r="AB14" s="1">
        <f>IF(AA14 &lt; 0, 1 + AB13, 0)</f>
        <v>0</v>
      </c>
      <c r="AC14" s="1">
        <f>IF(H14&lt;0,1,0)</f>
        <v>0</v>
      </c>
      <c r="AD14" s="1">
        <f>IF(AC14=1,H14,0)</f>
        <v>0</v>
      </c>
      <c r="AE14" s="1">
        <f>IF(H14&gt;0,1,0)</f>
        <v>0</v>
      </c>
      <c r="AF14" s="1">
        <f>IF(AE14=1,H14,0)</f>
        <v>0</v>
      </c>
      <c r="AG14" s="1">
        <f>IF(AD14&lt;-20000000.0/100,1,0)</f>
        <v>0</v>
      </c>
      <c r="AH14" s="1">
        <f>IF(AF14&gt;20000000.0/100,1,0)</f>
        <v>0</v>
      </c>
      <c r="AI14" s="1">
        <f>IF(U14&lt;0,1,0)</f>
        <v>0</v>
      </c>
      <c r="AJ14" s="1">
        <f>IF(AI14=1,U14,0)</f>
        <v>0</v>
      </c>
      <c r="AK14" s="1">
        <f>IF(U14&gt;0,1,0)</f>
        <v>0</v>
      </c>
      <c r="AL14" s="1">
        <f>IF(AK14=1,U14,0)</f>
        <v>0</v>
      </c>
      <c r="AM14" s="1">
        <f>IF(AJ14&lt;-20000000.0/100,1,0)</f>
        <v>0</v>
      </c>
      <c r="AN14" s="1">
        <f>IF(AL14&gt;20000000.0/100,1,0)</f>
        <v>0</v>
      </c>
    </row>
    <row r="15" spans="1:40" s="1" customFormat="1">
      <c r="A15" s="3">
        <v>45309</v>
      </c>
      <c r="B15" s="2" t="s">
        <v>25</v>
      </c>
      <c r="C15" s="1">
        <f>SUM(PL!H15:J15)</f>
        <v>0</v>
      </c>
      <c r="D15" s="1">
        <f>SUM(PL!K15:M15)</f>
        <v>0</v>
      </c>
      <c r="E15" s="1">
        <f>SUM(PL!N15:P15)</f>
        <v>0</v>
      </c>
      <c r="F15" s="1">
        <f>SUM(PL!Q15:S15)</f>
        <v>0</v>
      </c>
      <c r="G15" s="1">
        <f>SUM(PL!T15:V15)</f>
        <v>0</v>
      </c>
      <c r="H15" s="1">
        <f>SUM(C15:G15)</f>
        <v>0</v>
      </c>
      <c r="I15" s="1">
        <f>IF(C15 + I14 &lt; 0, C15 + I14, 0)</f>
        <v>0</v>
      </c>
      <c r="J15" s="1">
        <f>IF(D15 + J14 &lt; 0, D15 + J14, 0)</f>
        <v>0</v>
      </c>
      <c r="K15" s="1">
        <f>IF(E15 + K14 &lt; 0, E15 + K14, 0)</f>
        <v>0</v>
      </c>
      <c r="L15" s="1">
        <f>IF(F15 + L14 &lt; 0, F15 + L14, 0)</f>
        <v>0</v>
      </c>
      <c r="M15" s="1">
        <f>IF(G15 + M14 &lt; 0, G15 + M14, 0)</f>
        <v>0</v>
      </c>
      <c r="N15" s="1">
        <f>IF(H15 + N14 &lt; 0, H15 + N14, 0)</f>
        <v>0</v>
      </c>
      <c r="O15" s="1">
        <f>IF(N15 &lt; 0, 1 + O14, 0)</f>
        <v>0</v>
      </c>
      <c r="P15" s="1">
        <f>C15-((ABS(SUM(PL!H15:J15)))*0.125)</f>
        <v>0</v>
      </c>
      <c r="Q15" s="1">
        <f>D15-((ABS(SUM(PL!K15:M15)))*0.125)</f>
        <v>0</v>
      </c>
      <c r="R15" s="1">
        <f>E15-((ABS(SUM(PL!N15:P15)))*0.125)</f>
        <v>0</v>
      </c>
      <c r="S15" s="1">
        <f>F15-((ABS(SUM(PL!Q15:S15)))*0.125)</f>
        <v>0</v>
      </c>
      <c r="T15" s="1">
        <f>G15-((ABS(SUM(PL!T15:V15)))*0.125)</f>
        <v>0</v>
      </c>
      <c r="U15" s="1">
        <f>P15 + Q15 + R15 + S15 + T15</f>
        <v>0</v>
      </c>
      <c r="V15" s="1">
        <f>IF(P15 + V14 &lt; 0, P15 + V14, 0)</f>
        <v>0</v>
      </c>
      <c r="W15" s="1">
        <f>IF(Q15 + W14 &lt; 0, Q15 + W14, 0)</f>
        <v>0</v>
      </c>
      <c r="X15" s="1">
        <f>IF(R15 + X14 &lt; 0, R15 + X14, 0)</f>
        <v>0</v>
      </c>
      <c r="Y15" s="1">
        <f>IF(S15 + Y14 &lt; 0, S15 + Y14, 0)</f>
        <v>0</v>
      </c>
      <c r="Z15" s="1">
        <f>IF(T15 + Z14 &lt; 0, T15 + Z14, 0)</f>
        <v>0</v>
      </c>
      <c r="AA15" s="1">
        <f>IF(U15 + AA14 &lt; 0, U15 + AA14, 0)</f>
        <v>0</v>
      </c>
      <c r="AB15" s="1">
        <f>IF(AA15 &lt; 0, 1 + AB14, 0)</f>
        <v>0</v>
      </c>
      <c r="AC15" s="1">
        <f>IF(H15&lt;0,1,0)</f>
        <v>0</v>
      </c>
      <c r="AD15" s="1">
        <f>IF(AC15=1,H15,0)</f>
        <v>0</v>
      </c>
      <c r="AE15" s="1">
        <f>IF(H15&gt;0,1,0)</f>
        <v>0</v>
      </c>
      <c r="AF15" s="1">
        <f>IF(AE15=1,H15,0)</f>
        <v>0</v>
      </c>
      <c r="AG15" s="1">
        <f>IF(AD15&lt;-20000000.0/100,1,0)</f>
        <v>0</v>
      </c>
      <c r="AH15" s="1">
        <f>IF(AF15&gt;20000000.0/100,1,0)</f>
        <v>0</v>
      </c>
      <c r="AI15" s="1">
        <f>IF(U15&lt;0,1,0)</f>
        <v>0</v>
      </c>
      <c r="AJ15" s="1">
        <f>IF(AI15=1,U15,0)</f>
        <v>0</v>
      </c>
      <c r="AK15" s="1">
        <f>IF(U15&gt;0,1,0)</f>
        <v>0</v>
      </c>
      <c r="AL15" s="1">
        <f>IF(AK15=1,U15,0)</f>
        <v>0</v>
      </c>
      <c r="AM15" s="1">
        <f>IF(AJ15&lt;-20000000.0/100,1,0)</f>
        <v>0</v>
      </c>
      <c r="AN15" s="1">
        <f>IF(AL15&gt;20000000.0/100,1,0)</f>
        <v>0</v>
      </c>
    </row>
    <row r="16" spans="1:40" s="1" customFormat="1">
      <c r="A16" s="3">
        <v>45310</v>
      </c>
      <c r="B16" s="2" t="s">
        <v>26</v>
      </c>
      <c r="C16" s="1">
        <f>SUM(PL!H16:J16)</f>
        <v>0</v>
      </c>
      <c r="D16" s="1">
        <f>SUM(PL!K16:M16)</f>
        <v>0</v>
      </c>
      <c r="E16" s="1">
        <f>SUM(PL!N16:P16)</f>
        <v>0</v>
      </c>
      <c r="F16" s="1">
        <f>SUM(PL!Q16:S16)</f>
        <v>0</v>
      </c>
      <c r="G16" s="1">
        <f>SUM(PL!T16:V16)</f>
        <v>0</v>
      </c>
      <c r="H16" s="1">
        <f>SUM(C16:G16)</f>
        <v>0</v>
      </c>
      <c r="I16" s="1">
        <f>IF(C16 + I15 &lt; 0, C16 + I15, 0)</f>
        <v>0</v>
      </c>
      <c r="J16" s="1">
        <f>IF(D16 + J15 &lt; 0, D16 + J15, 0)</f>
        <v>0</v>
      </c>
      <c r="K16" s="1">
        <f>IF(E16 + K15 &lt; 0, E16 + K15, 0)</f>
        <v>0</v>
      </c>
      <c r="L16" s="1">
        <f>IF(F16 + L15 &lt; 0, F16 + L15, 0)</f>
        <v>0</v>
      </c>
      <c r="M16" s="1">
        <f>IF(G16 + M15 &lt; 0, G16 + M15, 0)</f>
        <v>0</v>
      </c>
      <c r="N16" s="1">
        <f>IF(H16 + N15 &lt; 0, H16 + N15, 0)</f>
        <v>0</v>
      </c>
      <c r="O16" s="1">
        <f>IF(N16 &lt; 0, 1 + O15, 0)</f>
        <v>0</v>
      </c>
      <c r="P16" s="1">
        <f>C16-((ABS(SUM(PL!H16:J16)))*0.125)</f>
        <v>0</v>
      </c>
      <c r="Q16" s="1">
        <f>D16-((ABS(SUM(PL!K16:M16)))*0.125)</f>
        <v>0</v>
      </c>
      <c r="R16" s="1">
        <f>E16-((ABS(SUM(PL!N16:P16)))*0.125)</f>
        <v>0</v>
      </c>
      <c r="S16" s="1">
        <f>F16-((ABS(SUM(PL!Q16:S16)))*0.125)</f>
        <v>0</v>
      </c>
      <c r="T16" s="1">
        <f>G16-((ABS(SUM(PL!T16:V16)))*0.125)</f>
        <v>0</v>
      </c>
      <c r="U16" s="1">
        <f>P16 + Q16 + R16 + S16 + T16</f>
        <v>0</v>
      </c>
      <c r="V16" s="1">
        <f>IF(P16 + V15 &lt; 0, P16 + V15, 0)</f>
        <v>0</v>
      </c>
      <c r="W16" s="1">
        <f>IF(Q16 + W15 &lt; 0, Q16 + W15, 0)</f>
        <v>0</v>
      </c>
      <c r="X16" s="1">
        <f>IF(R16 + X15 &lt; 0, R16 + X15, 0)</f>
        <v>0</v>
      </c>
      <c r="Y16" s="1">
        <f>IF(S16 + Y15 &lt; 0, S16 + Y15, 0)</f>
        <v>0</v>
      </c>
      <c r="Z16" s="1">
        <f>IF(T16 + Z15 &lt; 0, T16 + Z15, 0)</f>
        <v>0</v>
      </c>
      <c r="AA16" s="1">
        <f>IF(U16 + AA15 &lt; 0, U16 + AA15, 0)</f>
        <v>0</v>
      </c>
      <c r="AB16" s="1">
        <f>IF(AA16 &lt; 0, 1 + AB15, 0)</f>
        <v>0</v>
      </c>
      <c r="AC16" s="1">
        <f>IF(H16&lt;0,1,0)</f>
        <v>0</v>
      </c>
      <c r="AD16" s="1">
        <f>IF(AC16=1,H16,0)</f>
        <v>0</v>
      </c>
      <c r="AE16" s="1">
        <f>IF(H16&gt;0,1,0)</f>
        <v>0</v>
      </c>
      <c r="AF16" s="1">
        <f>IF(AE16=1,H16,0)</f>
        <v>0</v>
      </c>
      <c r="AG16" s="1">
        <f>IF(AD16&lt;-20000000.0/100,1,0)</f>
        <v>0</v>
      </c>
      <c r="AH16" s="1">
        <f>IF(AF16&gt;20000000.0/100,1,0)</f>
        <v>0</v>
      </c>
      <c r="AI16" s="1">
        <f>IF(U16&lt;0,1,0)</f>
        <v>0</v>
      </c>
      <c r="AJ16" s="1">
        <f>IF(AI16=1,U16,0)</f>
        <v>0</v>
      </c>
      <c r="AK16" s="1">
        <f>IF(U16&gt;0,1,0)</f>
        <v>0</v>
      </c>
      <c r="AL16" s="1">
        <f>IF(AK16=1,U16,0)</f>
        <v>0</v>
      </c>
      <c r="AM16" s="1">
        <f>IF(AJ16&lt;-20000000.0/100,1,0)</f>
        <v>0</v>
      </c>
      <c r="AN16" s="1">
        <f>IF(AL16&gt;20000000.0/100,1,0)</f>
        <v>0</v>
      </c>
    </row>
    <row r="17" spans="1:40" s="1" customFormat="1">
      <c r="A17" s="3">
        <v>45311</v>
      </c>
      <c r="B17" s="2" t="s">
        <v>27</v>
      </c>
      <c r="C17" s="1">
        <f>SUM(PL!H17:J17)</f>
        <v>0</v>
      </c>
      <c r="D17" s="1">
        <f>SUM(PL!K17:M17)</f>
        <v>0</v>
      </c>
      <c r="E17" s="1">
        <f>SUM(PL!N17:P17)</f>
        <v>0</v>
      </c>
      <c r="F17" s="1">
        <f>SUM(PL!Q17:S17)</f>
        <v>0</v>
      </c>
      <c r="G17" s="1">
        <f>SUM(PL!T17:V17)</f>
        <v>0</v>
      </c>
      <c r="H17" s="1">
        <f>SUM(C17:G17)</f>
        <v>0</v>
      </c>
      <c r="I17" s="1">
        <f>IF(C17 + I16 &lt; 0, C17 + I16, 0)</f>
        <v>0</v>
      </c>
      <c r="J17" s="1">
        <f>IF(D17 + J16 &lt; 0, D17 + J16, 0)</f>
        <v>0</v>
      </c>
      <c r="K17" s="1">
        <f>IF(E17 + K16 &lt; 0, E17 + K16, 0)</f>
        <v>0</v>
      </c>
      <c r="L17" s="1">
        <f>IF(F17 + L16 &lt; 0, F17 + L16, 0)</f>
        <v>0</v>
      </c>
      <c r="M17" s="1">
        <f>IF(G17 + M16 &lt; 0, G17 + M16, 0)</f>
        <v>0</v>
      </c>
      <c r="N17" s="1">
        <f>IF(H17 + N16 &lt; 0, H17 + N16, 0)</f>
        <v>0</v>
      </c>
      <c r="O17" s="1">
        <f>IF(N17 &lt; 0, 1 + O16, 0)</f>
        <v>0</v>
      </c>
      <c r="P17" s="1">
        <f>C17-((ABS(SUM(PL!H17:J17)))*0.125)</f>
        <v>0</v>
      </c>
      <c r="Q17" s="1">
        <f>D17-((ABS(SUM(PL!K17:M17)))*0.125)</f>
        <v>0</v>
      </c>
      <c r="R17" s="1">
        <f>E17-((ABS(SUM(PL!N17:P17)))*0.125)</f>
        <v>0</v>
      </c>
      <c r="S17" s="1">
        <f>F17-((ABS(SUM(PL!Q17:S17)))*0.125)</f>
        <v>0</v>
      </c>
      <c r="T17" s="1">
        <f>G17-((ABS(SUM(PL!T17:V17)))*0.125)</f>
        <v>0</v>
      </c>
      <c r="U17" s="1">
        <f>P17 + Q17 + R17 + S17 + T17</f>
        <v>0</v>
      </c>
      <c r="V17" s="1">
        <f>IF(P17 + V16 &lt; 0, P17 + V16, 0)</f>
        <v>0</v>
      </c>
      <c r="W17" s="1">
        <f>IF(Q17 + W16 &lt; 0, Q17 + W16, 0)</f>
        <v>0</v>
      </c>
      <c r="X17" s="1">
        <f>IF(R17 + X16 &lt; 0, R17 + X16, 0)</f>
        <v>0</v>
      </c>
      <c r="Y17" s="1">
        <f>IF(S17 + Y16 &lt; 0, S17 + Y16, 0)</f>
        <v>0</v>
      </c>
      <c r="Z17" s="1">
        <f>IF(T17 + Z16 &lt; 0, T17 + Z16, 0)</f>
        <v>0</v>
      </c>
      <c r="AA17" s="1">
        <f>IF(U17 + AA16 &lt; 0, U17 + AA16, 0)</f>
        <v>0</v>
      </c>
      <c r="AB17" s="1">
        <f>IF(AA17 &lt; 0, 1 + AB16, 0)</f>
        <v>0</v>
      </c>
      <c r="AC17" s="1">
        <f>IF(H17&lt;0,1,0)</f>
        <v>0</v>
      </c>
      <c r="AD17" s="1">
        <f>IF(AC17=1,H17,0)</f>
        <v>0</v>
      </c>
      <c r="AE17" s="1">
        <f>IF(H17&gt;0,1,0)</f>
        <v>0</v>
      </c>
      <c r="AF17" s="1">
        <f>IF(AE17=1,H17,0)</f>
        <v>0</v>
      </c>
      <c r="AG17" s="1">
        <f>IF(AD17&lt;-20000000.0/100,1,0)</f>
        <v>0</v>
      </c>
      <c r="AH17" s="1">
        <f>IF(AF17&gt;20000000.0/100,1,0)</f>
        <v>0</v>
      </c>
      <c r="AI17" s="1">
        <f>IF(U17&lt;0,1,0)</f>
        <v>0</v>
      </c>
      <c r="AJ17" s="1">
        <f>IF(AI17=1,U17,0)</f>
        <v>0</v>
      </c>
      <c r="AK17" s="1">
        <f>IF(U17&gt;0,1,0)</f>
        <v>0</v>
      </c>
      <c r="AL17" s="1">
        <f>IF(AK17=1,U17,0)</f>
        <v>0</v>
      </c>
      <c r="AM17" s="1">
        <f>IF(AJ17&lt;-20000000.0/100,1,0)</f>
        <v>0</v>
      </c>
      <c r="AN17" s="1">
        <f>IF(AL17&gt;20000000.0/100,1,0)</f>
        <v>0</v>
      </c>
    </row>
    <row r="18" spans="1:40" s="1" customFormat="1">
      <c r="A18" s="3">
        <v>45314</v>
      </c>
      <c r="B18" s="2" t="s">
        <v>23</v>
      </c>
      <c r="C18" s="1">
        <f>SUM(PL!H18:J18)</f>
        <v>0</v>
      </c>
      <c r="D18" s="1">
        <f>SUM(PL!K18:M18)</f>
        <v>0</v>
      </c>
      <c r="E18" s="1">
        <f>SUM(PL!N18:P18)</f>
        <v>0</v>
      </c>
      <c r="F18" s="1">
        <f>SUM(PL!Q18:S18)</f>
        <v>0</v>
      </c>
      <c r="G18" s="1">
        <f>SUM(PL!T18:V18)</f>
        <v>0</v>
      </c>
      <c r="H18" s="1">
        <f>SUM(C18:G18)</f>
        <v>0</v>
      </c>
      <c r="I18" s="1">
        <f>IF(C18 + I17 &lt; 0, C18 + I17, 0)</f>
        <v>0</v>
      </c>
      <c r="J18" s="1">
        <f>IF(D18 + J17 &lt; 0, D18 + J17, 0)</f>
        <v>0</v>
      </c>
      <c r="K18" s="1">
        <f>IF(E18 + K17 &lt; 0, E18 + K17, 0)</f>
        <v>0</v>
      </c>
      <c r="L18" s="1">
        <f>IF(F18 + L17 &lt; 0, F18 + L17, 0)</f>
        <v>0</v>
      </c>
      <c r="M18" s="1">
        <f>IF(G18 + M17 &lt; 0, G18 + M17, 0)</f>
        <v>0</v>
      </c>
      <c r="N18" s="1">
        <f>IF(H18 + N17 &lt; 0, H18 + N17, 0)</f>
        <v>0</v>
      </c>
      <c r="O18" s="1">
        <f>IF(N18 &lt; 0, 1 + O17, 0)</f>
        <v>0</v>
      </c>
      <c r="P18" s="1">
        <f>C18-((ABS(SUM(PL!H18:J18)))*0.125)</f>
        <v>0</v>
      </c>
      <c r="Q18" s="1">
        <f>D18-((ABS(SUM(PL!K18:M18)))*0.125)</f>
        <v>0</v>
      </c>
      <c r="R18" s="1">
        <f>E18-((ABS(SUM(PL!N18:P18)))*0.125)</f>
        <v>0</v>
      </c>
      <c r="S18" s="1">
        <f>F18-((ABS(SUM(PL!Q18:S18)))*0.125)</f>
        <v>0</v>
      </c>
      <c r="T18" s="1">
        <f>G18-((ABS(SUM(PL!T18:V18)))*0.125)</f>
        <v>0</v>
      </c>
      <c r="U18" s="1">
        <f>P18 + Q18 + R18 + S18 + T18</f>
        <v>0</v>
      </c>
      <c r="V18" s="1">
        <f>IF(P18 + V17 &lt; 0, P18 + V17, 0)</f>
        <v>0</v>
      </c>
      <c r="W18" s="1">
        <f>IF(Q18 + W17 &lt; 0, Q18 + W17, 0)</f>
        <v>0</v>
      </c>
      <c r="X18" s="1">
        <f>IF(R18 + X17 &lt; 0, R18 + X17, 0)</f>
        <v>0</v>
      </c>
      <c r="Y18" s="1">
        <f>IF(S18 + Y17 &lt; 0, S18 + Y17, 0)</f>
        <v>0</v>
      </c>
      <c r="Z18" s="1">
        <f>IF(T18 + Z17 &lt; 0, T18 + Z17, 0)</f>
        <v>0</v>
      </c>
      <c r="AA18" s="1">
        <f>IF(U18 + AA17 &lt; 0, U18 + AA17, 0)</f>
        <v>0</v>
      </c>
      <c r="AB18" s="1">
        <f>IF(AA18 &lt; 0, 1 + AB17, 0)</f>
        <v>0</v>
      </c>
      <c r="AC18" s="1">
        <f>IF(H18&lt;0,1,0)</f>
        <v>0</v>
      </c>
      <c r="AD18" s="1">
        <f>IF(AC18=1,H18,0)</f>
        <v>0</v>
      </c>
      <c r="AE18" s="1">
        <f>IF(H18&gt;0,1,0)</f>
        <v>0</v>
      </c>
      <c r="AF18" s="1">
        <f>IF(AE18=1,H18,0)</f>
        <v>0</v>
      </c>
      <c r="AG18" s="1">
        <f>IF(AD18&lt;-20000000.0/100,1,0)</f>
        <v>0</v>
      </c>
      <c r="AH18" s="1">
        <f>IF(AF18&gt;20000000.0/100,1,0)</f>
        <v>0</v>
      </c>
      <c r="AI18" s="1">
        <f>IF(U18&lt;0,1,0)</f>
        <v>0</v>
      </c>
      <c r="AJ18" s="1">
        <f>IF(AI18=1,U18,0)</f>
        <v>0</v>
      </c>
      <c r="AK18" s="1">
        <f>IF(U18&gt;0,1,0)</f>
        <v>0</v>
      </c>
      <c r="AL18" s="1">
        <f>IF(AK18=1,U18,0)</f>
        <v>0</v>
      </c>
      <c r="AM18" s="1">
        <f>IF(AJ18&lt;-20000000.0/100,1,0)</f>
        <v>0</v>
      </c>
      <c r="AN18" s="1">
        <f>IF(AL18&gt;20000000.0/100,1,0)</f>
        <v>0</v>
      </c>
    </row>
    <row r="19" spans="1:40" s="1" customFormat="1">
      <c r="A19" s="3">
        <v>45315</v>
      </c>
      <c r="B19" s="2" t="s">
        <v>24</v>
      </c>
      <c r="C19" s="1">
        <f>SUM(PL!H19:J19)</f>
        <v>0</v>
      </c>
      <c r="D19" s="1">
        <f>SUM(PL!K19:M19)</f>
        <v>0</v>
      </c>
      <c r="E19" s="1">
        <f>SUM(PL!N19:P19)</f>
        <v>0</v>
      </c>
      <c r="F19" s="1">
        <f>SUM(PL!Q19:S19)</f>
        <v>0</v>
      </c>
      <c r="G19" s="1">
        <f>SUM(PL!T19:V19)</f>
        <v>0</v>
      </c>
      <c r="H19" s="1">
        <f>SUM(C19:G19)</f>
        <v>0</v>
      </c>
      <c r="I19" s="1">
        <f>IF(C19 + I18 &lt; 0, C19 + I18, 0)</f>
        <v>0</v>
      </c>
      <c r="J19" s="1">
        <f>IF(D19 + J18 &lt; 0, D19 + J18, 0)</f>
        <v>0</v>
      </c>
      <c r="K19" s="1">
        <f>IF(E19 + K18 &lt; 0, E19 + K18, 0)</f>
        <v>0</v>
      </c>
      <c r="L19" s="1">
        <f>IF(F19 + L18 &lt; 0, F19 + L18, 0)</f>
        <v>0</v>
      </c>
      <c r="M19" s="1">
        <f>IF(G19 + M18 &lt; 0, G19 + M18, 0)</f>
        <v>0</v>
      </c>
      <c r="N19" s="1">
        <f>IF(H19 + N18 &lt; 0, H19 + N18, 0)</f>
        <v>0</v>
      </c>
      <c r="O19" s="1">
        <f>IF(N19 &lt; 0, 1 + O18, 0)</f>
        <v>0</v>
      </c>
      <c r="P19" s="1">
        <f>C19-((ABS(SUM(PL!H19:J19)))*0.125)</f>
        <v>0</v>
      </c>
      <c r="Q19" s="1">
        <f>D19-((ABS(SUM(PL!K19:M19)))*0.125)</f>
        <v>0</v>
      </c>
      <c r="R19" s="1">
        <f>E19-((ABS(SUM(PL!N19:P19)))*0.125)</f>
        <v>0</v>
      </c>
      <c r="S19" s="1">
        <f>F19-((ABS(SUM(PL!Q19:S19)))*0.125)</f>
        <v>0</v>
      </c>
      <c r="T19" s="1">
        <f>G19-((ABS(SUM(PL!T19:V19)))*0.125)</f>
        <v>0</v>
      </c>
      <c r="U19" s="1">
        <f>P19 + Q19 + R19 + S19 + T19</f>
        <v>0</v>
      </c>
      <c r="V19" s="1">
        <f>IF(P19 + V18 &lt; 0, P19 + V18, 0)</f>
        <v>0</v>
      </c>
      <c r="W19" s="1">
        <f>IF(Q19 + W18 &lt; 0, Q19 + W18, 0)</f>
        <v>0</v>
      </c>
      <c r="X19" s="1">
        <f>IF(R19 + X18 &lt; 0, R19 + X18, 0)</f>
        <v>0</v>
      </c>
      <c r="Y19" s="1">
        <f>IF(S19 + Y18 &lt; 0, S19 + Y18, 0)</f>
        <v>0</v>
      </c>
      <c r="Z19" s="1">
        <f>IF(T19 + Z18 &lt; 0, T19 + Z18, 0)</f>
        <v>0</v>
      </c>
      <c r="AA19" s="1">
        <f>IF(U19 + AA18 &lt; 0, U19 + AA18, 0)</f>
        <v>0</v>
      </c>
      <c r="AB19" s="1">
        <f>IF(AA19 &lt; 0, 1 + AB18, 0)</f>
        <v>0</v>
      </c>
      <c r="AC19" s="1">
        <f>IF(H19&lt;0,1,0)</f>
        <v>0</v>
      </c>
      <c r="AD19" s="1">
        <f>IF(AC19=1,H19,0)</f>
        <v>0</v>
      </c>
      <c r="AE19" s="1">
        <f>IF(H19&gt;0,1,0)</f>
        <v>0</v>
      </c>
      <c r="AF19" s="1">
        <f>IF(AE19=1,H19,0)</f>
        <v>0</v>
      </c>
      <c r="AG19" s="1">
        <f>IF(AD19&lt;-20000000.0/100,1,0)</f>
        <v>0</v>
      </c>
      <c r="AH19" s="1">
        <f>IF(AF19&gt;20000000.0/100,1,0)</f>
        <v>0</v>
      </c>
      <c r="AI19" s="1">
        <f>IF(U19&lt;0,1,0)</f>
        <v>0</v>
      </c>
      <c r="AJ19" s="1">
        <f>IF(AI19=1,U19,0)</f>
        <v>0</v>
      </c>
      <c r="AK19" s="1">
        <f>IF(U19&gt;0,1,0)</f>
        <v>0</v>
      </c>
      <c r="AL19" s="1">
        <f>IF(AK19=1,U19,0)</f>
        <v>0</v>
      </c>
      <c r="AM19" s="1">
        <f>IF(AJ19&lt;-20000000.0/100,1,0)</f>
        <v>0</v>
      </c>
      <c r="AN19" s="1">
        <f>IF(AL19&gt;20000000.0/100,1,0)</f>
        <v>0</v>
      </c>
    </row>
    <row r="20" spans="1:40" s="1" customFormat="1">
      <c r="A20" s="3">
        <v>45316</v>
      </c>
      <c r="B20" s="2" t="s">
        <v>25</v>
      </c>
      <c r="C20" s="1">
        <f>SUM(PL!H20:J20)</f>
        <v>0</v>
      </c>
      <c r="D20" s="1">
        <f>SUM(PL!K20:M20)</f>
        <v>0</v>
      </c>
      <c r="E20" s="1">
        <f>SUM(PL!N20:P20)</f>
        <v>0</v>
      </c>
      <c r="F20" s="1">
        <f>SUM(PL!Q20:S20)</f>
        <v>0</v>
      </c>
      <c r="G20" s="1">
        <f>SUM(PL!T20:V20)</f>
        <v>0</v>
      </c>
      <c r="H20" s="1">
        <f>SUM(C20:G20)</f>
        <v>0</v>
      </c>
      <c r="I20" s="1">
        <f>IF(C20 + I19 &lt; 0, C20 + I19, 0)</f>
        <v>0</v>
      </c>
      <c r="J20" s="1">
        <f>IF(D20 + J19 &lt; 0, D20 + J19, 0)</f>
        <v>0</v>
      </c>
      <c r="K20" s="1">
        <f>IF(E20 + K19 &lt; 0, E20 + K19, 0)</f>
        <v>0</v>
      </c>
      <c r="L20" s="1">
        <f>IF(F20 + L19 &lt; 0, F20 + L19, 0)</f>
        <v>0</v>
      </c>
      <c r="M20" s="1">
        <f>IF(G20 + M19 &lt; 0, G20 + M19, 0)</f>
        <v>0</v>
      </c>
      <c r="N20" s="1">
        <f>IF(H20 + N19 &lt; 0, H20 + N19, 0)</f>
        <v>0</v>
      </c>
      <c r="O20" s="1">
        <f>IF(N20 &lt; 0, 1 + O19, 0)</f>
        <v>0</v>
      </c>
      <c r="P20" s="1">
        <f>C20-((ABS(SUM(PL!H20:J20)))*0.125)</f>
        <v>0</v>
      </c>
      <c r="Q20" s="1">
        <f>D20-((ABS(SUM(PL!K20:M20)))*0.125)</f>
        <v>0</v>
      </c>
      <c r="R20" s="1">
        <f>E20-((ABS(SUM(PL!N20:P20)))*0.125)</f>
        <v>0</v>
      </c>
      <c r="S20" s="1">
        <f>F20-((ABS(SUM(PL!Q20:S20)))*0.125)</f>
        <v>0</v>
      </c>
      <c r="T20" s="1">
        <f>G20-((ABS(SUM(PL!T20:V20)))*0.125)</f>
        <v>0</v>
      </c>
      <c r="U20" s="1">
        <f>P20 + Q20 + R20 + S20 + T20</f>
        <v>0</v>
      </c>
      <c r="V20" s="1">
        <f>IF(P20 + V19 &lt; 0, P20 + V19, 0)</f>
        <v>0</v>
      </c>
      <c r="W20" s="1">
        <f>IF(Q20 + W19 &lt; 0, Q20 + W19, 0)</f>
        <v>0</v>
      </c>
      <c r="X20" s="1">
        <f>IF(R20 + X19 &lt; 0, R20 + X19, 0)</f>
        <v>0</v>
      </c>
      <c r="Y20" s="1">
        <f>IF(S20 + Y19 &lt; 0, S20 + Y19, 0)</f>
        <v>0</v>
      </c>
      <c r="Z20" s="1">
        <f>IF(T20 + Z19 &lt; 0, T20 + Z19, 0)</f>
        <v>0</v>
      </c>
      <c r="AA20" s="1">
        <f>IF(U20 + AA19 &lt; 0, U20 + AA19, 0)</f>
        <v>0</v>
      </c>
      <c r="AB20" s="1">
        <f>IF(AA20 &lt; 0, 1 + AB19, 0)</f>
        <v>0</v>
      </c>
      <c r="AC20" s="1">
        <f>IF(H20&lt;0,1,0)</f>
        <v>0</v>
      </c>
      <c r="AD20" s="1">
        <f>IF(AC20=1,H20,0)</f>
        <v>0</v>
      </c>
      <c r="AE20" s="1">
        <f>IF(H20&gt;0,1,0)</f>
        <v>0</v>
      </c>
      <c r="AF20" s="1">
        <f>IF(AE20=1,H20,0)</f>
        <v>0</v>
      </c>
      <c r="AG20" s="1">
        <f>IF(AD20&lt;-20000000.0/100,1,0)</f>
        <v>0</v>
      </c>
      <c r="AH20" s="1">
        <f>IF(AF20&gt;20000000.0/100,1,0)</f>
        <v>0</v>
      </c>
      <c r="AI20" s="1">
        <f>IF(U20&lt;0,1,0)</f>
        <v>0</v>
      </c>
      <c r="AJ20" s="1">
        <f>IF(AI20=1,U20,0)</f>
        <v>0</v>
      </c>
      <c r="AK20" s="1">
        <f>IF(U20&gt;0,1,0)</f>
        <v>0</v>
      </c>
      <c r="AL20" s="1">
        <f>IF(AK20=1,U20,0)</f>
        <v>0</v>
      </c>
      <c r="AM20" s="1">
        <f>IF(AJ20&lt;-20000000.0/100,1,0)</f>
        <v>0</v>
      </c>
      <c r="AN20" s="1">
        <f>IF(AL20&gt;20000000.0/100,1,0)</f>
        <v>0</v>
      </c>
    </row>
    <row r="21" spans="1:40" s="1" customFormat="1">
      <c r="A21" s="3">
        <v>45320</v>
      </c>
      <c r="B21" s="2" t="s">
        <v>22</v>
      </c>
      <c r="C21" s="1">
        <f>SUM(PL!H21:J21)</f>
        <v>0</v>
      </c>
      <c r="D21" s="1">
        <f>SUM(PL!K21:M21)</f>
        <v>0</v>
      </c>
      <c r="E21" s="1">
        <f>SUM(PL!N21:P21)</f>
        <v>0</v>
      </c>
      <c r="F21" s="1">
        <f>SUM(PL!Q21:S21)</f>
        <v>0</v>
      </c>
      <c r="G21" s="1">
        <f>SUM(PL!T21:V21)</f>
        <v>0</v>
      </c>
      <c r="H21" s="1">
        <f>SUM(C21:G21)</f>
        <v>0</v>
      </c>
      <c r="I21" s="1">
        <f>IF(C21 + I20 &lt; 0, C21 + I20, 0)</f>
        <v>0</v>
      </c>
      <c r="J21" s="1">
        <f>IF(D21 + J20 &lt; 0, D21 + J20, 0)</f>
        <v>0</v>
      </c>
      <c r="K21" s="1">
        <f>IF(E21 + K20 &lt; 0, E21 + K20, 0)</f>
        <v>0</v>
      </c>
      <c r="L21" s="1">
        <f>IF(F21 + L20 &lt; 0, F21 + L20, 0)</f>
        <v>0</v>
      </c>
      <c r="M21" s="1">
        <f>IF(G21 + M20 &lt; 0, G21 + M20, 0)</f>
        <v>0</v>
      </c>
      <c r="N21" s="1">
        <f>IF(H21 + N20 &lt; 0, H21 + N20, 0)</f>
        <v>0</v>
      </c>
      <c r="O21" s="1">
        <f>IF(N21 &lt; 0, 1 + O20, 0)</f>
        <v>0</v>
      </c>
      <c r="P21" s="1">
        <f>C21-((ABS(SUM(PL!H21:J21)))*0.125)</f>
        <v>0</v>
      </c>
      <c r="Q21" s="1">
        <f>D21-((ABS(SUM(PL!K21:M21)))*0.125)</f>
        <v>0</v>
      </c>
      <c r="R21" s="1">
        <f>E21-((ABS(SUM(PL!N21:P21)))*0.125)</f>
        <v>0</v>
      </c>
      <c r="S21" s="1">
        <f>F21-((ABS(SUM(PL!Q21:S21)))*0.125)</f>
        <v>0</v>
      </c>
      <c r="T21" s="1">
        <f>G21-((ABS(SUM(PL!T21:V21)))*0.125)</f>
        <v>0</v>
      </c>
      <c r="U21" s="1">
        <f>P21 + Q21 + R21 + S21 + T21</f>
        <v>0</v>
      </c>
      <c r="V21" s="1">
        <f>IF(P21 + V20 &lt; 0, P21 + V20, 0)</f>
        <v>0</v>
      </c>
      <c r="W21" s="1">
        <f>IF(Q21 + W20 &lt; 0, Q21 + W20, 0)</f>
        <v>0</v>
      </c>
      <c r="X21" s="1">
        <f>IF(R21 + X20 &lt; 0, R21 + X20, 0)</f>
        <v>0</v>
      </c>
      <c r="Y21" s="1">
        <f>IF(S21 + Y20 &lt; 0, S21 + Y20, 0)</f>
        <v>0</v>
      </c>
      <c r="Z21" s="1">
        <f>IF(T21 + Z20 &lt; 0, T21 + Z20, 0)</f>
        <v>0</v>
      </c>
      <c r="AA21" s="1">
        <f>IF(U21 + AA20 &lt; 0, U21 + AA20, 0)</f>
        <v>0</v>
      </c>
      <c r="AB21" s="1">
        <f>IF(AA21 &lt; 0, 1 + AB20, 0)</f>
        <v>0</v>
      </c>
      <c r="AC21" s="1">
        <f>IF(H21&lt;0,1,0)</f>
        <v>0</v>
      </c>
      <c r="AD21" s="1">
        <f>IF(AC21=1,H21,0)</f>
        <v>0</v>
      </c>
      <c r="AE21" s="1">
        <f>IF(H21&gt;0,1,0)</f>
        <v>0</v>
      </c>
      <c r="AF21" s="1">
        <f>IF(AE21=1,H21,0)</f>
        <v>0</v>
      </c>
      <c r="AG21" s="1">
        <f>IF(AD21&lt;-20000000.0/100,1,0)</f>
        <v>0</v>
      </c>
      <c r="AH21" s="1">
        <f>IF(AF21&gt;20000000.0/100,1,0)</f>
        <v>0</v>
      </c>
      <c r="AI21" s="1">
        <f>IF(U21&lt;0,1,0)</f>
        <v>0</v>
      </c>
      <c r="AJ21" s="1">
        <f>IF(AI21=1,U21,0)</f>
        <v>0</v>
      </c>
      <c r="AK21" s="1">
        <f>IF(U21&gt;0,1,0)</f>
        <v>0</v>
      </c>
      <c r="AL21" s="1">
        <f>IF(AK21=1,U21,0)</f>
        <v>0</v>
      </c>
      <c r="AM21" s="1">
        <f>IF(AJ21&lt;-20000000.0/100,1,0)</f>
        <v>0</v>
      </c>
      <c r="AN21" s="1">
        <f>IF(AL21&gt;20000000.0/100,1,0)</f>
        <v>0</v>
      </c>
    </row>
    <row r="22" spans="1:40" s="1" customFormat="1">
      <c r="A22" s="3">
        <v>45321</v>
      </c>
      <c r="B22" s="2" t="s">
        <v>23</v>
      </c>
      <c r="C22" s="1">
        <f>SUM(PL!H22:J22)</f>
        <v>0</v>
      </c>
      <c r="D22" s="1">
        <f>SUM(PL!K22:M22)</f>
        <v>0</v>
      </c>
      <c r="E22" s="1">
        <f>SUM(PL!N22:P22)</f>
        <v>0</v>
      </c>
      <c r="F22" s="1">
        <f>SUM(PL!Q22:S22)</f>
        <v>0</v>
      </c>
      <c r="G22" s="1">
        <f>SUM(PL!T22:V22)</f>
        <v>0</v>
      </c>
      <c r="H22" s="1">
        <f>SUM(C22:G22)</f>
        <v>0</v>
      </c>
      <c r="I22" s="1">
        <f>IF(C22 + I21 &lt; 0, C22 + I21, 0)</f>
        <v>0</v>
      </c>
      <c r="J22" s="1">
        <f>IF(D22 + J21 &lt; 0, D22 + J21, 0)</f>
        <v>0</v>
      </c>
      <c r="K22" s="1">
        <f>IF(E22 + K21 &lt; 0, E22 + K21, 0)</f>
        <v>0</v>
      </c>
      <c r="L22" s="1">
        <f>IF(F22 + L21 &lt; 0, F22 + L21, 0)</f>
        <v>0</v>
      </c>
      <c r="M22" s="1">
        <f>IF(G22 + M21 &lt; 0, G22 + M21, 0)</f>
        <v>0</v>
      </c>
      <c r="N22" s="1">
        <f>IF(H22 + N21 &lt; 0, H22 + N21, 0)</f>
        <v>0</v>
      </c>
      <c r="O22" s="1">
        <f>IF(N22 &lt; 0, 1 + O21, 0)</f>
        <v>0</v>
      </c>
      <c r="P22" s="1">
        <f>C22-((ABS(SUM(PL!H22:J22)))*0.125)</f>
        <v>0</v>
      </c>
      <c r="Q22" s="1">
        <f>D22-((ABS(SUM(PL!K22:M22)))*0.125)</f>
        <v>0</v>
      </c>
      <c r="R22" s="1">
        <f>E22-((ABS(SUM(PL!N22:P22)))*0.125)</f>
        <v>0</v>
      </c>
      <c r="S22" s="1">
        <f>F22-((ABS(SUM(PL!Q22:S22)))*0.125)</f>
        <v>0</v>
      </c>
      <c r="T22" s="1">
        <f>G22-((ABS(SUM(PL!T22:V22)))*0.125)</f>
        <v>0</v>
      </c>
      <c r="U22" s="1">
        <f>P22 + Q22 + R22 + S22 + T22</f>
        <v>0</v>
      </c>
      <c r="V22" s="1">
        <f>IF(P22 + V21 &lt; 0, P22 + V21, 0)</f>
        <v>0</v>
      </c>
      <c r="W22" s="1">
        <f>IF(Q22 + W21 &lt; 0, Q22 + W21, 0)</f>
        <v>0</v>
      </c>
      <c r="X22" s="1">
        <f>IF(R22 + X21 &lt; 0, R22 + X21, 0)</f>
        <v>0</v>
      </c>
      <c r="Y22" s="1">
        <f>IF(S22 + Y21 &lt; 0, S22 + Y21, 0)</f>
        <v>0</v>
      </c>
      <c r="Z22" s="1">
        <f>IF(T22 + Z21 &lt; 0, T22 + Z21, 0)</f>
        <v>0</v>
      </c>
      <c r="AA22" s="1">
        <f>IF(U22 + AA21 &lt; 0, U22 + AA21, 0)</f>
        <v>0</v>
      </c>
      <c r="AB22" s="1">
        <f>IF(AA22 &lt; 0, 1 + AB21, 0)</f>
        <v>0</v>
      </c>
      <c r="AC22" s="1">
        <f>IF(H22&lt;0,1,0)</f>
        <v>0</v>
      </c>
      <c r="AD22" s="1">
        <f>IF(AC22=1,H22,0)</f>
        <v>0</v>
      </c>
      <c r="AE22" s="1">
        <f>IF(H22&gt;0,1,0)</f>
        <v>0</v>
      </c>
      <c r="AF22" s="1">
        <f>IF(AE22=1,H22,0)</f>
        <v>0</v>
      </c>
      <c r="AG22" s="1">
        <f>IF(AD22&lt;-20000000.0/100,1,0)</f>
        <v>0</v>
      </c>
      <c r="AH22" s="1">
        <f>IF(AF22&gt;20000000.0/100,1,0)</f>
        <v>0</v>
      </c>
      <c r="AI22" s="1">
        <f>IF(U22&lt;0,1,0)</f>
        <v>0</v>
      </c>
      <c r="AJ22" s="1">
        <f>IF(AI22=1,U22,0)</f>
        <v>0</v>
      </c>
      <c r="AK22" s="1">
        <f>IF(U22&gt;0,1,0)</f>
        <v>0</v>
      </c>
      <c r="AL22" s="1">
        <f>IF(AK22=1,U22,0)</f>
        <v>0</v>
      </c>
      <c r="AM22" s="1">
        <f>IF(AJ22&lt;-20000000.0/100,1,0)</f>
        <v>0</v>
      </c>
      <c r="AN22" s="1">
        <f>IF(AL22&gt;20000000.0/100,1,0)</f>
        <v>0</v>
      </c>
    </row>
    <row r="23" spans="1:40" s="1" customFormat="1">
      <c r="A23" s="3">
        <v>45322</v>
      </c>
      <c r="B23" s="2" t="s">
        <v>24</v>
      </c>
      <c r="C23" s="1">
        <f>SUM(PL!H23:J23)</f>
        <v>0</v>
      </c>
      <c r="D23" s="1">
        <f>SUM(PL!K23:M23)</f>
        <v>0</v>
      </c>
      <c r="E23" s="1">
        <f>SUM(PL!N23:P23)</f>
        <v>0</v>
      </c>
      <c r="F23" s="1">
        <f>SUM(PL!Q23:S23)</f>
        <v>0</v>
      </c>
      <c r="G23" s="1">
        <f>SUM(PL!T23:V23)</f>
        <v>0</v>
      </c>
      <c r="H23" s="1">
        <f>SUM(C23:G23)</f>
        <v>0</v>
      </c>
      <c r="I23" s="1">
        <f>IF(C23 + I22 &lt; 0, C23 + I22, 0)</f>
        <v>0</v>
      </c>
      <c r="J23" s="1">
        <f>IF(D23 + J22 &lt; 0, D23 + J22, 0)</f>
        <v>0</v>
      </c>
      <c r="K23" s="1">
        <f>IF(E23 + K22 &lt; 0, E23 + K22, 0)</f>
        <v>0</v>
      </c>
      <c r="L23" s="1">
        <f>IF(F23 + L22 &lt; 0, F23 + L22, 0)</f>
        <v>0</v>
      </c>
      <c r="M23" s="1">
        <f>IF(G23 + M22 &lt; 0, G23 + M22, 0)</f>
        <v>0</v>
      </c>
      <c r="N23" s="1">
        <f>IF(H23 + N22 &lt; 0, H23 + N22, 0)</f>
        <v>0</v>
      </c>
      <c r="O23" s="1">
        <f>IF(N23 &lt; 0, 1 + O22, 0)</f>
        <v>0</v>
      </c>
      <c r="P23" s="1">
        <f>C23-((ABS(SUM(PL!H23:J23)))*0.125)</f>
        <v>0</v>
      </c>
      <c r="Q23" s="1">
        <f>D23-((ABS(SUM(PL!K23:M23)))*0.125)</f>
        <v>0</v>
      </c>
      <c r="R23" s="1">
        <f>E23-((ABS(SUM(PL!N23:P23)))*0.125)</f>
        <v>0</v>
      </c>
      <c r="S23" s="1">
        <f>F23-((ABS(SUM(PL!Q23:S23)))*0.125)</f>
        <v>0</v>
      </c>
      <c r="T23" s="1">
        <f>G23-((ABS(SUM(PL!T23:V23)))*0.125)</f>
        <v>0</v>
      </c>
      <c r="U23" s="1">
        <f>P23 + Q23 + R23 + S23 + T23</f>
        <v>0</v>
      </c>
      <c r="V23" s="1">
        <f>IF(P23 + V22 &lt; 0, P23 + V22, 0)</f>
        <v>0</v>
      </c>
      <c r="W23" s="1">
        <f>IF(Q23 + W22 &lt; 0, Q23 + W22, 0)</f>
        <v>0</v>
      </c>
      <c r="X23" s="1">
        <f>IF(R23 + X22 &lt; 0, R23 + X22, 0)</f>
        <v>0</v>
      </c>
      <c r="Y23" s="1">
        <f>IF(S23 + Y22 &lt; 0, S23 + Y22, 0)</f>
        <v>0</v>
      </c>
      <c r="Z23" s="1">
        <f>IF(T23 + Z22 &lt; 0, T23 + Z22, 0)</f>
        <v>0</v>
      </c>
      <c r="AA23" s="1">
        <f>IF(U23 + AA22 &lt; 0, U23 + AA22, 0)</f>
        <v>0</v>
      </c>
      <c r="AB23" s="1">
        <f>IF(AA23 &lt; 0, 1 + AB22, 0)</f>
        <v>0</v>
      </c>
      <c r="AC23" s="1">
        <f>IF(H23&lt;0,1,0)</f>
        <v>0</v>
      </c>
      <c r="AD23" s="1">
        <f>IF(AC23=1,H23,0)</f>
        <v>0</v>
      </c>
      <c r="AE23" s="1">
        <f>IF(H23&gt;0,1,0)</f>
        <v>0</v>
      </c>
      <c r="AF23" s="1">
        <f>IF(AE23=1,H23,0)</f>
        <v>0</v>
      </c>
      <c r="AG23" s="1">
        <f>IF(AD23&lt;-20000000.0/100,1,0)</f>
        <v>0</v>
      </c>
      <c r="AH23" s="1">
        <f>IF(AF23&gt;20000000.0/100,1,0)</f>
        <v>0</v>
      </c>
      <c r="AI23" s="1">
        <f>IF(U23&lt;0,1,0)</f>
        <v>0</v>
      </c>
      <c r="AJ23" s="1">
        <f>IF(AI23=1,U23,0)</f>
        <v>0</v>
      </c>
      <c r="AK23" s="1">
        <f>IF(U23&gt;0,1,0)</f>
        <v>0</v>
      </c>
      <c r="AL23" s="1">
        <f>IF(AK23=1,U23,0)</f>
        <v>0</v>
      </c>
      <c r="AM23" s="1">
        <f>IF(AJ23&lt;-20000000.0/100,1,0)</f>
        <v>0</v>
      </c>
      <c r="AN23" s="1">
        <f>IF(AL23&gt;20000000.0/100,1,0)</f>
        <v>0</v>
      </c>
    </row>
    <row r="24" spans="1:40" s="1" customFormat="1">
      <c r="A24" s="3">
        <v>45323</v>
      </c>
      <c r="B24" s="2" t="s">
        <v>25</v>
      </c>
      <c r="C24" s="1">
        <f>SUM(PL!H24:J24)</f>
        <v>0</v>
      </c>
      <c r="D24" s="1">
        <f>SUM(PL!K24:M24)</f>
        <v>0</v>
      </c>
      <c r="E24" s="1">
        <f>SUM(PL!N24:P24)</f>
        <v>0</v>
      </c>
      <c r="F24" s="1">
        <f>SUM(PL!Q24:S24)</f>
        <v>0</v>
      </c>
      <c r="G24" s="1">
        <f>SUM(PL!T24:V24)</f>
        <v>0</v>
      </c>
      <c r="H24" s="1">
        <f>SUM(C24:G24)</f>
        <v>0</v>
      </c>
      <c r="I24" s="1">
        <f>IF(C24 + I23 &lt; 0, C24 + I23, 0)</f>
        <v>0</v>
      </c>
      <c r="J24" s="1">
        <f>IF(D24 + J23 &lt; 0, D24 + J23, 0)</f>
        <v>0</v>
      </c>
      <c r="K24" s="1">
        <f>IF(E24 + K23 &lt; 0, E24 + K23, 0)</f>
        <v>0</v>
      </c>
      <c r="L24" s="1">
        <f>IF(F24 + L23 &lt; 0, F24 + L23, 0)</f>
        <v>0</v>
      </c>
      <c r="M24" s="1">
        <f>IF(G24 + M23 &lt; 0, G24 + M23, 0)</f>
        <v>0</v>
      </c>
      <c r="N24" s="1">
        <f>IF(H24 + N23 &lt; 0, H24 + N23, 0)</f>
        <v>0</v>
      </c>
      <c r="O24" s="1">
        <f>IF(N24 &lt; 0, 1 + O23, 0)</f>
        <v>0</v>
      </c>
      <c r="P24" s="1">
        <f>C24-((ABS(SUM(PL!H24:J24)))*0.125)</f>
        <v>0</v>
      </c>
      <c r="Q24" s="1">
        <f>D24-((ABS(SUM(PL!K24:M24)))*0.125)</f>
        <v>0</v>
      </c>
      <c r="R24" s="1">
        <f>E24-((ABS(SUM(PL!N24:P24)))*0.125)</f>
        <v>0</v>
      </c>
      <c r="S24" s="1">
        <f>F24-((ABS(SUM(PL!Q24:S24)))*0.125)</f>
        <v>0</v>
      </c>
      <c r="T24" s="1">
        <f>G24-((ABS(SUM(PL!T24:V24)))*0.125)</f>
        <v>0</v>
      </c>
      <c r="U24" s="1">
        <f>P24 + Q24 + R24 + S24 + T24</f>
        <v>0</v>
      </c>
      <c r="V24" s="1">
        <f>IF(P24 + V23 &lt; 0, P24 + V23, 0)</f>
        <v>0</v>
      </c>
      <c r="W24" s="1">
        <f>IF(Q24 + W23 &lt; 0, Q24 + W23, 0)</f>
        <v>0</v>
      </c>
      <c r="X24" s="1">
        <f>IF(R24 + X23 &lt; 0, R24 + X23, 0)</f>
        <v>0</v>
      </c>
      <c r="Y24" s="1">
        <f>IF(S24 + Y23 &lt; 0, S24 + Y23, 0)</f>
        <v>0</v>
      </c>
      <c r="Z24" s="1">
        <f>IF(T24 + Z23 &lt; 0, T24 + Z23, 0)</f>
        <v>0</v>
      </c>
      <c r="AA24" s="1">
        <f>IF(U24 + AA23 &lt; 0, U24 + AA23, 0)</f>
        <v>0</v>
      </c>
      <c r="AB24" s="1">
        <f>IF(AA24 &lt; 0, 1 + AB23, 0)</f>
        <v>0</v>
      </c>
      <c r="AC24" s="1">
        <f>IF(H24&lt;0,1,0)</f>
        <v>0</v>
      </c>
      <c r="AD24" s="1">
        <f>IF(AC24=1,H24,0)</f>
        <v>0</v>
      </c>
      <c r="AE24" s="1">
        <f>IF(H24&gt;0,1,0)</f>
        <v>0</v>
      </c>
      <c r="AF24" s="1">
        <f>IF(AE24=1,H24,0)</f>
        <v>0</v>
      </c>
      <c r="AG24" s="1">
        <f>IF(AD24&lt;-20000000.0/100,1,0)</f>
        <v>0</v>
      </c>
      <c r="AH24" s="1">
        <f>IF(AF24&gt;20000000.0/100,1,0)</f>
        <v>0</v>
      </c>
      <c r="AI24" s="1">
        <f>IF(U24&lt;0,1,0)</f>
        <v>0</v>
      </c>
      <c r="AJ24" s="1">
        <f>IF(AI24=1,U24,0)</f>
        <v>0</v>
      </c>
      <c r="AK24" s="1">
        <f>IF(U24&gt;0,1,0)</f>
        <v>0</v>
      </c>
      <c r="AL24" s="1">
        <f>IF(AK24=1,U24,0)</f>
        <v>0</v>
      </c>
      <c r="AM24" s="1">
        <f>IF(AJ24&lt;-20000000.0/100,1,0)</f>
        <v>0</v>
      </c>
      <c r="AN24" s="1">
        <f>IF(AL24&gt;20000000.0/100,1,0)</f>
        <v>0</v>
      </c>
    </row>
    <row r="25" spans="1:40" s="1" customFormat="1">
      <c r="A25" s="3">
        <v>45324</v>
      </c>
      <c r="B25" s="2" t="s">
        <v>26</v>
      </c>
      <c r="C25" s="1">
        <f>SUM(PL!H25:J25)</f>
        <v>0</v>
      </c>
      <c r="D25" s="1">
        <f>SUM(PL!K25:M25)</f>
        <v>0</v>
      </c>
      <c r="E25" s="1">
        <f>SUM(PL!N25:P25)</f>
        <v>0</v>
      </c>
      <c r="F25" s="1">
        <f>SUM(PL!Q25:S25)</f>
        <v>0</v>
      </c>
      <c r="G25" s="1">
        <f>SUM(PL!T25:V25)</f>
        <v>0</v>
      </c>
      <c r="H25" s="1">
        <f>SUM(C25:G25)</f>
        <v>0</v>
      </c>
      <c r="I25" s="1">
        <f>IF(C25 + I24 &lt; 0, C25 + I24, 0)</f>
        <v>0</v>
      </c>
      <c r="J25" s="1">
        <f>IF(D25 + J24 &lt; 0, D25 + J24, 0)</f>
        <v>0</v>
      </c>
      <c r="K25" s="1">
        <f>IF(E25 + K24 &lt; 0, E25 + K24, 0)</f>
        <v>0</v>
      </c>
      <c r="L25" s="1">
        <f>IF(F25 + L24 &lt; 0, F25 + L24, 0)</f>
        <v>0</v>
      </c>
      <c r="M25" s="1">
        <f>IF(G25 + M24 &lt; 0, G25 + M24, 0)</f>
        <v>0</v>
      </c>
      <c r="N25" s="1">
        <f>IF(H25 + N24 &lt; 0, H25 + N24, 0)</f>
        <v>0</v>
      </c>
      <c r="O25" s="1">
        <f>IF(N25 &lt; 0, 1 + O24, 0)</f>
        <v>0</v>
      </c>
      <c r="P25" s="1">
        <f>C25-((ABS(SUM(PL!H25:J25)))*0.125)</f>
        <v>0</v>
      </c>
      <c r="Q25" s="1">
        <f>D25-((ABS(SUM(PL!K25:M25)))*0.125)</f>
        <v>0</v>
      </c>
      <c r="R25" s="1">
        <f>E25-((ABS(SUM(PL!N25:P25)))*0.125)</f>
        <v>0</v>
      </c>
      <c r="S25" s="1">
        <f>F25-((ABS(SUM(PL!Q25:S25)))*0.125)</f>
        <v>0</v>
      </c>
      <c r="T25" s="1">
        <f>G25-((ABS(SUM(PL!T25:V25)))*0.125)</f>
        <v>0</v>
      </c>
      <c r="U25" s="1">
        <f>P25 + Q25 + R25 + S25 + T25</f>
        <v>0</v>
      </c>
      <c r="V25" s="1">
        <f>IF(P25 + V24 &lt; 0, P25 + V24, 0)</f>
        <v>0</v>
      </c>
      <c r="W25" s="1">
        <f>IF(Q25 + W24 &lt; 0, Q25 + W24, 0)</f>
        <v>0</v>
      </c>
      <c r="X25" s="1">
        <f>IF(R25 + X24 &lt; 0, R25 + X24, 0)</f>
        <v>0</v>
      </c>
      <c r="Y25" s="1">
        <f>IF(S25 + Y24 &lt; 0, S25 + Y24, 0)</f>
        <v>0</v>
      </c>
      <c r="Z25" s="1">
        <f>IF(T25 + Z24 &lt; 0, T25 + Z24, 0)</f>
        <v>0</v>
      </c>
      <c r="AA25" s="1">
        <f>IF(U25 + AA24 &lt; 0, U25 + AA24, 0)</f>
        <v>0</v>
      </c>
      <c r="AB25" s="1">
        <f>IF(AA25 &lt; 0, 1 + AB24, 0)</f>
        <v>0</v>
      </c>
      <c r="AC25" s="1">
        <f>IF(H25&lt;0,1,0)</f>
        <v>0</v>
      </c>
      <c r="AD25" s="1">
        <f>IF(AC25=1,H25,0)</f>
        <v>0</v>
      </c>
      <c r="AE25" s="1">
        <f>IF(H25&gt;0,1,0)</f>
        <v>0</v>
      </c>
      <c r="AF25" s="1">
        <f>IF(AE25=1,H25,0)</f>
        <v>0</v>
      </c>
      <c r="AG25" s="1">
        <f>IF(AD25&lt;-20000000.0/100,1,0)</f>
        <v>0</v>
      </c>
      <c r="AH25" s="1">
        <f>IF(AF25&gt;20000000.0/100,1,0)</f>
        <v>0</v>
      </c>
      <c r="AI25" s="1">
        <f>IF(U25&lt;0,1,0)</f>
        <v>0</v>
      </c>
      <c r="AJ25" s="1">
        <f>IF(AI25=1,U25,0)</f>
        <v>0</v>
      </c>
      <c r="AK25" s="1">
        <f>IF(U25&gt;0,1,0)</f>
        <v>0</v>
      </c>
      <c r="AL25" s="1">
        <f>IF(AK25=1,U25,0)</f>
        <v>0</v>
      </c>
      <c r="AM25" s="1">
        <f>IF(AJ25&lt;-20000000.0/100,1,0)</f>
        <v>0</v>
      </c>
      <c r="AN25" s="1">
        <f>IF(AL25&gt;20000000.0/100,1,0)</f>
        <v>0</v>
      </c>
    </row>
    <row r="26" spans="1:40" s="1" customFormat="1">
      <c r="A26" s="3">
        <v>45327</v>
      </c>
      <c r="B26" s="2" t="s">
        <v>22</v>
      </c>
      <c r="C26" s="1">
        <f>SUM(PL!H26:J26)</f>
        <v>0</v>
      </c>
      <c r="D26" s="1">
        <f>SUM(PL!K26:M26)</f>
        <v>0</v>
      </c>
      <c r="E26" s="1">
        <f>SUM(PL!N26:P26)</f>
        <v>0</v>
      </c>
      <c r="F26" s="1">
        <f>SUM(PL!Q26:S26)</f>
        <v>0</v>
      </c>
      <c r="G26" s="1">
        <f>SUM(PL!T26:V26)</f>
        <v>0</v>
      </c>
      <c r="H26" s="1">
        <f>SUM(C26:G26)</f>
        <v>0</v>
      </c>
      <c r="I26" s="1">
        <f>IF(C26 + I25 &lt; 0, C26 + I25, 0)</f>
        <v>0</v>
      </c>
      <c r="J26" s="1">
        <f>IF(D26 + J25 &lt; 0, D26 + J25, 0)</f>
        <v>0</v>
      </c>
      <c r="K26" s="1">
        <f>IF(E26 + K25 &lt; 0, E26 + K25, 0)</f>
        <v>0</v>
      </c>
      <c r="L26" s="1">
        <f>IF(F26 + L25 &lt; 0, F26 + L25, 0)</f>
        <v>0</v>
      </c>
      <c r="M26" s="1">
        <f>IF(G26 + M25 &lt; 0, G26 + M25, 0)</f>
        <v>0</v>
      </c>
      <c r="N26" s="1">
        <f>IF(H26 + N25 &lt; 0, H26 + N25, 0)</f>
        <v>0</v>
      </c>
      <c r="O26" s="1">
        <f>IF(N26 &lt; 0, 1 + O25, 0)</f>
        <v>0</v>
      </c>
      <c r="P26" s="1">
        <f>C26-((ABS(SUM(PL!H26:J26)))*0.125)</f>
        <v>0</v>
      </c>
      <c r="Q26" s="1">
        <f>D26-((ABS(SUM(PL!K26:M26)))*0.125)</f>
        <v>0</v>
      </c>
      <c r="R26" s="1">
        <f>E26-((ABS(SUM(PL!N26:P26)))*0.125)</f>
        <v>0</v>
      </c>
      <c r="S26" s="1">
        <f>F26-((ABS(SUM(PL!Q26:S26)))*0.125)</f>
        <v>0</v>
      </c>
      <c r="T26" s="1">
        <f>G26-((ABS(SUM(PL!T26:V26)))*0.125)</f>
        <v>0</v>
      </c>
      <c r="U26" s="1">
        <f>P26 + Q26 + R26 + S26 + T26</f>
        <v>0</v>
      </c>
      <c r="V26" s="1">
        <f>IF(P26 + V25 &lt; 0, P26 + V25, 0)</f>
        <v>0</v>
      </c>
      <c r="W26" s="1">
        <f>IF(Q26 + W25 &lt; 0, Q26 + W25, 0)</f>
        <v>0</v>
      </c>
      <c r="X26" s="1">
        <f>IF(R26 + X25 &lt; 0, R26 + X25, 0)</f>
        <v>0</v>
      </c>
      <c r="Y26" s="1">
        <f>IF(S26 + Y25 &lt; 0, S26 + Y25, 0)</f>
        <v>0</v>
      </c>
      <c r="Z26" s="1">
        <f>IF(T26 + Z25 &lt; 0, T26 + Z25, 0)</f>
        <v>0</v>
      </c>
      <c r="AA26" s="1">
        <f>IF(U26 + AA25 &lt; 0, U26 + AA25, 0)</f>
        <v>0</v>
      </c>
      <c r="AB26" s="1">
        <f>IF(AA26 &lt; 0, 1 + AB25, 0)</f>
        <v>0</v>
      </c>
      <c r="AC26" s="1">
        <f>IF(H26&lt;0,1,0)</f>
        <v>0</v>
      </c>
      <c r="AD26" s="1">
        <f>IF(AC26=1,H26,0)</f>
        <v>0</v>
      </c>
      <c r="AE26" s="1">
        <f>IF(H26&gt;0,1,0)</f>
        <v>0</v>
      </c>
      <c r="AF26" s="1">
        <f>IF(AE26=1,H26,0)</f>
        <v>0</v>
      </c>
      <c r="AG26" s="1">
        <f>IF(AD26&lt;-20000000.0/100,1,0)</f>
        <v>0</v>
      </c>
      <c r="AH26" s="1">
        <f>IF(AF26&gt;20000000.0/100,1,0)</f>
        <v>0</v>
      </c>
      <c r="AI26" s="1">
        <f>IF(U26&lt;0,1,0)</f>
        <v>0</v>
      </c>
      <c r="AJ26" s="1">
        <f>IF(AI26=1,U26,0)</f>
        <v>0</v>
      </c>
      <c r="AK26" s="1">
        <f>IF(U26&gt;0,1,0)</f>
        <v>0</v>
      </c>
      <c r="AL26" s="1">
        <f>IF(AK26=1,U26,0)</f>
        <v>0</v>
      </c>
      <c r="AM26" s="1">
        <f>IF(AJ26&lt;-20000000.0/100,1,0)</f>
        <v>0</v>
      </c>
      <c r="AN26" s="1">
        <f>IF(AL26&gt;20000000.0/100,1,0)</f>
        <v>0</v>
      </c>
    </row>
    <row r="27" spans="1:40" s="1" customFormat="1">
      <c r="A27" s="3">
        <v>45328</v>
      </c>
      <c r="B27" s="2" t="s">
        <v>23</v>
      </c>
      <c r="C27" s="1">
        <f>SUM(PL!H27:J27)</f>
        <v>0</v>
      </c>
      <c r="D27" s="1">
        <f>SUM(PL!K27:M27)</f>
        <v>0</v>
      </c>
      <c r="E27" s="1">
        <f>SUM(PL!N27:P27)</f>
        <v>0</v>
      </c>
      <c r="F27" s="1">
        <f>SUM(PL!Q27:S27)</f>
        <v>0</v>
      </c>
      <c r="G27" s="1">
        <f>SUM(PL!T27:V27)</f>
        <v>0</v>
      </c>
      <c r="H27" s="1">
        <f>SUM(C27:G27)</f>
        <v>0</v>
      </c>
      <c r="I27" s="1">
        <f>IF(C27 + I26 &lt; 0, C27 + I26, 0)</f>
        <v>0</v>
      </c>
      <c r="J27" s="1">
        <f>IF(D27 + J26 &lt; 0, D27 + J26, 0)</f>
        <v>0</v>
      </c>
      <c r="K27" s="1">
        <f>IF(E27 + K26 &lt; 0, E27 + K26, 0)</f>
        <v>0</v>
      </c>
      <c r="L27" s="1">
        <f>IF(F27 + L26 &lt; 0, F27 + L26, 0)</f>
        <v>0</v>
      </c>
      <c r="M27" s="1">
        <f>IF(G27 + M26 &lt; 0, G27 + M26, 0)</f>
        <v>0</v>
      </c>
      <c r="N27" s="1">
        <f>IF(H27 + N26 &lt; 0, H27 + N26, 0)</f>
        <v>0</v>
      </c>
      <c r="O27" s="1">
        <f>IF(N27 &lt; 0, 1 + O26, 0)</f>
        <v>0</v>
      </c>
      <c r="P27" s="1">
        <f>C27-((ABS(SUM(PL!H27:J27)))*0.125)</f>
        <v>0</v>
      </c>
      <c r="Q27" s="1">
        <f>D27-((ABS(SUM(PL!K27:M27)))*0.125)</f>
        <v>0</v>
      </c>
      <c r="R27" s="1">
        <f>E27-((ABS(SUM(PL!N27:P27)))*0.125)</f>
        <v>0</v>
      </c>
      <c r="S27" s="1">
        <f>F27-((ABS(SUM(PL!Q27:S27)))*0.125)</f>
        <v>0</v>
      </c>
      <c r="T27" s="1">
        <f>G27-((ABS(SUM(PL!T27:V27)))*0.125)</f>
        <v>0</v>
      </c>
      <c r="U27" s="1">
        <f>P27 + Q27 + R27 + S27 + T27</f>
        <v>0</v>
      </c>
      <c r="V27" s="1">
        <f>IF(P27 + V26 &lt; 0, P27 + V26, 0)</f>
        <v>0</v>
      </c>
      <c r="W27" s="1">
        <f>IF(Q27 + W26 &lt; 0, Q27 + W26, 0)</f>
        <v>0</v>
      </c>
      <c r="X27" s="1">
        <f>IF(R27 + X26 &lt; 0, R27 + X26, 0)</f>
        <v>0</v>
      </c>
      <c r="Y27" s="1">
        <f>IF(S27 + Y26 &lt; 0, S27 + Y26, 0)</f>
        <v>0</v>
      </c>
      <c r="Z27" s="1">
        <f>IF(T27 + Z26 &lt; 0, T27 + Z26, 0)</f>
        <v>0</v>
      </c>
      <c r="AA27" s="1">
        <f>IF(U27 + AA26 &lt; 0, U27 + AA26, 0)</f>
        <v>0</v>
      </c>
      <c r="AB27" s="1">
        <f>IF(AA27 &lt; 0, 1 + AB26, 0)</f>
        <v>0</v>
      </c>
      <c r="AC27" s="1">
        <f>IF(H27&lt;0,1,0)</f>
        <v>0</v>
      </c>
      <c r="AD27" s="1">
        <f>IF(AC27=1,H27,0)</f>
        <v>0</v>
      </c>
      <c r="AE27" s="1">
        <f>IF(H27&gt;0,1,0)</f>
        <v>0</v>
      </c>
      <c r="AF27" s="1">
        <f>IF(AE27=1,H27,0)</f>
        <v>0</v>
      </c>
      <c r="AG27" s="1">
        <f>IF(AD27&lt;-20000000.0/100,1,0)</f>
        <v>0</v>
      </c>
      <c r="AH27" s="1">
        <f>IF(AF27&gt;20000000.0/100,1,0)</f>
        <v>0</v>
      </c>
      <c r="AI27" s="1">
        <f>IF(U27&lt;0,1,0)</f>
        <v>0</v>
      </c>
      <c r="AJ27" s="1">
        <f>IF(AI27=1,U27,0)</f>
        <v>0</v>
      </c>
      <c r="AK27" s="1">
        <f>IF(U27&gt;0,1,0)</f>
        <v>0</v>
      </c>
      <c r="AL27" s="1">
        <f>IF(AK27=1,U27,0)</f>
        <v>0</v>
      </c>
      <c r="AM27" s="1">
        <f>IF(AJ27&lt;-20000000.0/100,1,0)</f>
        <v>0</v>
      </c>
      <c r="AN27" s="1">
        <f>IF(AL27&gt;20000000.0/100,1,0)</f>
        <v>0</v>
      </c>
    </row>
    <row r="28" spans="1:40" s="1" customFormat="1">
      <c r="A28" s="3">
        <v>45329</v>
      </c>
      <c r="B28" s="2" t="s">
        <v>24</v>
      </c>
      <c r="C28" s="1">
        <f>SUM(PL!H28:J28)</f>
        <v>0</v>
      </c>
      <c r="D28" s="1">
        <f>SUM(PL!K28:M28)</f>
        <v>0</v>
      </c>
      <c r="E28" s="1">
        <f>SUM(PL!N28:P28)</f>
        <v>0</v>
      </c>
      <c r="F28" s="1">
        <f>SUM(PL!Q28:S28)</f>
        <v>0</v>
      </c>
      <c r="G28" s="1">
        <f>SUM(PL!T28:V28)</f>
        <v>0</v>
      </c>
      <c r="H28" s="1">
        <f>SUM(C28:G28)</f>
        <v>0</v>
      </c>
      <c r="I28" s="1">
        <f>IF(C28 + I27 &lt; 0, C28 + I27, 0)</f>
        <v>0</v>
      </c>
      <c r="J28" s="1">
        <f>IF(D28 + J27 &lt; 0, D28 + J27, 0)</f>
        <v>0</v>
      </c>
      <c r="K28" s="1">
        <f>IF(E28 + K27 &lt; 0, E28 + K27, 0)</f>
        <v>0</v>
      </c>
      <c r="L28" s="1">
        <f>IF(F28 + L27 &lt; 0, F28 + L27, 0)</f>
        <v>0</v>
      </c>
      <c r="M28" s="1">
        <f>IF(G28 + M27 &lt; 0, G28 + M27, 0)</f>
        <v>0</v>
      </c>
      <c r="N28" s="1">
        <f>IF(H28 + N27 &lt; 0, H28 + N27, 0)</f>
        <v>0</v>
      </c>
      <c r="O28" s="1">
        <f>IF(N28 &lt; 0, 1 + O27, 0)</f>
        <v>0</v>
      </c>
      <c r="P28" s="1">
        <f>C28-((ABS(SUM(PL!H28:J28)))*0.125)</f>
        <v>0</v>
      </c>
      <c r="Q28" s="1">
        <f>D28-((ABS(SUM(PL!K28:M28)))*0.125)</f>
        <v>0</v>
      </c>
      <c r="R28" s="1">
        <f>E28-((ABS(SUM(PL!N28:P28)))*0.125)</f>
        <v>0</v>
      </c>
      <c r="S28" s="1">
        <f>F28-((ABS(SUM(PL!Q28:S28)))*0.125)</f>
        <v>0</v>
      </c>
      <c r="T28" s="1">
        <f>G28-((ABS(SUM(PL!T28:V28)))*0.125)</f>
        <v>0</v>
      </c>
      <c r="U28" s="1">
        <f>P28 + Q28 + R28 + S28 + T28</f>
        <v>0</v>
      </c>
      <c r="V28" s="1">
        <f>IF(P28 + V27 &lt; 0, P28 + V27, 0)</f>
        <v>0</v>
      </c>
      <c r="W28" s="1">
        <f>IF(Q28 + W27 &lt; 0, Q28 + W27, 0)</f>
        <v>0</v>
      </c>
      <c r="X28" s="1">
        <f>IF(R28 + X27 &lt; 0, R28 + X27, 0)</f>
        <v>0</v>
      </c>
      <c r="Y28" s="1">
        <f>IF(S28 + Y27 &lt; 0, S28 + Y27, 0)</f>
        <v>0</v>
      </c>
      <c r="Z28" s="1">
        <f>IF(T28 + Z27 &lt; 0, T28 + Z27, 0)</f>
        <v>0</v>
      </c>
      <c r="AA28" s="1">
        <f>IF(U28 + AA27 &lt; 0, U28 + AA27, 0)</f>
        <v>0</v>
      </c>
      <c r="AB28" s="1">
        <f>IF(AA28 &lt; 0, 1 + AB27, 0)</f>
        <v>0</v>
      </c>
      <c r="AC28" s="1">
        <f>IF(H28&lt;0,1,0)</f>
        <v>0</v>
      </c>
      <c r="AD28" s="1">
        <f>IF(AC28=1,H28,0)</f>
        <v>0</v>
      </c>
      <c r="AE28" s="1">
        <f>IF(H28&gt;0,1,0)</f>
        <v>0</v>
      </c>
      <c r="AF28" s="1">
        <f>IF(AE28=1,H28,0)</f>
        <v>0</v>
      </c>
      <c r="AG28" s="1">
        <f>IF(AD28&lt;-20000000.0/100,1,0)</f>
        <v>0</v>
      </c>
      <c r="AH28" s="1">
        <f>IF(AF28&gt;20000000.0/100,1,0)</f>
        <v>0</v>
      </c>
      <c r="AI28" s="1">
        <f>IF(U28&lt;0,1,0)</f>
        <v>0</v>
      </c>
      <c r="AJ28" s="1">
        <f>IF(AI28=1,U28,0)</f>
        <v>0</v>
      </c>
      <c r="AK28" s="1">
        <f>IF(U28&gt;0,1,0)</f>
        <v>0</v>
      </c>
      <c r="AL28" s="1">
        <f>IF(AK28=1,U28,0)</f>
        <v>0</v>
      </c>
      <c r="AM28" s="1">
        <f>IF(AJ28&lt;-20000000.0/100,1,0)</f>
        <v>0</v>
      </c>
      <c r="AN28" s="1">
        <f>IF(AL28&gt;20000000.0/100,1,0)</f>
        <v>0</v>
      </c>
    </row>
    <row r="29" spans="1:40" s="1" customFormat="1">
      <c r="A29" s="3">
        <v>45330</v>
      </c>
      <c r="B29" s="2" t="s">
        <v>25</v>
      </c>
      <c r="C29" s="1">
        <f>SUM(PL!H29:J29)</f>
        <v>0</v>
      </c>
      <c r="D29" s="1">
        <f>SUM(PL!K29:M29)</f>
        <v>0</v>
      </c>
      <c r="E29" s="1">
        <f>SUM(PL!N29:P29)</f>
        <v>0</v>
      </c>
      <c r="F29" s="1">
        <f>SUM(PL!Q29:S29)</f>
        <v>0</v>
      </c>
      <c r="G29" s="1">
        <f>SUM(PL!T29:V29)</f>
        <v>0</v>
      </c>
      <c r="H29" s="1">
        <f>SUM(C29:G29)</f>
        <v>0</v>
      </c>
      <c r="I29" s="1">
        <f>IF(C29 + I28 &lt; 0, C29 + I28, 0)</f>
        <v>0</v>
      </c>
      <c r="J29" s="1">
        <f>IF(D29 + J28 &lt; 0, D29 + J28, 0)</f>
        <v>0</v>
      </c>
      <c r="K29" s="1">
        <f>IF(E29 + K28 &lt; 0, E29 + K28, 0)</f>
        <v>0</v>
      </c>
      <c r="L29" s="1">
        <f>IF(F29 + L28 &lt; 0, F29 + L28, 0)</f>
        <v>0</v>
      </c>
      <c r="M29" s="1">
        <f>IF(G29 + M28 &lt; 0, G29 + M28, 0)</f>
        <v>0</v>
      </c>
      <c r="N29" s="1">
        <f>IF(H29 + N28 &lt; 0, H29 + N28, 0)</f>
        <v>0</v>
      </c>
      <c r="O29" s="1">
        <f>IF(N29 &lt; 0, 1 + O28, 0)</f>
        <v>0</v>
      </c>
      <c r="P29" s="1">
        <f>C29-((ABS(SUM(PL!H29:J29)))*0.125)</f>
        <v>0</v>
      </c>
      <c r="Q29" s="1">
        <f>D29-((ABS(SUM(PL!K29:M29)))*0.125)</f>
        <v>0</v>
      </c>
      <c r="R29" s="1">
        <f>E29-((ABS(SUM(PL!N29:P29)))*0.125)</f>
        <v>0</v>
      </c>
      <c r="S29" s="1">
        <f>F29-((ABS(SUM(PL!Q29:S29)))*0.125)</f>
        <v>0</v>
      </c>
      <c r="T29" s="1">
        <f>G29-((ABS(SUM(PL!T29:V29)))*0.125)</f>
        <v>0</v>
      </c>
      <c r="U29" s="1">
        <f>P29 + Q29 + R29 + S29 + T29</f>
        <v>0</v>
      </c>
      <c r="V29" s="1">
        <f>IF(P29 + V28 &lt; 0, P29 + V28, 0)</f>
        <v>0</v>
      </c>
      <c r="W29" s="1">
        <f>IF(Q29 + W28 &lt; 0, Q29 + W28, 0)</f>
        <v>0</v>
      </c>
      <c r="X29" s="1">
        <f>IF(R29 + X28 &lt; 0, R29 + X28, 0)</f>
        <v>0</v>
      </c>
      <c r="Y29" s="1">
        <f>IF(S29 + Y28 &lt; 0, S29 + Y28, 0)</f>
        <v>0</v>
      </c>
      <c r="Z29" s="1">
        <f>IF(T29 + Z28 &lt; 0, T29 + Z28, 0)</f>
        <v>0</v>
      </c>
      <c r="AA29" s="1">
        <f>IF(U29 + AA28 &lt; 0, U29 + AA28, 0)</f>
        <v>0</v>
      </c>
      <c r="AB29" s="1">
        <f>IF(AA29 &lt; 0, 1 + AB28, 0)</f>
        <v>0</v>
      </c>
      <c r="AC29" s="1">
        <f>IF(H29&lt;0,1,0)</f>
        <v>0</v>
      </c>
      <c r="AD29" s="1">
        <f>IF(AC29=1,H29,0)</f>
        <v>0</v>
      </c>
      <c r="AE29" s="1">
        <f>IF(H29&gt;0,1,0)</f>
        <v>0</v>
      </c>
      <c r="AF29" s="1">
        <f>IF(AE29=1,H29,0)</f>
        <v>0</v>
      </c>
      <c r="AG29" s="1">
        <f>IF(AD29&lt;-20000000.0/100,1,0)</f>
        <v>0</v>
      </c>
      <c r="AH29" s="1">
        <f>IF(AF29&gt;20000000.0/100,1,0)</f>
        <v>0</v>
      </c>
      <c r="AI29" s="1">
        <f>IF(U29&lt;0,1,0)</f>
        <v>0</v>
      </c>
      <c r="AJ29" s="1">
        <f>IF(AI29=1,U29,0)</f>
        <v>0</v>
      </c>
      <c r="AK29" s="1">
        <f>IF(U29&gt;0,1,0)</f>
        <v>0</v>
      </c>
      <c r="AL29" s="1">
        <f>IF(AK29=1,U29,0)</f>
        <v>0</v>
      </c>
      <c r="AM29" s="1">
        <f>IF(AJ29&lt;-20000000.0/100,1,0)</f>
        <v>0</v>
      </c>
      <c r="AN29" s="1">
        <f>IF(AL29&gt;20000000.0/100,1,0)</f>
        <v>0</v>
      </c>
    </row>
    <row r="30" spans="1:40" s="1" customFormat="1">
      <c r="A30" s="3">
        <v>45331</v>
      </c>
      <c r="B30" s="2" t="s">
        <v>26</v>
      </c>
      <c r="C30" s="1">
        <f>SUM(PL!H30:J30)</f>
        <v>0</v>
      </c>
      <c r="D30" s="1">
        <f>SUM(PL!K30:M30)</f>
        <v>0</v>
      </c>
      <c r="E30" s="1">
        <f>SUM(PL!N30:P30)</f>
        <v>0</v>
      </c>
      <c r="F30" s="1">
        <f>SUM(PL!Q30:S30)</f>
        <v>0</v>
      </c>
      <c r="G30" s="1">
        <f>SUM(PL!T30:V30)</f>
        <v>0</v>
      </c>
      <c r="H30" s="1">
        <f>SUM(C30:G30)</f>
        <v>0</v>
      </c>
      <c r="I30" s="1">
        <f>IF(C30 + I29 &lt; 0, C30 + I29, 0)</f>
        <v>0</v>
      </c>
      <c r="J30" s="1">
        <f>IF(D30 + J29 &lt; 0, D30 + J29, 0)</f>
        <v>0</v>
      </c>
      <c r="K30" s="1">
        <f>IF(E30 + K29 &lt; 0, E30 + K29, 0)</f>
        <v>0</v>
      </c>
      <c r="L30" s="1">
        <f>IF(F30 + L29 &lt; 0, F30 + L29, 0)</f>
        <v>0</v>
      </c>
      <c r="M30" s="1">
        <f>IF(G30 + M29 &lt; 0, G30 + M29, 0)</f>
        <v>0</v>
      </c>
      <c r="N30" s="1">
        <f>IF(H30 + N29 &lt; 0, H30 + N29, 0)</f>
        <v>0</v>
      </c>
      <c r="O30" s="1">
        <f>IF(N30 &lt; 0, 1 + O29, 0)</f>
        <v>0</v>
      </c>
      <c r="P30" s="1">
        <f>C30-((ABS(SUM(PL!H30:J30)))*0.125)</f>
        <v>0</v>
      </c>
      <c r="Q30" s="1">
        <f>D30-((ABS(SUM(PL!K30:M30)))*0.125)</f>
        <v>0</v>
      </c>
      <c r="R30" s="1">
        <f>E30-((ABS(SUM(PL!N30:P30)))*0.125)</f>
        <v>0</v>
      </c>
      <c r="S30" s="1">
        <f>F30-((ABS(SUM(PL!Q30:S30)))*0.125)</f>
        <v>0</v>
      </c>
      <c r="T30" s="1">
        <f>G30-((ABS(SUM(PL!T30:V30)))*0.125)</f>
        <v>0</v>
      </c>
      <c r="U30" s="1">
        <f>P30 + Q30 + R30 + S30 + T30</f>
        <v>0</v>
      </c>
      <c r="V30" s="1">
        <f>IF(P30 + V29 &lt; 0, P30 + V29, 0)</f>
        <v>0</v>
      </c>
      <c r="W30" s="1">
        <f>IF(Q30 + W29 &lt; 0, Q30 + W29, 0)</f>
        <v>0</v>
      </c>
      <c r="X30" s="1">
        <f>IF(R30 + X29 &lt; 0, R30 + X29, 0)</f>
        <v>0</v>
      </c>
      <c r="Y30" s="1">
        <f>IF(S30 + Y29 &lt; 0, S30 + Y29, 0)</f>
        <v>0</v>
      </c>
      <c r="Z30" s="1">
        <f>IF(T30 + Z29 &lt; 0, T30 + Z29, 0)</f>
        <v>0</v>
      </c>
      <c r="AA30" s="1">
        <f>IF(U30 + AA29 &lt; 0, U30 + AA29, 0)</f>
        <v>0</v>
      </c>
      <c r="AB30" s="1">
        <f>IF(AA30 &lt; 0, 1 + AB29, 0)</f>
        <v>0</v>
      </c>
      <c r="AC30" s="1">
        <f>IF(H30&lt;0,1,0)</f>
        <v>0</v>
      </c>
      <c r="AD30" s="1">
        <f>IF(AC30=1,H30,0)</f>
        <v>0</v>
      </c>
      <c r="AE30" s="1">
        <f>IF(H30&gt;0,1,0)</f>
        <v>0</v>
      </c>
      <c r="AF30" s="1">
        <f>IF(AE30=1,H30,0)</f>
        <v>0</v>
      </c>
      <c r="AG30" s="1">
        <f>IF(AD30&lt;-20000000.0/100,1,0)</f>
        <v>0</v>
      </c>
      <c r="AH30" s="1">
        <f>IF(AF30&gt;20000000.0/100,1,0)</f>
        <v>0</v>
      </c>
      <c r="AI30" s="1">
        <f>IF(U30&lt;0,1,0)</f>
        <v>0</v>
      </c>
      <c r="AJ30" s="1">
        <f>IF(AI30=1,U30,0)</f>
        <v>0</v>
      </c>
      <c r="AK30" s="1">
        <f>IF(U30&gt;0,1,0)</f>
        <v>0</v>
      </c>
      <c r="AL30" s="1">
        <f>IF(AK30=1,U30,0)</f>
        <v>0</v>
      </c>
      <c r="AM30" s="1">
        <f>IF(AJ30&lt;-20000000.0/100,1,0)</f>
        <v>0</v>
      </c>
      <c r="AN30" s="1">
        <f>IF(AL30&gt;20000000.0/100,1,0)</f>
        <v>0</v>
      </c>
    </row>
    <row r="31" spans="1:40" s="1" customFormat="1">
      <c r="A31" s="3">
        <v>45334</v>
      </c>
      <c r="B31" s="2" t="s">
        <v>22</v>
      </c>
      <c r="C31" s="1">
        <f>SUM(PL!H31:J31)</f>
        <v>0</v>
      </c>
      <c r="D31" s="1">
        <f>SUM(PL!K31:M31)</f>
        <v>0</v>
      </c>
      <c r="E31" s="1">
        <f>SUM(PL!N31:P31)</f>
        <v>0</v>
      </c>
      <c r="F31" s="1">
        <f>SUM(PL!Q31:S31)</f>
        <v>0</v>
      </c>
      <c r="G31" s="1">
        <f>SUM(PL!T31:V31)</f>
        <v>0</v>
      </c>
      <c r="H31" s="1">
        <f>SUM(C31:G31)</f>
        <v>0</v>
      </c>
      <c r="I31" s="1">
        <f>IF(C31 + I30 &lt; 0, C31 + I30, 0)</f>
        <v>0</v>
      </c>
      <c r="J31" s="1">
        <f>IF(D31 + J30 &lt; 0, D31 + J30, 0)</f>
        <v>0</v>
      </c>
      <c r="K31" s="1">
        <f>IF(E31 + K30 &lt; 0, E31 + K30, 0)</f>
        <v>0</v>
      </c>
      <c r="L31" s="1">
        <f>IF(F31 + L30 &lt; 0, F31 + L30, 0)</f>
        <v>0</v>
      </c>
      <c r="M31" s="1">
        <f>IF(G31 + M30 &lt; 0, G31 + M30, 0)</f>
        <v>0</v>
      </c>
      <c r="N31" s="1">
        <f>IF(H31 + N30 &lt; 0, H31 + N30, 0)</f>
        <v>0</v>
      </c>
      <c r="O31" s="1">
        <f>IF(N31 &lt; 0, 1 + O30, 0)</f>
        <v>0</v>
      </c>
      <c r="P31" s="1">
        <f>C31-((ABS(SUM(PL!H31:J31)))*0.125)</f>
        <v>0</v>
      </c>
      <c r="Q31" s="1">
        <f>D31-((ABS(SUM(PL!K31:M31)))*0.125)</f>
        <v>0</v>
      </c>
      <c r="R31" s="1">
        <f>E31-((ABS(SUM(PL!N31:P31)))*0.125)</f>
        <v>0</v>
      </c>
      <c r="S31" s="1">
        <f>F31-((ABS(SUM(PL!Q31:S31)))*0.125)</f>
        <v>0</v>
      </c>
      <c r="T31" s="1">
        <f>G31-((ABS(SUM(PL!T31:V31)))*0.125)</f>
        <v>0</v>
      </c>
      <c r="U31" s="1">
        <f>P31 + Q31 + R31 + S31 + T31</f>
        <v>0</v>
      </c>
      <c r="V31" s="1">
        <f>IF(P31 + V30 &lt; 0, P31 + V30, 0)</f>
        <v>0</v>
      </c>
      <c r="W31" s="1">
        <f>IF(Q31 + W30 &lt; 0, Q31 + W30, 0)</f>
        <v>0</v>
      </c>
      <c r="X31" s="1">
        <f>IF(R31 + X30 &lt; 0, R31 + X30, 0)</f>
        <v>0</v>
      </c>
      <c r="Y31" s="1">
        <f>IF(S31 + Y30 &lt; 0, S31 + Y30, 0)</f>
        <v>0</v>
      </c>
      <c r="Z31" s="1">
        <f>IF(T31 + Z30 &lt; 0, T31 + Z30, 0)</f>
        <v>0</v>
      </c>
      <c r="AA31" s="1">
        <f>IF(U31 + AA30 &lt; 0, U31 + AA30, 0)</f>
        <v>0</v>
      </c>
      <c r="AB31" s="1">
        <f>IF(AA31 &lt; 0, 1 + AB30, 0)</f>
        <v>0</v>
      </c>
      <c r="AC31" s="1">
        <f>IF(H31&lt;0,1,0)</f>
        <v>0</v>
      </c>
      <c r="AD31" s="1">
        <f>IF(AC31=1,H31,0)</f>
        <v>0</v>
      </c>
      <c r="AE31" s="1">
        <f>IF(H31&gt;0,1,0)</f>
        <v>0</v>
      </c>
      <c r="AF31" s="1">
        <f>IF(AE31=1,H31,0)</f>
        <v>0</v>
      </c>
      <c r="AG31" s="1">
        <f>IF(AD31&lt;-20000000.0/100,1,0)</f>
        <v>0</v>
      </c>
      <c r="AH31" s="1">
        <f>IF(AF31&gt;20000000.0/100,1,0)</f>
        <v>0</v>
      </c>
      <c r="AI31" s="1">
        <f>IF(U31&lt;0,1,0)</f>
        <v>0</v>
      </c>
      <c r="AJ31" s="1">
        <f>IF(AI31=1,U31,0)</f>
        <v>0</v>
      </c>
      <c r="AK31" s="1">
        <f>IF(U31&gt;0,1,0)</f>
        <v>0</v>
      </c>
      <c r="AL31" s="1">
        <f>IF(AK31=1,U31,0)</f>
        <v>0</v>
      </c>
      <c r="AM31" s="1">
        <f>IF(AJ31&lt;-20000000.0/100,1,0)</f>
        <v>0</v>
      </c>
      <c r="AN31" s="1">
        <f>IF(AL31&gt;20000000.0/100,1,0)</f>
        <v>0</v>
      </c>
    </row>
    <row r="32" spans="1:40" s="1" customFormat="1">
      <c r="A32" s="3">
        <v>45335</v>
      </c>
      <c r="B32" s="2" t="s">
        <v>23</v>
      </c>
      <c r="C32" s="1">
        <f>SUM(PL!H32:J32)</f>
        <v>0</v>
      </c>
      <c r="D32" s="1">
        <f>SUM(PL!K32:M32)</f>
        <v>0</v>
      </c>
      <c r="E32" s="1">
        <f>SUM(PL!N32:P32)</f>
        <v>0</v>
      </c>
      <c r="F32" s="1">
        <f>SUM(PL!Q32:S32)</f>
        <v>0</v>
      </c>
      <c r="G32" s="1">
        <f>SUM(PL!T32:V32)</f>
        <v>0</v>
      </c>
      <c r="H32" s="1">
        <f>SUM(C32:G32)</f>
        <v>0</v>
      </c>
      <c r="I32" s="1">
        <f>IF(C32 + I31 &lt; 0, C32 + I31, 0)</f>
        <v>0</v>
      </c>
      <c r="J32" s="1">
        <f>IF(D32 + J31 &lt; 0, D32 + J31, 0)</f>
        <v>0</v>
      </c>
      <c r="K32" s="1">
        <f>IF(E32 + K31 &lt; 0, E32 + K31, 0)</f>
        <v>0</v>
      </c>
      <c r="L32" s="1">
        <f>IF(F32 + L31 &lt; 0, F32 + L31, 0)</f>
        <v>0</v>
      </c>
      <c r="M32" s="1">
        <f>IF(G32 + M31 &lt; 0, G32 + M31, 0)</f>
        <v>0</v>
      </c>
      <c r="N32" s="1">
        <f>IF(H32 + N31 &lt; 0, H32 + N31, 0)</f>
        <v>0</v>
      </c>
      <c r="O32" s="1">
        <f>IF(N32 &lt; 0, 1 + O31, 0)</f>
        <v>0</v>
      </c>
      <c r="P32" s="1">
        <f>C32-((ABS(SUM(PL!H32:J32)))*0.125)</f>
        <v>0</v>
      </c>
      <c r="Q32" s="1">
        <f>D32-((ABS(SUM(PL!K32:M32)))*0.125)</f>
        <v>0</v>
      </c>
      <c r="R32" s="1">
        <f>E32-((ABS(SUM(PL!N32:P32)))*0.125)</f>
        <v>0</v>
      </c>
      <c r="S32" s="1">
        <f>F32-((ABS(SUM(PL!Q32:S32)))*0.125)</f>
        <v>0</v>
      </c>
      <c r="T32" s="1">
        <f>G32-((ABS(SUM(PL!T32:V32)))*0.125)</f>
        <v>0</v>
      </c>
      <c r="U32" s="1">
        <f>P32 + Q32 + R32 + S32 + T32</f>
        <v>0</v>
      </c>
      <c r="V32" s="1">
        <f>IF(P32 + V31 &lt; 0, P32 + V31, 0)</f>
        <v>0</v>
      </c>
      <c r="W32" s="1">
        <f>IF(Q32 + W31 &lt; 0, Q32 + W31, 0)</f>
        <v>0</v>
      </c>
      <c r="X32" s="1">
        <f>IF(R32 + X31 &lt; 0, R32 + X31, 0)</f>
        <v>0</v>
      </c>
      <c r="Y32" s="1">
        <f>IF(S32 + Y31 &lt; 0, S32 + Y31, 0)</f>
        <v>0</v>
      </c>
      <c r="Z32" s="1">
        <f>IF(T32 + Z31 &lt; 0, T32 + Z31, 0)</f>
        <v>0</v>
      </c>
      <c r="AA32" s="1">
        <f>IF(U32 + AA31 &lt; 0, U32 + AA31, 0)</f>
        <v>0</v>
      </c>
      <c r="AB32" s="1">
        <f>IF(AA32 &lt; 0, 1 + AB31, 0)</f>
        <v>0</v>
      </c>
      <c r="AC32" s="1">
        <f>IF(H32&lt;0,1,0)</f>
        <v>0</v>
      </c>
      <c r="AD32" s="1">
        <f>IF(AC32=1,H32,0)</f>
        <v>0</v>
      </c>
      <c r="AE32" s="1">
        <f>IF(H32&gt;0,1,0)</f>
        <v>0</v>
      </c>
      <c r="AF32" s="1">
        <f>IF(AE32=1,H32,0)</f>
        <v>0</v>
      </c>
      <c r="AG32" s="1">
        <f>IF(AD32&lt;-20000000.0/100,1,0)</f>
        <v>0</v>
      </c>
      <c r="AH32" s="1">
        <f>IF(AF32&gt;20000000.0/100,1,0)</f>
        <v>0</v>
      </c>
      <c r="AI32" s="1">
        <f>IF(U32&lt;0,1,0)</f>
        <v>0</v>
      </c>
      <c r="AJ32" s="1">
        <f>IF(AI32=1,U32,0)</f>
        <v>0</v>
      </c>
      <c r="AK32" s="1">
        <f>IF(U32&gt;0,1,0)</f>
        <v>0</v>
      </c>
      <c r="AL32" s="1">
        <f>IF(AK32=1,U32,0)</f>
        <v>0</v>
      </c>
      <c r="AM32" s="1">
        <f>IF(AJ32&lt;-20000000.0/100,1,0)</f>
        <v>0</v>
      </c>
      <c r="AN32" s="1">
        <f>IF(AL32&gt;20000000.0/100,1,0)</f>
        <v>0</v>
      </c>
    </row>
    <row r="33" spans="1:40" s="1" customFormat="1">
      <c r="A33" s="3">
        <v>45336</v>
      </c>
      <c r="B33" s="2" t="s">
        <v>24</v>
      </c>
      <c r="C33" s="1">
        <f>SUM(PL!H33:J33)</f>
        <v>0</v>
      </c>
      <c r="D33" s="1">
        <f>SUM(PL!K33:M33)</f>
        <v>0</v>
      </c>
      <c r="E33" s="1">
        <f>SUM(PL!N33:P33)</f>
        <v>0</v>
      </c>
      <c r="F33" s="1">
        <f>SUM(PL!Q33:S33)</f>
        <v>0</v>
      </c>
      <c r="G33" s="1">
        <f>SUM(PL!T33:V33)</f>
        <v>0</v>
      </c>
      <c r="H33" s="1">
        <f>SUM(C33:G33)</f>
        <v>0</v>
      </c>
      <c r="I33" s="1">
        <f>IF(C33 + I32 &lt; 0, C33 + I32, 0)</f>
        <v>0</v>
      </c>
      <c r="J33" s="1">
        <f>IF(D33 + J32 &lt; 0, D33 + J32, 0)</f>
        <v>0</v>
      </c>
      <c r="K33" s="1">
        <f>IF(E33 + K32 &lt; 0, E33 + K32, 0)</f>
        <v>0</v>
      </c>
      <c r="L33" s="1">
        <f>IF(F33 + L32 &lt; 0, F33 + L32, 0)</f>
        <v>0</v>
      </c>
      <c r="M33" s="1">
        <f>IF(G33 + M32 &lt; 0, G33 + M32, 0)</f>
        <v>0</v>
      </c>
      <c r="N33" s="1">
        <f>IF(H33 + N32 &lt; 0, H33 + N32, 0)</f>
        <v>0</v>
      </c>
      <c r="O33" s="1">
        <f>IF(N33 &lt; 0, 1 + O32, 0)</f>
        <v>0</v>
      </c>
      <c r="P33" s="1">
        <f>C33-((ABS(SUM(PL!H33:J33)))*0.125)</f>
        <v>0</v>
      </c>
      <c r="Q33" s="1">
        <f>D33-((ABS(SUM(PL!K33:M33)))*0.125)</f>
        <v>0</v>
      </c>
      <c r="R33" s="1">
        <f>E33-((ABS(SUM(PL!N33:P33)))*0.125)</f>
        <v>0</v>
      </c>
      <c r="S33" s="1">
        <f>F33-((ABS(SUM(PL!Q33:S33)))*0.125)</f>
        <v>0</v>
      </c>
      <c r="T33" s="1">
        <f>G33-((ABS(SUM(PL!T33:V33)))*0.125)</f>
        <v>0</v>
      </c>
      <c r="U33" s="1">
        <f>P33 + Q33 + R33 + S33 + T33</f>
        <v>0</v>
      </c>
      <c r="V33" s="1">
        <f>IF(P33 + V32 &lt; 0, P33 + V32, 0)</f>
        <v>0</v>
      </c>
      <c r="W33" s="1">
        <f>IF(Q33 + W32 &lt; 0, Q33 + W32, 0)</f>
        <v>0</v>
      </c>
      <c r="X33" s="1">
        <f>IF(R33 + X32 &lt; 0, R33 + X32, 0)</f>
        <v>0</v>
      </c>
      <c r="Y33" s="1">
        <f>IF(S33 + Y32 &lt; 0, S33 + Y32, 0)</f>
        <v>0</v>
      </c>
      <c r="Z33" s="1">
        <f>IF(T33 + Z32 &lt; 0, T33 + Z32, 0)</f>
        <v>0</v>
      </c>
      <c r="AA33" s="1">
        <f>IF(U33 + AA32 &lt; 0, U33 + AA32, 0)</f>
        <v>0</v>
      </c>
      <c r="AB33" s="1">
        <f>IF(AA33 &lt; 0, 1 + AB32, 0)</f>
        <v>0</v>
      </c>
      <c r="AC33" s="1">
        <f>IF(H33&lt;0,1,0)</f>
        <v>0</v>
      </c>
      <c r="AD33" s="1">
        <f>IF(AC33=1,H33,0)</f>
        <v>0</v>
      </c>
      <c r="AE33" s="1">
        <f>IF(H33&gt;0,1,0)</f>
        <v>0</v>
      </c>
      <c r="AF33" s="1">
        <f>IF(AE33=1,H33,0)</f>
        <v>0</v>
      </c>
      <c r="AG33" s="1">
        <f>IF(AD33&lt;-20000000.0/100,1,0)</f>
        <v>0</v>
      </c>
      <c r="AH33" s="1">
        <f>IF(AF33&gt;20000000.0/100,1,0)</f>
        <v>0</v>
      </c>
      <c r="AI33" s="1">
        <f>IF(U33&lt;0,1,0)</f>
        <v>0</v>
      </c>
      <c r="AJ33" s="1">
        <f>IF(AI33=1,U33,0)</f>
        <v>0</v>
      </c>
      <c r="AK33" s="1">
        <f>IF(U33&gt;0,1,0)</f>
        <v>0</v>
      </c>
      <c r="AL33" s="1">
        <f>IF(AK33=1,U33,0)</f>
        <v>0</v>
      </c>
      <c r="AM33" s="1">
        <f>IF(AJ33&lt;-20000000.0/100,1,0)</f>
        <v>0</v>
      </c>
      <c r="AN33" s="1">
        <f>IF(AL33&gt;20000000.0/100,1,0)</f>
        <v>0</v>
      </c>
    </row>
    <row r="34" spans="1:40" s="1" customFormat="1">
      <c r="A34" s="3">
        <v>45337</v>
      </c>
      <c r="B34" s="2" t="s">
        <v>25</v>
      </c>
      <c r="C34" s="1">
        <f>SUM(PL!H34:J34)</f>
        <v>0</v>
      </c>
      <c r="D34" s="1">
        <f>SUM(PL!K34:M34)</f>
        <v>0</v>
      </c>
      <c r="E34" s="1">
        <f>SUM(PL!N34:P34)</f>
        <v>0</v>
      </c>
      <c r="F34" s="1">
        <f>SUM(PL!Q34:S34)</f>
        <v>0</v>
      </c>
      <c r="G34" s="1">
        <f>SUM(PL!T34:V34)</f>
        <v>0</v>
      </c>
      <c r="H34" s="1">
        <f>SUM(C34:G34)</f>
        <v>0</v>
      </c>
      <c r="I34" s="1">
        <f>IF(C34 + I33 &lt; 0, C34 + I33, 0)</f>
        <v>0</v>
      </c>
      <c r="J34" s="1">
        <f>IF(D34 + J33 &lt; 0, D34 + J33, 0)</f>
        <v>0</v>
      </c>
      <c r="K34" s="1">
        <f>IF(E34 + K33 &lt; 0, E34 + K33, 0)</f>
        <v>0</v>
      </c>
      <c r="L34" s="1">
        <f>IF(F34 + L33 &lt; 0, F34 + L33, 0)</f>
        <v>0</v>
      </c>
      <c r="M34" s="1">
        <f>IF(G34 + M33 &lt; 0, G34 + M33, 0)</f>
        <v>0</v>
      </c>
      <c r="N34" s="1">
        <f>IF(H34 + N33 &lt; 0, H34 + N33, 0)</f>
        <v>0</v>
      </c>
      <c r="O34" s="1">
        <f>IF(N34 &lt; 0, 1 + O33, 0)</f>
        <v>0</v>
      </c>
      <c r="P34" s="1">
        <f>C34-((ABS(SUM(PL!H34:J34)))*0.125)</f>
        <v>0</v>
      </c>
      <c r="Q34" s="1">
        <f>D34-((ABS(SUM(PL!K34:M34)))*0.125)</f>
        <v>0</v>
      </c>
      <c r="R34" s="1">
        <f>E34-((ABS(SUM(PL!N34:P34)))*0.125)</f>
        <v>0</v>
      </c>
      <c r="S34" s="1">
        <f>F34-((ABS(SUM(PL!Q34:S34)))*0.125)</f>
        <v>0</v>
      </c>
      <c r="T34" s="1">
        <f>G34-((ABS(SUM(PL!T34:V34)))*0.125)</f>
        <v>0</v>
      </c>
      <c r="U34" s="1">
        <f>P34 + Q34 + R34 + S34 + T34</f>
        <v>0</v>
      </c>
      <c r="V34" s="1">
        <f>IF(P34 + V33 &lt; 0, P34 + V33, 0)</f>
        <v>0</v>
      </c>
      <c r="W34" s="1">
        <f>IF(Q34 + W33 &lt; 0, Q34 + W33, 0)</f>
        <v>0</v>
      </c>
      <c r="X34" s="1">
        <f>IF(R34 + X33 &lt; 0, R34 + X33, 0)</f>
        <v>0</v>
      </c>
      <c r="Y34" s="1">
        <f>IF(S34 + Y33 &lt; 0, S34 + Y33, 0)</f>
        <v>0</v>
      </c>
      <c r="Z34" s="1">
        <f>IF(T34 + Z33 &lt; 0, T34 + Z33, 0)</f>
        <v>0</v>
      </c>
      <c r="AA34" s="1">
        <f>IF(U34 + AA33 &lt; 0, U34 + AA33, 0)</f>
        <v>0</v>
      </c>
      <c r="AB34" s="1">
        <f>IF(AA34 &lt; 0, 1 + AB33, 0)</f>
        <v>0</v>
      </c>
      <c r="AC34" s="1">
        <f>IF(H34&lt;0,1,0)</f>
        <v>0</v>
      </c>
      <c r="AD34" s="1">
        <f>IF(AC34=1,H34,0)</f>
        <v>0</v>
      </c>
      <c r="AE34" s="1">
        <f>IF(H34&gt;0,1,0)</f>
        <v>0</v>
      </c>
      <c r="AF34" s="1">
        <f>IF(AE34=1,H34,0)</f>
        <v>0</v>
      </c>
      <c r="AG34" s="1">
        <f>IF(AD34&lt;-20000000.0/100,1,0)</f>
        <v>0</v>
      </c>
      <c r="AH34" s="1">
        <f>IF(AF34&gt;20000000.0/100,1,0)</f>
        <v>0</v>
      </c>
      <c r="AI34" s="1">
        <f>IF(U34&lt;0,1,0)</f>
        <v>0</v>
      </c>
      <c r="AJ34" s="1">
        <f>IF(AI34=1,U34,0)</f>
        <v>0</v>
      </c>
      <c r="AK34" s="1">
        <f>IF(U34&gt;0,1,0)</f>
        <v>0</v>
      </c>
      <c r="AL34" s="1">
        <f>IF(AK34=1,U34,0)</f>
        <v>0</v>
      </c>
      <c r="AM34" s="1">
        <f>IF(AJ34&lt;-20000000.0/100,1,0)</f>
        <v>0</v>
      </c>
      <c r="AN34" s="1">
        <f>IF(AL34&gt;20000000.0/100,1,0)</f>
        <v>0</v>
      </c>
    </row>
    <row r="35" spans="1:40" s="1" customFormat="1">
      <c r="A35" s="3">
        <v>45338</v>
      </c>
      <c r="B35" s="2" t="s">
        <v>26</v>
      </c>
      <c r="C35" s="1">
        <f>SUM(PL!H35:J35)</f>
        <v>0</v>
      </c>
      <c r="D35" s="1">
        <f>SUM(PL!K35:M35)</f>
        <v>0</v>
      </c>
      <c r="E35" s="1">
        <f>SUM(PL!N35:P35)</f>
        <v>0</v>
      </c>
      <c r="F35" s="1">
        <f>SUM(PL!Q35:S35)</f>
        <v>0</v>
      </c>
      <c r="G35" s="1">
        <f>SUM(PL!T35:V35)</f>
        <v>0</v>
      </c>
      <c r="H35" s="1">
        <f>SUM(C35:G35)</f>
        <v>0</v>
      </c>
      <c r="I35" s="1">
        <f>IF(C35 + I34 &lt; 0, C35 + I34, 0)</f>
        <v>0</v>
      </c>
      <c r="J35" s="1">
        <f>IF(D35 + J34 &lt; 0, D35 + J34, 0)</f>
        <v>0</v>
      </c>
      <c r="K35" s="1">
        <f>IF(E35 + K34 &lt; 0, E35 + K34, 0)</f>
        <v>0</v>
      </c>
      <c r="L35" s="1">
        <f>IF(F35 + L34 &lt; 0, F35 + L34, 0)</f>
        <v>0</v>
      </c>
      <c r="M35" s="1">
        <f>IF(G35 + M34 &lt; 0, G35 + M34, 0)</f>
        <v>0</v>
      </c>
      <c r="N35" s="1">
        <f>IF(H35 + N34 &lt; 0, H35 + N34, 0)</f>
        <v>0</v>
      </c>
      <c r="O35" s="1">
        <f>IF(N35 &lt; 0, 1 + O34, 0)</f>
        <v>0</v>
      </c>
      <c r="P35" s="1">
        <f>C35-((ABS(SUM(PL!H35:J35)))*0.125)</f>
        <v>0</v>
      </c>
      <c r="Q35" s="1">
        <f>D35-((ABS(SUM(PL!K35:M35)))*0.125)</f>
        <v>0</v>
      </c>
      <c r="R35" s="1">
        <f>E35-((ABS(SUM(PL!N35:P35)))*0.125)</f>
        <v>0</v>
      </c>
      <c r="S35" s="1">
        <f>F35-((ABS(SUM(PL!Q35:S35)))*0.125)</f>
        <v>0</v>
      </c>
      <c r="T35" s="1">
        <f>G35-((ABS(SUM(PL!T35:V35)))*0.125)</f>
        <v>0</v>
      </c>
      <c r="U35" s="1">
        <f>P35 + Q35 + R35 + S35 + T35</f>
        <v>0</v>
      </c>
      <c r="V35" s="1">
        <f>IF(P35 + V34 &lt; 0, P35 + V34, 0)</f>
        <v>0</v>
      </c>
      <c r="W35" s="1">
        <f>IF(Q35 + W34 &lt; 0, Q35 + W34, 0)</f>
        <v>0</v>
      </c>
      <c r="X35" s="1">
        <f>IF(R35 + X34 &lt; 0, R35 + X34, 0)</f>
        <v>0</v>
      </c>
      <c r="Y35" s="1">
        <f>IF(S35 + Y34 &lt; 0, S35 + Y34, 0)</f>
        <v>0</v>
      </c>
      <c r="Z35" s="1">
        <f>IF(T35 + Z34 &lt; 0, T35 + Z34, 0)</f>
        <v>0</v>
      </c>
      <c r="AA35" s="1">
        <f>IF(U35 + AA34 &lt; 0, U35 + AA34, 0)</f>
        <v>0</v>
      </c>
      <c r="AB35" s="1">
        <f>IF(AA35 &lt; 0, 1 + AB34, 0)</f>
        <v>0</v>
      </c>
      <c r="AC35" s="1">
        <f>IF(H35&lt;0,1,0)</f>
        <v>0</v>
      </c>
      <c r="AD35" s="1">
        <f>IF(AC35=1,H35,0)</f>
        <v>0</v>
      </c>
      <c r="AE35" s="1">
        <f>IF(H35&gt;0,1,0)</f>
        <v>0</v>
      </c>
      <c r="AF35" s="1">
        <f>IF(AE35=1,H35,0)</f>
        <v>0</v>
      </c>
      <c r="AG35" s="1">
        <f>IF(AD35&lt;-20000000.0/100,1,0)</f>
        <v>0</v>
      </c>
      <c r="AH35" s="1">
        <f>IF(AF35&gt;20000000.0/100,1,0)</f>
        <v>0</v>
      </c>
      <c r="AI35" s="1">
        <f>IF(U35&lt;0,1,0)</f>
        <v>0</v>
      </c>
      <c r="AJ35" s="1">
        <f>IF(AI35=1,U35,0)</f>
        <v>0</v>
      </c>
      <c r="AK35" s="1">
        <f>IF(U35&gt;0,1,0)</f>
        <v>0</v>
      </c>
      <c r="AL35" s="1">
        <f>IF(AK35=1,U35,0)</f>
        <v>0</v>
      </c>
      <c r="AM35" s="1">
        <f>IF(AJ35&lt;-20000000.0/100,1,0)</f>
        <v>0</v>
      </c>
      <c r="AN35" s="1">
        <f>IF(AL35&gt;20000000.0/100,1,0)</f>
        <v>0</v>
      </c>
    </row>
    <row r="36" spans="1:40" s="1" customFormat="1">
      <c r="A36" s="3">
        <v>45341</v>
      </c>
      <c r="B36" s="2" t="s">
        <v>22</v>
      </c>
      <c r="C36" s="1">
        <f>SUM(PL!H36:J36)</f>
        <v>0</v>
      </c>
      <c r="D36" s="1">
        <f>SUM(PL!K36:M36)</f>
        <v>0</v>
      </c>
      <c r="E36" s="1">
        <f>SUM(PL!N36:P36)</f>
        <v>0</v>
      </c>
      <c r="F36" s="1">
        <f>SUM(PL!Q36:S36)</f>
        <v>0</v>
      </c>
      <c r="G36" s="1">
        <f>SUM(PL!T36:V36)</f>
        <v>0</v>
      </c>
      <c r="H36" s="1">
        <f>SUM(C36:G36)</f>
        <v>0</v>
      </c>
      <c r="I36" s="1">
        <f>IF(C36 + I35 &lt; 0, C36 + I35, 0)</f>
        <v>0</v>
      </c>
      <c r="J36" s="1">
        <f>IF(D36 + J35 &lt; 0, D36 + J35, 0)</f>
        <v>0</v>
      </c>
      <c r="K36" s="1">
        <f>IF(E36 + K35 &lt; 0, E36 + K35, 0)</f>
        <v>0</v>
      </c>
      <c r="L36" s="1">
        <f>IF(F36 + L35 &lt; 0, F36 + L35, 0)</f>
        <v>0</v>
      </c>
      <c r="M36" s="1">
        <f>IF(G36 + M35 &lt; 0, G36 + M35, 0)</f>
        <v>0</v>
      </c>
      <c r="N36" s="1">
        <f>IF(H36 + N35 &lt; 0, H36 + N35, 0)</f>
        <v>0</v>
      </c>
      <c r="O36" s="1">
        <f>IF(N36 &lt; 0, 1 + O35, 0)</f>
        <v>0</v>
      </c>
      <c r="P36" s="1">
        <f>C36-((ABS(SUM(PL!H36:J36)))*0.125)</f>
        <v>0</v>
      </c>
      <c r="Q36" s="1">
        <f>D36-((ABS(SUM(PL!K36:M36)))*0.125)</f>
        <v>0</v>
      </c>
      <c r="R36" s="1">
        <f>E36-((ABS(SUM(PL!N36:P36)))*0.125)</f>
        <v>0</v>
      </c>
      <c r="S36" s="1">
        <f>F36-((ABS(SUM(PL!Q36:S36)))*0.125)</f>
        <v>0</v>
      </c>
      <c r="T36" s="1">
        <f>G36-((ABS(SUM(PL!T36:V36)))*0.125)</f>
        <v>0</v>
      </c>
      <c r="U36" s="1">
        <f>P36 + Q36 + R36 + S36 + T36</f>
        <v>0</v>
      </c>
      <c r="V36" s="1">
        <f>IF(P36 + V35 &lt; 0, P36 + V35, 0)</f>
        <v>0</v>
      </c>
      <c r="W36" s="1">
        <f>IF(Q36 + W35 &lt; 0, Q36 + W35, 0)</f>
        <v>0</v>
      </c>
      <c r="X36" s="1">
        <f>IF(R36 + X35 &lt; 0, R36 + X35, 0)</f>
        <v>0</v>
      </c>
      <c r="Y36" s="1">
        <f>IF(S36 + Y35 &lt; 0, S36 + Y35, 0)</f>
        <v>0</v>
      </c>
      <c r="Z36" s="1">
        <f>IF(T36 + Z35 &lt; 0, T36 + Z35, 0)</f>
        <v>0</v>
      </c>
      <c r="AA36" s="1">
        <f>IF(U36 + AA35 &lt; 0, U36 + AA35, 0)</f>
        <v>0</v>
      </c>
      <c r="AB36" s="1">
        <f>IF(AA36 &lt; 0, 1 + AB35, 0)</f>
        <v>0</v>
      </c>
      <c r="AC36" s="1">
        <f>IF(H36&lt;0,1,0)</f>
        <v>0</v>
      </c>
      <c r="AD36" s="1">
        <f>IF(AC36=1,H36,0)</f>
        <v>0</v>
      </c>
      <c r="AE36" s="1">
        <f>IF(H36&gt;0,1,0)</f>
        <v>0</v>
      </c>
      <c r="AF36" s="1">
        <f>IF(AE36=1,H36,0)</f>
        <v>0</v>
      </c>
      <c r="AG36" s="1">
        <f>IF(AD36&lt;-20000000.0/100,1,0)</f>
        <v>0</v>
      </c>
      <c r="AH36" s="1">
        <f>IF(AF36&gt;20000000.0/100,1,0)</f>
        <v>0</v>
      </c>
      <c r="AI36" s="1">
        <f>IF(U36&lt;0,1,0)</f>
        <v>0</v>
      </c>
      <c r="AJ36" s="1">
        <f>IF(AI36=1,U36,0)</f>
        <v>0</v>
      </c>
      <c r="AK36" s="1">
        <f>IF(U36&gt;0,1,0)</f>
        <v>0</v>
      </c>
      <c r="AL36" s="1">
        <f>IF(AK36=1,U36,0)</f>
        <v>0</v>
      </c>
      <c r="AM36" s="1">
        <f>IF(AJ36&lt;-20000000.0/100,1,0)</f>
        <v>0</v>
      </c>
      <c r="AN36" s="1">
        <f>IF(AL36&gt;20000000.0/100,1,0)</f>
        <v>0</v>
      </c>
    </row>
    <row r="37" spans="1:40" s="1" customFormat="1">
      <c r="A37" s="3">
        <v>45342</v>
      </c>
      <c r="B37" s="2" t="s">
        <v>23</v>
      </c>
      <c r="C37" s="1">
        <f>SUM(PL!H37:J37)</f>
        <v>0</v>
      </c>
      <c r="D37" s="1">
        <f>SUM(PL!K37:M37)</f>
        <v>0</v>
      </c>
      <c r="E37" s="1">
        <f>SUM(PL!N37:P37)</f>
        <v>0</v>
      </c>
      <c r="F37" s="1">
        <f>SUM(PL!Q37:S37)</f>
        <v>0</v>
      </c>
      <c r="G37" s="1">
        <f>SUM(PL!T37:V37)</f>
        <v>0</v>
      </c>
      <c r="H37" s="1">
        <f>SUM(C37:G37)</f>
        <v>0</v>
      </c>
      <c r="I37" s="1">
        <f>IF(C37 + I36 &lt; 0, C37 + I36, 0)</f>
        <v>0</v>
      </c>
      <c r="J37" s="1">
        <f>IF(D37 + J36 &lt; 0, D37 + J36, 0)</f>
        <v>0</v>
      </c>
      <c r="K37" s="1">
        <f>IF(E37 + K36 &lt; 0, E37 + K36, 0)</f>
        <v>0</v>
      </c>
      <c r="L37" s="1">
        <f>IF(F37 + L36 &lt; 0, F37 + L36, 0)</f>
        <v>0</v>
      </c>
      <c r="M37" s="1">
        <f>IF(G37 + M36 &lt; 0, G37 + M36, 0)</f>
        <v>0</v>
      </c>
      <c r="N37" s="1">
        <f>IF(H37 + N36 &lt; 0, H37 + N36, 0)</f>
        <v>0</v>
      </c>
      <c r="O37" s="1">
        <f>IF(N37 &lt; 0, 1 + O36, 0)</f>
        <v>0</v>
      </c>
      <c r="P37" s="1">
        <f>C37-((ABS(SUM(PL!H37:J37)))*0.125)</f>
        <v>0</v>
      </c>
      <c r="Q37" s="1">
        <f>D37-((ABS(SUM(PL!K37:M37)))*0.125)</f>
        <v>0</v>
      </c>
      <c r="R37" s="1">
        <f>E37-((ABS(SUM(PL!N37:P37)))*0.125)</f>
        <v>0</v>
      </c>
      <c r="S37" s="1">
        <f>F37-((ABS(SUM(PL!Q37:S37)))*0.125)</f>
        <v>0</v>
      </c>
      <c r="T37" s="1">
        <f>G37-((ABS(SUM(PL!T37:V37)))*0.125)</f>
        <v>0</v>
      </c>
      <c r="U37" s="1">
        <f>P37 + Q37 + R37 + S37 + T37</f>
        <v>0</v>
      </c>
      <c r="V37" s="1">
        <f>IF(P37 + V36 &lt; 0, P37 + V36, 0)</f>
        <v>0</v>
      </c>
      <c r="W37" s="1">
        <f>IF(Q37 + W36 &lt; 0, Q37 + W36, 0)</f>
        <v>0</v>
      </c>
      <c r="X37" s="1">
        <f>IF(R37 + X36 &lt; 0, R37 + X36, 0)</f>
        <v>0</v>
      </c>
      <c r="Y37" s="1">
        <f>IF(S37 + Y36 &lt; 0, S37 + Y36, 0)</f>
        <v>0</v>
      </c>
      <c r="Z37" s="1">
        <f>IF(T37 + Z36 &lt; 0, T37 + Z36, 0)</f>
        <v>0</v>
      </c>
      <c r="AA37" s="1">
        <f>IF(U37 + AA36 &lt; 0, U37 + AA36, 0)</f>
        <v>0</v>
      </c>
      <c r="AB37" s="1">
        <f>IF(AA37 &lt; 0, 1 + AB36, 0)</f>
        <v>0</v>
      </c>
      <c r="AC37" s="1">
        <f>IF(H37&lt;0,1,0)</f>
        <v>0</v>
      </c>
      <c r="AD37" s="1">
        <f>IF(AC37=1,H37,0)</f>
        <v>0</v>
      </c>
      <c r="AE37" s="1">
        <f>IF(H37&gt;0,1,0)</f>
        <v>0</v>
      </c>
      <c r="AF37" s="1">
        <f>IF(AE37=1,H37,0)</f>
        <v>0</v>
      </c>
      <c r="AG37" s="1">
        <f>IF(AD37&lt;-20000000.0/100,1,0)</f>
        <v>0</v>
      </c>
      <c r="AH37" s="1">
        <f>IF(AF37&gt;20000000.0/100,1,0)</f>
        <v>0</v>
      </c>
      <c r="AI37" s="1">
        <f>IF(U37&lt;0,1,0)</f>
        <v>0</v>
      </c>
      <c r="AJ37" s="1">
        <f>IF(AI37=1,U37,0)</f>
        <v>0</v>
      </c>
      <c r="AK37" s="1">
        <f>IF(U37&gt;0,1,0)</f>
        <v>0</v>
      </c>
      <c r="AL37" s="1">
        <f>IF(AK37=1,U37,0)</f>
        <v>0</v>
      </c>
      <c r="AM37" s="1">
        <f>IF(AJ37&lt;-20000000.0/100,1,0)</f>
        <v>0</v>
      </c>
      <c r="AN37" s="1">
        <f>IF(AL37&gt;20000000.0/100,1,0)</f>
        <v>0</v>
      </c>
    </row>
    <row r="38" spans="1:40" s="1" customFormat="1">
      <c r="A38" s="3">
        <v>45343</v>
      </c>
      <c r="B38" s="2" t="s">
        <v>24</v>
      </c>
      <c r="C38" s="1">
        <f>SUM(PL!H38:J38)</f>
        <v>0</v>
      </c>
      <c r="D38" s="1">
        <f>SUM(PL!K38:M38)</f>
        <v>0</v>
      </c>
      <c r="E38" s="1">
        <f>SUM(PL!N38:P38)</f>
        <v>0</v>
      </c>
      <c r="F38" s="1">
        <f>SUM(PL!Q38:S38)</f>
        <v>0</v>
      </c>
      <c r="G38" s="1">
        <f>SUM(PL!T38:V38)</f>
        <v>0</v>
      </c>
      <c r="H38" s="1">
        <f>SUM(C38:G38)</f>
        <v>0</v>
      </c>
      <c r="I38" s="1">
        <f>IF(C38 + I37 &lt; 0, C38 + I37, 0)</f>
        <v>0</v>
      </c>
      <c r="J38" s="1">
        <f>IF(D38 + J37 &lt; 0, D38 + J37, 0)</f>
        <v>0</v>
      </c>
      <c r="K38" s="1">
        <f>IF(E38 + K37 &lt; 0, E38 + K37, 0)</f>
        <v>0</v>
      </c>
      <c r="L38" s="1">
        <f>IF(F38 + L37 &lt; 0, F38 + L37, 0)</f>
        <v>0</v>
      </c>
      <c r="M38" s="1">
        <f>IF(G38 + M37 &lt; 0, G38 + M37, 0)</f>
        <v>0</v>
      </c>
      <c r="N38" s="1">
        <f>IF(H38 + N37 &lt; 0, H38 + N37, 0)</f>
        <v>0</v>
      </c>
      <c r="O38" s="1">
        <f>IF(N38 &lt; 0, 1 + O37, 0)</f>
        <v>0</v>
      </c>
      <c r="P38" s="1">
        <f>C38-((ABS(SUM(PL!H38:J38)))*0.125)</f>
        <v>0</v>
      </c>
      <c r="Q38" s="1">
        <f>D38-((ABS(SUM(PL!K38:M38)))*0.125)</f>
        <v>0</v>
      </c>
      <c r="R38" s="1">
        <f>E38-((ABS(SUM(PL!N38:P38)))*0.125)</f>
        <v>0</v>
      </c>
      <c r="S38" s="1">
        <f>F38-((ABS(SUM(PL!Q38:S38)))*0.125)</f>
        <v>0</v>
      </c>
      <c r="T38" s="1">
        <f>G38-((ABS(SUM(PL!T38:V38)))*0.125)</f>
        <v>0</v>
      </c>
      <c r="U38" s="1">
        <f>P38 + Q38 + R38 + S38 + T38</f>
        <v>0</v>
      </c>
      <c r="V38" s="1">
        <f>IF(P38 + V37 &lt; 0, P38 + V37, 0)</f>
        <v>0</v>
      </c>
      <c r="W38" s="1">
        <f>IF(Q38 + W37 &lt; 0, Q38 + W37, 0)</f>
        <v>0</v>
      </c>
      <c r="X38" s="1">
        <f>IF(R38 + X37 &lt; 0, R38 + X37, 0)</f>
        <v>0</v>
      </c>
      <c r="Y38" s="1">
        <f>IF(S38 + Y37 &lt; 0, S38 + Y37, 0)</f>
        <v>0</v>
      </c>
      <c r="Z38" s="1">
        <f>IF(T38 + Z37 &lt; 0, T38 + Z37, 0)</f>
        <v>0</v>
      </c>
      <c r="AA38" s="1">
        <f>IF(U38 + AA37 &lt; 0, U38 + AA37, 0)</f>
        <v>0</v>
      </c>
      <c r="AB38" s="1">
        <f>IF(AA38 &lt; 0, 1 + AB37, 0)</f>
        <v>0</v>
      </c>
      <c r="AC38" s="1">
        <f>IF(H38&lt;0,1,0)</f>
        <v>0</v>
      </c>
      <c r="AD38" s="1">
        <f>IF(AC38=1,H38,0)</f>
        <v>0</v>
      </c>
      <c r="AE38" s="1">
        <f>IF(H38&gt;0,1,0)</f>
        <v>0</v>
      </c>
      <c r="AF38" s="1">
        <f>IF(AE38=1,H38,0)</f>
        <v>0</v>
      </c>
      <c r="AG38" s="1">
        <f>IF(AD38&lt;-20000000.0/100,1,0)</f>
        <v>0</v>
      </c>
      <c r="AH38" s="1">
        <f>IF(AF38&gt;20000000.0/100,1,0)</f>
        <v>0</v>
      </c>
      <c r="AI38" s="1">
        <f>IF(U38&lt;0,1,0)</f>
        <v>0</v>
      </c>
      <c r="AJ38" s="1">
        <f>IF(AI38=1,U38,0)</f>
        <v>0</v>
      </c>
      <c r="AK38" s="1">
        <f>IF(U38&gt;0,1,0)</f>
        <v>0</v>
      </c>
      <c r="AL38" s="1">
        <f>IF(AK38=1,U38,0)</f>
        <v>0</v>
      </c>
      <c r="AM38" s="1">
        <f>IF(AJ38&lt;-20000000.0/100,1,0)</f>
        <v>0</v>
      </c>
      <c r="AN38" s="1">
        <f>IF(AL38&gt;20000000.0/100,1,0)</f>
        <v>0</v>
      </c>
    </row>
    <row r="39" spans="1:40" s="1" customFormat="1">
      <c r="A39" s="3">
        <v>45344</v>
      </c>
      <c r="B39" s="2" t="s">
        <v>25</v>
      </c>
      <c r="C39" s="1">
        <f>SUM(PL!H39:J39)</f>
        <v>0</v>
      </c>
      <c r="D39" s="1">
        <f>SUM(PL!K39:M39)</f>
        <v>0</v>
      </c>
      <c r="E39" s="1">
        <f>SUM(PL!N39:P39)</f>
        <v>0</v>
      </c>
      <c r="F39" s="1">
        <f>SUM(PL!Q39:S39)</f>
        <v>0</v>
      </c>
      <c r="G39" s="1">
        <f>SUM(PL!T39:V39)</f>
        <v>0</v>
      </c>
      <c r="H39" s="1">
        <f>SUM(C39:G39)</f>
        <v>0</v>
      </c>
      <c r="I39" s="1">
        <f>IF(C39 + I38 &lt; 0, C39 + I38, 0)</f>
        <v>0</v>
      </c>
      <c r="J39" s="1">
        <f>IF(D39 + J38 &lt; 0, D39 + J38, 0)</f>
        <v>0</v>
      </c>
      <c r="K39" s="1">
        <f>IF(E39 + K38 &lt; 0, E39 + K38, 0)</f>
        <v>0</v>
      </c>
      <c r="L39" s="1">
        <f>IF(F39 + L38 &lt; 0, F39 + L38, 0)</f>
        <v>0</v>
      </c>
      <c r="M39" s="1">
        <f>IF(G39 + M38 &lt; 0, G39 + M38, 0)</f>
        <v>0</v>
      </c>
      <c r="N39" s="1">
        <f>IF(H39 + N38 &lt; 0, H39 + N38, 0)</f>
        <v>0</v>
      </c>
      <c r="O39" s="1">
        <f>IF(N39 &lt; 0, 1 + O38, 0)</f>
        <v>0</v>
      </c>
      <c r="P39" s="1">
        <f>C39-((ABS(SUM(PL!H39:J39)))*0.125)</f>
        <v>0</v>
      </c>
      <c r="Q39" s="1">
        <f>D39-((ABS(SUM(PL!K39:M39)))*0.125)</f>
        <v>0</v>
      </c>
      <c r="R39" s="1">
        <f>E39-((ABS(SUM(PL!N39:P39)))*0.125)</f>
        <v>0</v>
      </c>
      <c r="S39" s="1">
        <f>F39-((ABS(SUM(PL!Q39:S39)))*0.125)</f>
        <v>0</v>
      </c>
      <c r="T39" s="1">
        <f>G39-((ABS(SUM(PL!T39:V39)))*0.125)</f>
        <v>0</v>
      </c>
      <c r="U39" s="1">
        <f>P39 + Q39 + R39 + S39 + T39</f>
        <v>0</v>
      </c>
      <c r="V39" s="1">
        <f>IF(P39 + V38 &lt; 0, P39 + V38, 0)</f>
        <v>0</v>
      </c>
      <c r="W39" s="1">
        <f>IF(Q39 + W38 &lt; 0, Q39 + W38, 0)</f>
        <v>0</v>
      </c>
      <c r="X39" s="1">
        <f>IF(R39 + X38 &lt; 0, R39 + X38, 0)</f>
        <v>0</v>
      </c>
      <c r="Y39" s="1">
        <f>IF(S39 + Y38 &lt; 0, S39 + Y38, 0)</f>
        <v>0</v>
      </c>
      <c r="Z39" s="1">
        <f>IF(T39 + Z38 &lt; 0, T39 + Z38, 0)</f>
        <v>0</v>
      </c>
      <c r="AA39" s="1">
        <f>IF(U39 + AA38 &lt; 0, U39 + AA38, 0)</f>
        <v>0</v>
      </c>
      <c r="AB39" s="1">
        <f>IF(AA39 &lt; 0, 1 + AB38, 0)</f>
        <v>0</v>
      </c>
      <c r="AC39" s="1">
        <f>IF(H39&lt;0,1,0)</f>
        <v>0</v>
      </c>
      <c r="AD39" s="1">
        <f>IF(AC39=1,H39,0)</f>
        <v>0</v>
      </c>
      <c r="AE39" s="1">
        <f>IF(H39&gt;0,1,0)</f>
        <v>0</v>
      </c>
      <c r="AF39" s="1">
        <f>IF(AE39=1,H39,0)</f>
        <v>0</v>
      </c>
      <c r="AG39" s="1">
        <f>IF(AD39&lt;-20000000.0/100,1,0)</f>
        <v>0</v>
      </c>
      <c r="AH39" s="1">
        <f>IF(AF39&gt;20000000.0/100,1,0)</f>
        <v>0</v>
      </c>
      <c r="AI39" s="1">
        <f>IF(U39&lt;0,1,0)</f>
        <v>0</v>
      </c>
      <c r="AJ39" s="1">
        <f>IF(AI39=1,U39,0)</f>
        <v>0</v>
      </c>
      <c r="AK39" s="1">
        <f>IF(U39&gt;0,1,0)</f>
        <v>0</v>
      </c>
      <c r="AL39" s="1">
        <f>IF(AK39=1,U39,0)</f>
        <v>0</v>
      </c>
      <c r="AM39" s="1">
        <f>IF(AJ39&lt;-20000000.0/100,1,0)</f>
        <v>0</v>
      </c>
      <c r="AN39" s="1">
        <f>IF(AL39&gt;20000000.0/100,1,0)</f>
        <v>0</v>
      </c>
    </row>
    <row r="40" spans="1:40" s="1" customFormat="1">
      <c r="A40" s="3">
        <v>45345</v>
      </c>
      <c r="B40" s="2" t="s">
        <v>26</v>
      </c>
      <c r="C40" s="1">
        <f>SUM(PL!H40:J40)</f>
        <v>0</v>
      </c>
      <c r="D40" s="1">
        <f>SUM(PL!K40:M40)</f>
        <v>0</v>
      </c>
      <c r="E40" s="1">
        <f>SUM(PL!N40:P40)</f>
        <v>0</v>
      </c>
      <c r="F40" s="1">
        <f>SUM(PL!Q40:S40)</f>
        <v>0</v>
      </c>
      <c r="G40" s="1">
        <f>SUM(PL!T40:V40)</f>
        <v>0</v>
      </c>
      <c r="H40" s="1">
        <f>SUM(C40:G40)</f>
        <v>0</v>
      </c>
      <c r="I40" s="1">
        <f>IF(C40 + I39 &lt; 0, C40 + I39, 0)</f>
        <v>0</v>
      </c>
      <c r="J40" s="1">
        <f>IF(D40 + J39 &lt; 0, D40 + J39, 0)</f>
        <v>0</v>
      </c>
      <c r="K40" s="1">
        <f>IF(E40 + K39 &lt; 0, E40 + K39, 0)</f>
        <v>0</v>
      </c>
      <c r="L40" s="1">
        <f>IF(F40 + L39 &lt; 0, F40 + L39, 0)</f>
        <v>0</v>
      </c>
      <c r="M40" s="1">
        <f>IF(G40 + M39 &lt; 0, G40 + M39, 0)</f>
        <v>0</v>
      </c>
      <c r="N40" s="1">
        <f>IF(H40 + N39 &lt; 0, H40 + N39, 0)</f>
        <v>0</v>
      </c>
      <c r="O40" s="1">
        <f>IF(N40 &lt; 0, 1 + O39, 0)</f>
        <v>0</v>
      </c>
      <c r="P40" s="1">
        <f>C40-((ABS(SUM(PL!H40:J40)))*0.125)</f>
        <v>0</v>
      </c>
      <c r="Q40" s="1">
        <f>D40-((ABS(SUM(PL!K40:M40)))*0.125)</f>
        <v>0</v>
      </c>
      <c r="R40" s="1">
        <f>E40-((ABS(SUM(PL!N40:P40)))*0.125)</f>
        <v>0</v>
      </c>
      <c r="S40" s="1">
        <f>F40-((ABS(SUM(PL!Q40:S40)))*0.125)</f>
        <v>0</v>
      </c>
      <c r="T40" s="1">
        <f>G40-((ABS(SUM(PL!T40:V40)))*0.125)</f>
        <v>0</v>
      </c>
      <c r="U40" s="1">
        <f>P40 + Q40 + R40 + S40 + T40</f>
        <v>0</v>
      </c>
      <c r="V40" s="1">
        <f>IF(P40 + V39 &lt; 0, P40 + V39, 0)</f>
        <v>0</v>
      </c>
      <c r="W40" s="1">
        <f>IF(Q40 + W39 &lt; 0, Q40 + W39, 0)</f>
        <v>0</v>
      </c>
      <c r="X40" s="1">
        <f>IF(R40 + X39 &lt; 0, R40 + X39, 0)</f>
        <v>0</v>
      </c>
      <c r="Y40" s="1">
        <f>IF(S40 + Y39 &lt; 0, S40 + Y39, 0)</f>
        <v>0</v>
      </c>
      <c r="Z40" s="1">
        <f>IF(T40 + Z39 &lt; 0, T40 + Z39, 0)</f>
        <v>0</v>
      </c>
      <c r="AA40" s="1">
        <f>IF(U40 + AA39 &lt; 0, U40 + AA39, 0)</f>
        <v>0</v>
      </c>
      <c r="AB40" s="1">
        <f>IF(AA40 &lt; 0, 1 + AB39, 0)</f>
        <v>0</v>
      </c>
      <c r="AC40" s="1">
        <f>IF(H40&lt;0,1,0)</f>
        <v>0</v>
      </c>
      <c r="AD40" s="1">
        <f>IF(AC40=1,H40,0)</f>
        <v>0</v>
      </c>
      <c r="AE40" s="1">
        <f>IF(H40&gt;0,1,0)</f>
        <v>0</v>
      </c>
      <c r="AF40" s="1">
        <f>IF(AE40=1,H40,0)</f>
        <v>0</v>
      </c>
      <c r="AG40" s="1">
        <f>IF(AD40&lt;-20000000.0/100,1,0)</f>
        <v>0</v>
      </c>
      <c r="AH40" s="1">
        <f>IF(AF40&gt;20000000.0/100,1,0)</f>
        <v>0</v>
      </c>
      <c r="AI40" s="1">
        <f>IF(U40&lt;0,1,0)</f>
        <v>0</v>
      </c>
      <c r="AJ40" s="1">
        <f>IF(AI40=1,U40,0)</f>
        <v>0</v>
      </c>
      <c r="AK40" s="1">
        <f>IF(U40&gt;0,1,0)</f>
        <v>0</v>
      </c>
      <c r="AL40" s="1">
        <f>IF(AK40=1,U40,0)</f>
        <v>0</v>
      </c>
      <c r="AM40" s="1">
        <f>IF(AJ40&lt;-20000000.0/100,1,0)</f>
        <v>0</v>
      </c>
      <c r="AN40" s="1">
        <f>IF(AL40&gt;20000000.0/100,1,0)</f>
        <v>0</v>
      </c>
    </row>
    <row r="41" spans="1:40" s="1" customFormat="1">
      <c r="A41" s="3">
        <v>45348</v>
      </c>
      <c r="B41" s="2" t="s">
        <v>22</v>
      </c>
      <c r="C41" s="1">
        <f>SUM(PL!H41:J41)</f>
        <v>0</v>
      </c>
      <c r="D41" s="1">
        <f>SUM(PL!K41:M41)</f>
        <v>0</v>
      </c>
      <c r="E41" s="1">
        <f>SUM(PL!N41:P41)</f>
        <v>0</v>
      </c>
      <c r="F41" s="1">
        <f>SUM(PL!Q41:S41)</f>
        <v>0</v>
      </c>
      <c r="G41" s="1">
        <f>SUM(PL!T41:V41)</f>
        <v>0</v>
      </c>
      <c r="H41" s="1">
        <f>SUM(C41:G41)</f>
        <v>0</v>
      </c>
      <c r="I41" s="1">
        <f>IF(C41 + I40 &lt; 0, C41 + I40, 0)</f>
        <v>0</v>
      </c>
      <c r="J41" s="1">
        <f>IF(D41 + J40 &lt; 0, D41 + J40, 0)</f>
        <v>0</v>
      </c>
      <c r="K41" s="1">
        <f>IF(E41 + K40 &lt; 0, E41 + K40, 0)</f>
        <v>0</v>
      </c>
      <c r="L41" s="1">
        <f>IF(F41 + L40 &lt; 0, F41 + L40, 0)</f>
        <v>0</v>
      </c>
      <c r="M41" s="1">
        <f>IF(G41 + M40 &lt; 0, G41 + M40, 0)</f>
        <v>0</v>
      </c>
      <c r="N41" s="1">
        <f>IF(H41 + N40 &lt; 0, H41 + N40, 0)</f>
        <v>0</v>
      </c>
      <c r="O41" s="1">
        <f>IF(N41 &lt; 0, 1 + O40, 0)</f>
        <v>0</v>
      </c>
      <c r="P41" s="1">
        <f>C41-((ABS(SUM(PL!H41:J41)))*0.125)</f>
        <v>0</v>
      </c>
      <c r="Q41" s="1">
        <f>D41-((ABS(SUM(PL!K41:M41)))*0.125)</f>
        <v>0</v>
      </c>
      <c r="R41" s="1">
        <f>E41-((ABS(SUM(PL!N41:P41)))*0.125)</f>
        <v>0</v>
      </c>
      <c r="S41" s="1">
        <f>F41-((ABS(SUM(PL!Q41:S41)))*0.125)</f>
        <v>0</v>
      </c>
      <c r="T41" s="1">
        <f>G41-((ABS(SUM(PL!T41:V41)))*0.125)</f>
        <v>0</v>
      </c>
      <c r="U41" s="1">
        <f>P41 + Q41 + R41 + S41 + T41</f>
        <v>0</v>
      </c>
      <c r="V41" s="1">
        <f>IF(P41 + V40 &lt; 0, P41 + V40, 0)</f>
        <v>0</v>
      </c>
      <c r="W41" s="1">
        <f>IF(Q41 + W40 &lt; 0, Q41 + W40, 0)</f>
        <v>0</v>
      </c>
      <c r="X41" s="1">
        <f>IF(R41 + X40 &lt; 0, R41 + X40, 0)</f>
        <v>0</v>
      </c>
      <c r="Y41" s="1">
        <f>IF(S41 + Y40 &lt; 0, S41 + Y40, 0)</f>
        <v>0</v>
      </c>
      <c r="Z41" s="1">
        <f>IF(T41 + Z40 &lt; 0, T41 + Z40, 0)</f>
        <v>0</v>
      </c>
      <c r="AA41" s="1">
        <f>IF(U41 + AA40 &lt; 0, U41 + AA40, 0)</f>
        <v>0</v>
      </c>
      <c r="AB41" s="1">
        <f>IF(AA41 &lt; 0, 1 + AB40, 0)</f>
        <v>0</v>
      </c>
      <c r="AC41" s="1">
        <f>IF(H41&lt;0,1,0)</f>
        <v>0</v>
      </c>
      <c r="AD41" s="1">
        <f>IF(AC41=1,H41,0)</f>
        <v>0</v>
      </c>
      <c r="AE41" s="1">
        <f>IF(H41&gt;0,1,0)</f>
        <v>0</v>
      </c>
      <c r="AF41" s="1">
        <f>IF(AE41=1,H41,0)</f>
        <v>0</v>
      </c>
      <c r="AG41" s="1">
        <f>IF(AD41&lt;-20000000.0/100,1,0)</f>
        <v>0</v>
      </c>
      <c r="AH41" s="1">
        <f>IF(AF41&gt;20000000.0/100,1,0)</f>
        <v>0</v>
      </c>
      <c r="AI41" s="1">
        <f>IF(U41&lt;0,1,0)</f>
        <v>0</v>
      </c>
      <c r="AJ41" s="1">
        <f>IF(AI41=1,U41,0)</f>
        <v>0</v>
      </c>
      <c r="AK41" s="1">
        <f>IF(U41&gt;0,1,0)</f>
        <v>0</v>
      </c>
      <c r="AL41" s="1">
        <f>IF(AK41=1,U41,0)</f>
        <v>0</v>
      </c>
      <c r="AM41" s="1">
        <f>IF(AJ41&lt;-20000000.0/100,1,0)</f>
        <v>0</v>
      </c>
      <c r="AN41" s="1">
        <f>IF(AL41&gt;20000000.0/100,1,0)</f>
        <v>0</v>
      </c>
    </row>
    <row r="42" spans="1:40" s="1" customFormat="1">
      <c r="A42" s="3">
        <v>45349</v>
      </c>
      <c r="B42" s="2" t="s">
        <v>23</v>
      </c>
      <c r="C42" s="1">
        <f>SUM(PL!H42:J42)</f>
        <v>0</v>
      </c>
      <c r="D42" s="1">
        <f>SUM(PL!K42:M42)</f>
        <v>0</v>
      </c>
      <c r="E42" s="1">
        <f>SUM(PL!N42:P42)</f>
        <v>0</v>
      </c>
      <c r="F42" s="1">
        <f>SUM(PL!Q42:S42)</f>
        <v>0</v>
      </c>
      <c r="G42" s="1">
        <f>SUM(PL!T42:V42)</f>
        <v>0</v>
      </c>
      <c r="H42" s="1">
        <f>SUM(C42:G42)</f>
        <v>0</v>
      </c>
      <c r="I42" s="1">
        <f>IF(C42 + I41 &lt; 0, C42 + I41, 0)</f>
        <v>0</v>
      </c>
      <c r="J42" s="1">
        <f>IF(D42 + J41 &lt; 0, D42 + J41, 0)</f>
        <v>0</v>
      </c>
      <c r="K42" s="1">
        <f>IF(E42 + K41 &lt; 0, E42 + K41, 0)</f>
        <v>0</v>
      </c>
      <c r="L42" s="1">
        <f>IF(F42 + L41 &lt; 0, F42 + L41, 0)</f>
        <v>0</v>
      </c>
      <c r="M42" s="1">
        <f>IF(G42 + M41 &lt; 0, G42 + M41, 0)</f>
        <v>0</v>
      </c>
      <c r="N42" s="1">
        <f>IF(H42 + N41 &lt; 0, H42 + N41, 0)</f>
        <v>0</v>
      </c>
      <c r="O42" s="1">
        <f>IF(N42 &lt; 0, 1 + O41, 0)</f>
        <v>0</v>
      </c>
      <c r="P42" s="1">
        <f>C42-((ABS(SUM(PL!H42:J42)))*0.125)</f>
        <v>0</v>
      </c>
      <c r="Q42" s="1">
        <f>D42-((ABS(SUM(PL!K42:M42)))*0.125)</f>
        <v>0</v>
      </c>
      <c r="R42" s="1">
        <f>E42-((ABS(SUM(PL!N42:P42)))*0.125)</f>
        <v>0</v>
      </c>
      <c r="S42" s="1">
        <f>F42-((ABS(SUM(PL!Q42:S42)))*0.125)</f>
        <v>0</v>
      </c>
      <c r="T42" s="1">
        <f>G42-((ABS(SUM(PL!T42:V42)))*0.125)</f>
        <v>0</v>
      </c>
      <c r="U42" s="1">
        <f>P42 + Q42 + R42 + S42 + T42</f>
        <v>0</v>
      </c>
      <c r="V42" s="1">
        <f>IF(P42 + V41 &lt; 0, P42 + V41, 0)</f>
        <v>0</v>
      </c>
      <c r="W42" s="1">
        <f>IF(Q42 + W41 &lt; 0, Q42 + W41, 0)</f>
        <v>0</v>
      </c>
      <c r="X42" s="1">
        <f>IF(R42 + X41 &lt; 0, R42 + X41, 0)</f>
        <v>0</v>
      </c>
      <c r="Y42" s="1">
        <f>IF(S42 + Y41 &lt; 0, S42 + Y41, 0)</f>
        <v>0</v>
      </c>
      <c r="Z42" s="1">
        <f>IF(T42 + Z41 &lt; 0, T42 + Z41, 0)</f>
        <v>0</v>
      </c>
      <c r="AA42" s="1">
        <f>IF(U42 + AA41 &lt; 0, U42 + AA41, 0)</f>
        <v>0</v>
      </c>
      <c r="AB42" s="1">
        <f>IF(AA42 &lt; 0, 1 + AB41, 0)</f>
        <v>0</v>
      </c>
      <c r="AC42" s="1">
        <f>IF(H42&lt;0,1,0)</f>
        <v>0</v>
      </c>
      <c r="AD42" s="1">
        <f>IF(AC42=1,H42,0)</f>
        <v>0</v>
      </c>
      <c r="AE42" s="1">
        <f>IF(H42&gt;0,1,0)</f>
        <v>0</v>
      </c>
      <c r="AF42" s="1">
        <f>IF(AE42=1,H42,0)</f>
        <v>0</v>
      </c>
      <c r="AG42" s="1">
        <f>IF(AD42&lt;-20000000.0/100,1,0)</f>
        <v>0</v>
      </c>
      <c r="AH42" s="1">
        <f>IF(AF42&gt;20000000.0/100,1,0)</f>
        <v>0</v>
      </c>
      <c r="AI42" s="1">
        <f>IF(U42&lt;0,1,0)</f>
        <v>0</v>
      </c>
      <c r="AJ42" s="1">
        <f>IF(AI42=1,U42,0)</f>
        <v>0</v>
      </c>
      <c r="AK42" s="1">
        <f>IF(U42&gt;0,1,0)</f>
        <v>0</v>
      </c>
      <c r="AL42" s="1">
        <f>IF(AK42=1,U42,0)</f>
        <v>0</v>
      </c>
      <c r="AM42" s="1">
        <f>IF(AJ42&lt;-20000000.0/100,1,0)</f>
        <v>0</v>
      </c>
      <c r="AN42" s="1">
        <f>IF(AL42&gt;20000000.0/100,1,0)</f>
        <v>0</v>
      </c>
    </row>
    <row r="43" spans="1:40" s="1" customFormat="1">
      <c r="A43" s="3">
        <v>45350</v>
      </c>
      <c r="B43" s="2" t="s">
        <v>24</v>
      </c>
      <c r="C43" s="1">
        <f>SUM(PL!H43:J43)</f>
        <v>0</v>
      </c>
      <c r="D43" s="1">
        <f>SUM(PL!K43:M43)</f>
        <v>0</v>
      </c>
      <c r="E43" s="1">
        <f>SUM(PL!N43:P43)</f>
        <v>0</v>
      </c>
      <c r="F43" s="1">
        <f>SUM(PL!Q43:S43)</f>
        <v>0</v>
      </c>
      <c r="G43" s="1">
        <f>SUM(PL!T43:V43)</f>
        <v>0</v>
      </c>
      <c r="H43" s="1">
        <f>SUM(C43:G43)</f>
        <v>0</v>
      </c>
      <c r="I43" s="1">
        <f>IF(C43 + I42 &lt; 0, C43 + I42, 0)</f>
        <v>0</v>
      </c>
      <c r="J43" s="1">
        <f>IF(D43 + J42 &lt; 0, D43 + J42, 0)</f>
        <v>0</v>
      </c>
      <c r="K43" s="1">
        <f>IF(E43 + K42 &lt; 0, E43 + K42, 0)</f>
        <v>0</v>
      </c>
      <c r="L43" s="1">
        <f>IF(F43 + L42 &lt; 0, F43 + L42, 0)</f>
        <v>0</v>
      </c>
      <c r="M43" s="1">
        <f>IF(G43 + M42 &lt; 0, G43 + M42, 0)</f>
        <v>0</v>
      </c>
      <c r="N43" s="1">
        <f>IF(H43 + N42 &lt; 0, H43 + N42, 0)</f>
        <v>0</v>
      </c>
      <c r="O43" s="1">
        <f>IF(N43 &lt; 0, 1 + O42, 0)</f>
        <v>0</v>
      </c>
      <c r="P43" s="1">
        <f>C43-((ABS(SUM(PL!H43:J43)))*0.125)</f>
        <v>0</v>
      </c>
      <c r="Q43" s="1">
        <f>D43-((ABS(SUM(PL!K43:M43)))*0.125)</f>
        <v>0</v>
      </c>
      <c r="R43" s="1">
        <f>E43-((ABS(SUM(PL!N43:P43)))*0.125)</f>
        <v>0</v>
      </c>
      <c r="S43" s="1">
        <f>F43-((ABS(SUM(PL!Q43:S43)))*0.125)</f>
        <v>0</v>
      </c>
      <c r="T43" s="1">
        <f>G43-((ABS(SUM(PL!T43:V43)))*0.125)</f>
        <v>0</v>
      </c>
      <c r="U43" s="1">
        <f>P43 + Q43 + R43 + S43 + T43</f>
        <v>0</v>
      </c>
      <c r="V43" s="1">
        <f>IF(P43 + V42 &lt; 0, P43 + V42, 0)</f>
        <v>0</v>
      </c>
      <c r="W43" s="1">
        <f>IF(Q43 + W42 &lt; 0, Q43 + W42, 0)</f>
        <v>0</v>
      </c>
      <c r="X43" s="1">
        <f>IF(R43 + X42 &lt; 0, R43 + X42, 0)</f>
        <v>0</v>
      </c>
      <c r="Y43" s="1">
        <f>IF(S43 + Y42 &lt; 0, S43 + Y42, 0)</f>
        <v>0</v>
      </c>
      <c r="Z43" s="1">
        <f>IF(T43 + Z42 &lt; 0, T43 + Z42, 0)</f>
        <v>0</v>
      </c>
      <c r="AA43" s="1">
        <f>IF(U43 + AA42 &lt; 0, U43 + AA42, 0)</f>
        <v>0</v>
      </c>
      <c r="AB43" s="1">
        <f>IF(AA43 &lt; 0, 1 + AB42, 0)</f>
        <v>0</v>
      </c>
      <c r="AC43" s="1">
        <f>IF(H43&lt;0,1,0)</f>
        <v>0</v>
      </c>
      <c r="AD43" s="1">
        <f>IF(AC43=1,H43,0)</f>
        <v>0</v>
      </c>
      <c r="AE43" s="1">
        <f>IF(H43&gt;0,1,0)</f>
        <v>0</v>
      </c>
      <c r="AF43" s="1">
        <f>IF(AE43=1,H43,0)</f>
        <v>0</v>
      </c>
      <c r="AG43" s="1">
        <f>IF(AD43&lt;-20000000.0/100,1,0)</f>
        <v>0</v>
      </c>
      <c r="AH43" s="1">
        <f>IF(AF43&gt;20000000.0/100,1,0)</f>
        <v>0</v>
      </c>
      <c r="AI43" s="1">
        <f>IF(U43&lt;0,1,0)</f>
        <v>0</v>
      </c>
      <c r="AJ43" s="1">
        <f>IF(AI43=1,U43,0)</f>
        <v>0</v>
      </c>
      <c r="AK43" s="1">
        <f>IF(U43&gt;0,1,0)</f>
        <v>0</v>
      </c>
      <c r="AL43" s="1">
        <f>IF(AK43=1,U43,0)</f>
        <v>0</v>
      </c>
      <c r="AM43" s="1">
        <f>IF(AJ43&lt;-20000000.0/100,1,0)</f>
        <v>0</v>
      </c>
      <c r="AN43" s="1">
        <f>IF(AL43&gt;20000000.0/100,1,0)</f>
        <v>0</v>
      </c>
    </row>
    <row r="44" spans="1:40" s="1" customFormat="1">
      <c r="A44" s="3">
        <v>45351</v>
      </c>
      <c r="B44" s="2" t="s">
        <v>25</v>
      </c>
      <c r="C44" s="1">
        <f>SUM(PL!H44:J44)</f>
        <v>0</v>
      </c>
      <c r="D44" s="1">
        <f>SUM(PL!K44:M44)</f>
        <v>0</v>
      </c>
      <c r="E44" s="1">
        <f>SUM(PL!N44:P44)</f>
        <v>0</v>
      </c>
      <c r="F44" s="1">
        <f>SUM(PL!Q44:S44)</f>
        <v>0</v>
      </c>
      <c r="G44" s="1">
        <f>SUM(PL!T44:V44)</f>
        <v>0</v>
      </c>
      <c r="H44" s="1">
        <f>SUM(C44:G44)</f>
        <v>0</v>
      </c>
      <c r="I44" s="1">
        <f>IF(C44 + I43 &lt; 0, C44 + I43, 0)</f>
        <v>0</v>
      </c>
      <c r="J44" s="1">
        <f>IF(D44 + J43 &lt; 0, D44 + J43, 0)</f>
        <v>0</v>
      </c>
      <c r="K44" s="1">
        <f>IF(E44 + K43 &lt; 0, E44 + K43, 0)</f>
        <v>0</v>
      </c>
      <c r="L44" s="1">
        <f>IF(F44 + L43 &lt; 0, F44 + L43, 0)</f>
        <v>0</v>
      </c>
      <c r="M44" s="1">
        <f>IF(G44 + M43 &lt; 0, G44 + M43, 0)</f>
        <v>0</v>
      </c>
      <c r="N44" s="1">
        <f>IF(H44 + N43 &lt; 0, H44 + N43, 0)</f>
        <v>0</v>
      </c>
      <c r="O44" s="1">
        <f>IF(N44 &lt; 0, 1 + O43, 0)</f>
        <v>0</v>
      </c>
      <c r="P44" s="1">
        <f>C44-((ABS(SUM(PL!H44:J44)))*0.125)</f>
        <v>0</v>
      </c>
      <c r="Q44" s="1">
        <f>D44-((ABS(SUM(PL!K44:M44)))*0.125)</f>
        <v>0</v>
      </c>
      <c r="R44" s="1">
        <f>E44-((ABS(SUM(PL!N44:P44)))*0.125)</f>
        <v>0</v>
      </c>
      <c r="S44" s="1">
        <f>F44-((ABS(SUM(PL!Q44:S44)))*0.125)</f>
        <v>0</v>
      </c>
      <c r="T44" s="1">
        <f>G44-((ABS(SUM(PL!T44:V44)))*0.125)</f>
        <v>0</v>
      </c>
      <c r="U44" s="1">
        <f>P44 + Q44 + R44 + S44 + T44</f>
        <v>0</v>
      </c>
      <c r="V44" s="1">
        <f>IF(P44 + V43 &lt; 0, P44 + V43, 0)</f>
        <v>0</v>
      </c>
      <c r="W44" s="1">
        <f>IF(Q44 + W43 &lt; 0, Q44 + W43, 0)</f>
        <v>0</v>
      </c>
      <c r="X44" s="1">
        <f>IF(R44 + X43 &lt; 0, R44 + X43, 0)</f>
        <v>0</v>
      </c>
      <c r="Y44" s="1">
        <f>IF(S44 + Y43 &lt; 0, S44 + Y43, 0)</f>
        <v>0</v>
      </c>
      <c r="Z44" s="1">
        <f>IF(T44 + Z43 &lt; 0, T44 + Z43, 0)</f>
        <v>0</v>
      </c>
      <c r="AA44" s="1">
        <f>IF(U44 + AA43 &lt; 0, U44 + AA43, 0)</f>
        <v>0</v>
      </c>
      <c r="AB44" s="1">
        <f>IF(AA44 &lt; 0, 1 + AB43, 0)</f>
        <v>0</v>
      </c>
      <c r="AC44" s="1">
        <f>IF(H44&lt;0,1,0)</f>
        <v>0</v>
      </c>
      <c r="AD44" s="1">
        <f>IF(AC44=1,H44,0)</f>
        <v>0</v>
      </c>
      <c r="AE44" s="1">
        <f>IF(H44&gt;0,1,0)</f>
        <v>0</v>
      </c>
      <c r="AF44" s="1">
        <f>IF(AE44=1,H44,0)</f>
        <v>0</v>
      </c>
      <c r="AG44" s="1">
        <f>IF(AD44&lt;-20000000.0/100,1,0)</f>
        <v>0</v>
      </c>
      <c r="AH44" s="1">
        <f>IF(AF44&gt;20000000.0/100,1,0)</f>
        <v>0</v>
      </c>
      <c r="AI44" s="1">
        <f>IF(U44&lt;0,1,0)</f>
        <v>0</v>
      </c>
      <c r="AJ44" s="1">
        <f>IF(AI44=1,U44,0)</f>
        <v>0</v>
      </c>
      <c r="AK44" s="1">
        <f>IF(U44&gt;0,1,0)</f>
        <v>0</v>
      </c>
      <c r="AL44" s="1">
        <f>IF(AK44=1,U44,0)</f>
        <v>0</v>
      </c>
      <c r="AM44" s="1">
        <f>IF(AJ44&lt;-20000000.0/100,1,0)</f>
        <v>0</v>
      </c>
      <c r="AN44" s="1">
        <f>IF(AL44&gt;20000000.0/100,1,0)</f>
        <v>0</v>
      </c>
    </row>
    <row r="45" spans="1:40" s="1" customFormat="1">
      <c r="A45" s="3">
        <v>45352</v>
      </c>
      <c r="B45" s="2" t="s">
        <v>26</v>
      </c>
      <c r="C45" s="1">
        <f>SUM(PL!H45:J45)</f>
        <v>0</v>
      </c>
      <c r="D45" s="1">
        <f>SUM(PL!K45:M45)</f>
        <v>0</v>
      </c>
      <c r="E45" s="1">
        <f>SUM(PL!N45:P45)</f>
        <v>0</v>
      </c>
      <c r="F45" s="1">
        <f>SUM(PL!Q45:S45)</f>
        <v>0</v>
      </c>
      <c r="G45" s="1">
        <f>SUM(PL!T45:V45)</f>
        <v>0</v>
      </c>
      <c r="H45" s="1">
        <f>SUM(C45:G45)</f>
        <v>0</v>
      </c>
      <c r="I45" s="1">
        <f>IF(C45 + I44 &lt; 0, C45 + I44, 0)</f>
        <v>0</v>
      </c>
      <c r="J45" s="1">
        <f>IF(D45 + J44 &lt; 0, D45 + J44, 0)</f>
        <v>0</v>
      </c>
      <c r="K45" s="1">
        <f>IF(E45 + K44 &lt; 0, E45 + K44, 0)</f>
        <v>0</v>
      </c>
      <c r="L45" s="1">
        <f>IF(F45 + L44 &lt; 0, F45 + L44, 0)</f>
        <v>0</v>
      </c>
      <c r="M45" s="1">
        <f>IF(G45 + M44 &lt; 0, G45 + M44, 0)</f>
        <v>0</v>
      </c>
      <c r="N45" s="1">
        <f>IF(H45 + N44 &lt; 0, H45 + N44, 0)</f>
        <v>0</v>
      </c>
      <c r="O45" s="1">
        <f>IF(N45 &lt; 0, 1 + O44, 0)</f>
        <v>0</v>
      </c>
      <c r="P45" s="1">
        <f>C45-((ABS(SUM(PL!H45:J45)))*0.125)</f>
        <v>0</v>
      </c>
      <c r="Q45" s="1">
        <f>D45-((ABS(SUM(PL!K45:M45)))*0.125)</f>
        <v>0</v>
      </c>
      <c r="R45" s="1">
        <f>E45-((ABS(SUM(PL!N45:P45)))*0.125)</f>
        <v>0</v>
      </c>
      <c r="S45" s="1">
        <f>F45-((ABS(SUM(PL!Q45:S45)))*0.125)</f>
        <v>0</v>
      </c>
      <c r="T45" s="1">
        <f>G45-((ABS(SUM(PL!T45:V45)))*0.125)</f>
        <v>0</v>
      </c>
      <c r="U45" s="1">
        <f>P45 + Q45 + R45 + S45 + T45</f>
        <v>0</v>
      </c>
      <c r="V45" s="1">
        <f>IF(P45 + V44 &lt; 0, P45 + V44, 0)</f>
        <v>0</v>
      </c>
      <c r="W45" s="1">
        <f>IF(Q45 + W44 &lt; 0, Q45 + W44, 0)</f>
        <v>0</v>
      </c>
      <c r="X45" s="1">
        <f>IF(R45 + X44 &lt; 0, R45 + X44, 0)</f>
        <v>0</v>
      </c>
      <c r="Y45" s="1">
        <f>IF(S45 + Y44 &lt; 0, S45 + Y44, 0)</f>
        <v>0</v>
      </c>
      <c r="Z45" s="1">
        <f>IF(T45 + Z44 &lt; 0, T45 + Z44, 0)</f>
        <v>0</v>
      </c>
      <c r="AA45" s="1">
        <f>IF(U45 + AA44 &lt; 0, U45 + AA44, 0)</f>
        <v>0</v>
      </c>
      <c r="AB45" s="1">
        <f>IF(AA45 &lt; 0, 1 + AB44, 0)</f>
        <v>0</v>
      </c>
      <c r="AC45" s="1">
        <f>IF(H45&lt;0,1,0)</f>
        <v>0</v>
      </c>
      <c r="AD45" s="1">
        <f>IF(AC45=1,H45,0)</f>
        <v>0</v>
      </c>
      <c r="AE45" s="1">
        <f>IF(H45&gt;0,1,0)</f>
        <v>0</v>
      </c>
      <c r="AF45" s="1">
        <f>IF(AE45=1,H45,0)</f>
        <v>0</v>
      </c>
      <c r="AG45" s="1">
        <f>IF(AD45&lt;-20000000.0/100,1,0)</f>
        <v>0</v>
      </c>
      <c r="AH45" s="1">
        <f>IF(AF45&gt;20000000.0/100,1,0)</f>
        <v>0</v>
      </c>
      <c r="AI45" s="1">
        <f>IF(U45&lt;0,1,0)</f>
        <v>0</v>
      </c>
      <c r="AJ45" s="1">
        <f>IF(AI45=1,U45,0)</f>
        <v>0</v>
      </c>
      <c r="AK45" s="1">
        <f>IF(U45&gt;0,1,0)</f>
        <v>0</v>
      </c>
      <c r="AL45" s="1">
        <f>IF(AK45=1,U45,0)</f>
        <v>0</v>
      </c>
      <c r="AM45" s="1">
        <f>IF(AJ45&lt;-20000000.0/100,1,0)</f>
        <v>0</v>
      </c>
      <c r="AN45" s="1">
        <f>IF(AL45&gt;20000000.0/100,1,0)</f>
        <v>0</v>
      </c>
    </row>
    <row r="46" spans="1:40" s="1" customFormat="1">
      <c r="A46" s="3">
        <v>45355</v>
      </c>
      <c r="B46" s="2" t="s">
        <v>22</v>
      </c>
      <c r="C46" s="1">
        <f>SUM(PL!H46:J46)</f>
        <v>0</v>
      </c>
      <c r="D46" s="1">
        <f>SUM(PL!K46:M46)</f>
        <v>0</v>
      </c>
      <c r="E46" s="1">
        <f>SUM(PL!N46:P46)</f>
        <v>0</v>
      </c>
      <c r="F46" s="1">
        <f>SUM(PL!Q46:S46)</f>
        <v>0</v>
      </c>
      <c r="G46" s="1">
        <f>SUM(PL!T46:V46)</f>
        <v>0</v>
      </c>
      <c r="H46" s="1">
        <f>SUM(C46:G46)</f>
        <v>0</v>
      </c>
      <c r="I46" s="1">
        <f>IF(C46 + I45 &lt; 0, C46 + I45, 0)</f>
        <v>0</v>
      </c>
      <c r="J46" s="1">
        <f>IF(D46 + J45 &lt; 0, D46 + J45, 0)</f>
        <v>0</v>
      </c>
      <c r="K46" s="1">
        <f>IF(E46 + K45 &lt; 0, E46 + K45, 0)</f>
        <v>0</v>
      </c>
      <c r="L46" s="1">
        <f>IF(F46 + L45 &lt; 0, F46 + L45, 0)</f>
        <v>0</v>
      </c>
      <c r="M46" s="1">
        <f>IF(G46 + M45 &lt; 0, G46 + M45, 0)</f>
        <v>0</v>
      </c>
      <c r="N46" s="1">
        <f>IF(H46 + N45 &lt; 0, H46 + N45, 0)</f>
        <v>0</v>
      </c>
      <c r="O46" s="1">
        <f>IF(N46 &lt; 0, 1 + O45, 0)</f>
        <v>0</v>
      </c>
      <c r="P46" s="1">
        <f>C46-((ABS(SUM(PL!H46:J46)))*0.125)</f>
        <v>0</v>
      </c>
      <c r="Q46" s="1">
        <f>D46-((ABS(SUM(PL!K46:M46)))*0.125)</f>
        <v>0</v>
      </c>
      <c r="R46" s="1">
        <f>E46-((ABS(SUM(PL!N46:P46)))*0.125)</f>
        <v>0</v>
      </c>
      <c r="S46" s="1">
        <f>F46-((ABS(SUM(PL!Q46:S46)))*0.125)</f>
        <v>0</v>
      </c>
      <c r="T46" s="1">
        <f>G46-((ABS(SUM(PL!T46:V46)))*0.125)</f>
        <v>0</v>
      </c>
      <c r="U46" s="1">
        <f>P46 + Q46 + R46 + S46 + T46</f>
        <v>0</v>
      </c>
      <c r="V46" s="1">
        <f>IF(P46 + V45 &lt; 0, P46 + V45, 0)</f>
        <v>0</v>
      </c>
      <c r="W46" s="1">
        <f>IF(Q46 + W45 &lt; 0, Q46 + W45, 0)</f>
        <v>0</v>
      </c>
      <c r="X46" s="1">
        <f>IF(R46 + X45 &lt; 0, R46 + X45, 0)</f>
        <v>0</v>
      </c>
      <c r="Y46" s="1">
        <f>IF(S46 + Y45 &lt; 0, S46 + Y45, 0)</f>
        <v>0</v>
      </c>
      <c r="Z46" s="1">
        <f>IF(T46 + Z45 &lt; 0, T46 + Z45, 0)</f>
        <v>0</v>
      </c>
      <c r="AA46" s="1">
        <f>IF(U46 + AA45 &lt; 0, U46 + AA45, 0)</f>
        <v>0</v>
      </c>
      <c r="AB46" s="1">
        <f>IF(AA46 &lt; 0, 1 + AB45, 0)</f>
        <v>0</v>
      </c>
      <c r="AC46" s="1">
        <f>IF(H46&lt;0,1,0)</f>
        <v>0</v>
      </c>
      <c r="AD46" s="1">
        <f>IF(AC46=1,H46,0)</f>
        <v>0</v>
      </c>
      <c r="AE46" s="1">
        <f>IF(H46&gt;0,1,0)</f>
        <v>0</v>
      </c>
      <c r="AF46" s="1">
        <f>IF(AE46=1,H46,0)</f>
        <v>0</v>
      </c>
      <c r="AG46" s="1">
        <f>IF(AD46&lt;-20000000.0/100,1,0)</f>
        <v>0</v>
      </c>
      <c r="AH46" s="1">
        <f>IF(AF46&gt;20000000.0/100,1,0)</f>
        <v>0</v>
      </c>
      <c r="AI46" s="1">
        <f>IF(U46&lt;0,1,0)</f>
        <v>0</v>
      </c>
      <c r="AJ46" s="1">
        <f>IF(AI46=1,U46,0)</f>
        <v>0</v>
      </c>
      <c r="AK46" s="1">
        <f>IF(U46&gt;0,1,0)</f>
        <v>0</v>
      </c>
      <c r="AL46" s="1">
        <f>IF(AK46=1,U46,0)</f>
        <v>0</v>
      </c>
      <c r="AM46" s="1">
        <f>IF(AJ46&lt;-20000000.0/100,1,0)</f>
        <v>0</v>
      </c>
      <c r="AN46" s="1">
        <f>IF(AL46&gt;20000000.0/100,1,0)</f>
        <v>0</v>
      </c>
    </row>
    <row r="47" spans="1:40" s="1" customFormat="1">
      <c r="A47" s="3">
        <v>45356</v>
      </c>
      <c r="B47" s="2" t="s">
        <v>23</v>
      </c>
      <c r="C47" s="1">
        <f>SUM(PL!H47:J47)</f>
        <v>0</v>
      </c>
      <c r="D47" s="1">
        <f>SUM(PL!K47:M47)</f>
        <v>0</v>
      </c>
      <c r="E47" s="1">
        <f>SUM(PL!N47:P47)</f>
        <v>0</v>
      </c>
      <c r="F47" s="1">
        <f>SUM(PL!Q47:S47)</f>
        <v>0</v>
      </c>
      <c r="G47" s="1">
        <f>SUM(PL!T47:V47)</f>
        <v>0</v>
      </c>
      <c r="H47" s="1">
        <f>SUM(C47:G47)</f>
        <v>0</v>
      </c>
      <c r="I47" s="1">
        <f>IF(C47 + I46 &lt; 0, C47 + I46, 0)</f>
        <v>0</v>
      </c>
      <c r="J47" s="1">
        <f>IF(D47 + J46 &lt; 0, D47 + J46, 0)</f>
        <v>0</v>
      </c>
      <c r="K47" s="1">
        <f>IF(E47 + K46 &lt; 0, E47 + K46, 0)</f>
        <v>0</v>
      </c>
      <c r="L47" s="1">
        <f>IF(F47 + L46 &lt; 0, F47 + L46, 0)</f>
        <v>0</v>
      </c>
      <c r="M47" s="1">
        <f>IF(G47 + M46 &lt; 0, G47 + M46, 0)</f>
        <v>0</v>
      </c>
      <c r="N47" s="1">
        <f>IF(H47 + N46 &lt; 0, H47 + N46, 0)</f>
        <v>0</v>
      </c>
      <c r="O47" s="1">
        <f>IF(N47 &lt; 0, 1 + O46, 0)</f>
        <v>0</v>
      </c>
      <c r="P47" s="1">
        <f>C47-((ABS(SUM(PL!H47:J47)))*0.125)</f>
        <v>0</v>
      </c>
      <c r="Q47" s="1">
        <f>D47-((ABS(SUM(PL!K47:M47)))*0.125)</f>
        <v>0</v>
      </c>
      <c r="R47" s="1">
        <f>E47-((ABS(SUM(PL!N47:P47)))*0.125)</f>
        <v>0</v>
      </c>
      <c r="S47" s="1">
        <f>F47-((ABS(SUM(PL!Q47:S47)))*0.125)</f>
        <v>0</v>
      </c>
      <c r="T47" s="1">
        <f>G47-((ABS(SUM(PL!T47:V47)))*0.125)</f>
        <v>0</v>
      </c>
      <c r="U47" s="1">
        <f>P47 + Q47 + R47 + S47 + T47</f>
        <v>0</v>
      </c>
      <c r="V47" s="1">
        <f>IF(P47 + V46 &lt; 0, P47 + V46, 0)</f>
        <v>0</v>
      </c>
      <c r="W47" s="1">
        <f>IF(Q47 + W46 &lt; 0, Q47 + W46, 0)</f>
        <v>0</v>
      </c>
      <c r="X47" s="1">
        <f>IF(R47 + X46 &lt; 0, R47 + X46, 0)</f>
        <v>0</v>
      </c>
      <c r="Y47" s="1">
        <f>IF(S47 + Y46 &lt; 0, S47 + Y46, 0)</f>
        <v>0</v>
      </c>
      <c r="Z47" s="1">
        <f>IF(T47 + Z46 &lt; 0, T47 + Z46, 0)</f>
        <v>0</v>
      </c>
      <c r="AA47" s="1">
        <f>IF(U47 + AA46 &lt; 0, U47 + AA46, 0)</f>
        <v>0</v>
      </c>
      <c r="AB47" s="1">
        <f>IF(AA47 &lt; 0, 1 + AB46, 0)</f>
        <v>0</v>
      </c>
      <c r="AC47" s="1">
        <f>IF(H47&lt;0,1,0)</f>
        <v>0</v>
      </c>
      <c r="AD47" s="1">
        <f>IF(AC47=1,H47,0)</f>
        <v>0</v>
      </c>
      <c r="AE47" s="1">
        <f>IF(H47&gt;0,1,0)</f>
        <v>0</v>
      </c>
      <c r="AF47" s="1">
        <f>IF(AE47=1,H47,0)</f>
        <v>0</v>
      </c>
      <c r="AG47" s="1">
        <f>IF(AD47&lt;-20000000.0/100,1,0)</f>
        <v>0</v>
      </c>
      <c r="AH47" s="1">
        <f>IF(AF47&gt;20000000.0/100,1,0)</f>
        <v>0</v>
      </c>
      <c r="AI47" s="1">
        <f>IF(U47&lt;0,1,0)</f>
        <v>0</v>
      </c>
      <c r="AJ47" s="1">
        <f>IF(AI47=1,U47,0)</f>
        <v>0</v>
      </c>
      <c r="AK47" s="1">
        <f>IF(U47&gt;0,1,0)</f>
        <v>0</v>
      </c>
      <c r="AL47" s="1">
        <f>IF(AK47=1,U47,0)</f>
        <v>0</v>
      </c>
      <c r="AM47" s="1">
        <f>IF(AJ47&lt;-20000000.0/100,1,0)</f>
        <v>0</v>
      </c>
      <c r="AN47" s="1">
        <f>IF(AL47&gt;20000000.0/100,1,0)</f>
        <v>0</v>
      </c>
    </row>
    <row r="48" spans="1:40" s="1" customFormat="1">
      <c r="A48" s="3">
        <v>45357</v>
      </c>
      <c r="B48" s="2" t="s">
        <v>24</v>
      </c>
      <c r="C48" s="1">
        <f>SUM(PL!H48:J48)</f>
        <v>0</v>
      </c>
      <c r="D48" s="1">
        <f>SUM(PL!K48:M48)</f>
        <v>0</v>
      </c>
      <c r="E48" s="1">
        <f>SUM(PL!N48:P48)</f>
        <v>0</v>
      </c>
      <c r="F48" s="1">
        <f>SUM(PL!Q48:S48)</f>
        <v>0</v>
      </c>
      <c r="G48" s="1">
        <f>SUM(PL!T48:V48)</f>
        <v>0</v>
      </c>
      <c r="H48" s="1">
        <f>SUM(C48:G48)</f>
        <v>0</v>
      </c>
      <c r="I48" s="1">
        <f>IF(C48 + I47 &lt; 0, C48 + I47, 0)</f>
        <v>0</v>
      </c>
      <c r="J48" s="1">
        <f>IF(D48 + J47 &lt; 0, D48 + J47, 0)</f>
        <v>0</v>
      </c>
      <c r="K48" s="1">
        <f>IF(E48 + K47 &lt; 0, E48 + K47, 0)</f>
        <v>0</v>
      </c>
      <c r="L48" s="1">
        <f>IF(F48 + L47 &lt; 0, F48 + L47, 0)</f>
        <v>0</v>
      </c>
      <c r="M48" s="1">
        <f>IF(G48 + M47 &lt; 0, G48 + M47, 0)</f>
        <v>0</v>
      </c>
      <c r="N48" s="1">
        <f>IF(H48 + N47 &lt; 0, H48 + N47, 0)</f>
        <v>0</v>
      </c>
      <c r="O48" s="1">
        <f>IF(N48 &lt; 0, 1 + O47, 0)</f>
        <v>0</v>
      </c>
      <c r="P48" s="1">
        <f>C48-((ABS(SUM(PL!H48:J48)))*0.125)</f>
        <v>0</v>
      </c>
      <c r="Q48" s="1">
        <f>D48-((ABS(SUM(PL!K48:M48)))*0.125)</f>
        <v>0</v>
      </c>
      <c r="R48" s="1">
        <f>E48-((ABS(SUM(PL!N48:P48)))*0.125)</f>
        <v>0</v>
      </c>
      <c r="S48" s="1">
        <f>F48-((ABS(SUM(PL!Q48:S48)))*0.125)</f>
        <v>0</v>
      </c>
      <c r="T48" s="1">
        <f>G48-((ABS(SUM(PL!T48:V48)))*0.125)</f>
        <v>0</v>
      </c>
      <c r="U48" s="1">
        <f>P48 + Q48 + R48 + S48 + T48</f>
        <v>0</v>
      </c>
      <c r="V48" s="1">
        <f>IF(P48 + V47 &lt; 0, P48 + V47, 0)</f>
        <v>0</v>
      </c>
      <c r="W48" s="1">
        <f>IF(Q48 + W47 &lt; 0, Q48 + W47, 0)</f>
        <v>0</v>
      </c>
      <c r="X48" s="1">
        <f>IF(R48 + X47 &lt; 0, R48 + X47, 0)</f>
        <v>0</v>
      </c>
      <c r="Y48" s="1">
        <f>IF(S48 + Y47 &lt; 0, S48 + Y47, 0)</f>
        <v>0</v>
      </c>
      <c r="Z48" s="1">
        <f>IF(T48 + Z47 &lt; 0, T48 + Z47, 0)</f>
        <v>0</v>
      </c>
      <c r="AA48" s="1">
        <f>IF(U48 + AA47 &lt; 0, U48 + AA47, 0)</f>
        <v>0</v>
      </c>
      <c r="AB48" s="1">
        <f>IF(AA48 &lt; 0, 1 + AB47, 0)</f>
        <v>0</v>
      </c>
      <c r="AC48" s="1">
        <f>IF(H48&lt;0,1,0)</f>
        <v>0</v>
      </c>
      <c r="AD48" s="1">
        <f>IF(AC48=1,H48,0)</f>
        <v>0</v>
      </c>
      <c r="AE48" s="1">
        <f>IF(H48&gt;0,1,0)</f>
        <v>0</v>
      </c>
      <c r="AF48" s="1">
        <f>IF(AE48=1,H48,0)</f>
        <v>0</v>
      </c>
      <c r="AG48" s="1">
        <f>IF(AD48&lt;-20000000.0/100,1,0)</f>
        <v>0</v>
      </c>
      <c r="AH48" s="1">
        <f>IF(AF48&gt;20000000.0/100,1,0)</f>
        <v>0</v>
      </c>
      <c r="AI48" s="1">
        <f>IF(U48&lt;0,1,0)</f>
        <v>0</v>
      </c>
      <c r="AJ48" s="1">
        <f>IF(AI48=1,U48,0)</f>
        <v>0</v>
      </c>
      <c r="AK48" s="1">
        <f>IF(U48&gt;0,1,0)</f>
        <v>0</v>
      </c>
      <c r="AL48" s="1">
        <f>IF(AK48=1,U48,0)</f>
        <v>0</v>
      </c>
      <c r="AM48" s="1">
        <f>IF(AJ48&lt;-20000000.0/100,1,0)</f>
        <v>0</v>
      </c>
      <c r="AN48" s="1">
        <f>IF(AL48&gt;20000000.0/100,1,0)</f>
        <v>0</v>
      </c>
    </row>
    <row r="49" spans="1:40" s="1" customFormat="1">
      <c r="A49" s="3">
        <v>45358</v>
      </c>
      <c r="B49" s="2" t="s">
        <v>25</v>
      </c>
      <c r="C49" s="1">
        <f>SUM(PL!H49:J49)</f>
        <v>0</v>
      </c>
      <c r="D49" s="1">
        <f>SUM(PL!K49:M49)</f>
        <v>0</v>
      </c>
      <c r="E49" s="1">
        <f>SUM(PL!N49:P49)</f>
        <v>0</v>
      </c>
      <c r="F49" s="1">
        <f>SUM(PL!Q49:S49)</f>
        <v>0</v>
      </c>
      <c r="G49" s="1">
        <f>SUM(PL!T49:V49)</f>
        <v>0</v>
      </c>
      <c r="H49" s="1">
        <f>SUM(C49:G49)</f>
        <v>0</v>
      </c>
      <c r="I49" s="1">
        <f>IF(C49 + I48 &lt; 0, C49 + I48, 0)</f>
        <v>0</v>
      </c>
      <c r="J49" s="1">
        <f>IF(D49 + J48 &lt; 0, D49 + J48, 0)</f>
        <v>0</v>
      </c>
      <c r="K49" s="1">
        <f>IF(E49 + K48 &lt; 0, E49 + K48, 0)</f>
        <v>0</v>
      </c>
      <c r="L49" s="1">
        <f>IF(F49 + L48 &lt; 0, F49 + L48, 0)</f>
        <v>0</v>
      </c>
      <c r="M49" s="1">
        <f>IF(G49 + M48 &lt; 0, G49 + M48, 0)</f>
        <v>0</v>
      </c>
      <c r="N49" s="1">
        <f>IF(H49 + N48 &lt; 0, H49 + N48, 0)</f>
        <v>0</v>
      </c>
      <c r="O49" s="1">
        <f>IF(N49 &lt; 0, 1 + O48, 0)</f>
        <v>0</v>
      </c>
      <c r="P49" s="1">
        <f>C49-((ABS(SUM(PL!H49:J49)))*0.125)</f>
        <v>0</v>
      </c>
      <c r="Q49" s="1">
        <f>D49-((ABS(SUM(PL!K49:M49)))*0.125)</f>
        <v>0</v>
      </c>
      <c r="R49" s="1">
        <f>E49-((ABS(SUM(PL!N49:P49)))*0.125)</f>
        <v>0</v>
      </c>
      <c r="S49" s="1">
        <f>F49-((ABS(SUM(PL!Q49:S49)))*0.125)</f>
        <v>0</v>
      </c>
      <c r="T49" s="1">
        <f>G49-((ABS(SUM(PL!T49:V49)))*0.125)</f>
        <v>0</v>
      </c>
      <c r="U49" s="1">
        <f>P49 + Q49 + R49 + S49 + T49</f>
        <v>0</v>
      </c>
      <c r="V49" s="1">
        <f>IF(P49 + V48 &lt; 0, P49 + V48, 0)</f>
        <v>0</v>
      </c>
      <c r="W49" s="1">
        <f>IF(Q49 + W48 &lt; 0, Q49 + W48, 0)</f>
        <v>0</v>
      </c>
      <c r="X49" s="1">
        <f>IF(R49 + X48 &lt; 0, R49 + X48, 0)</f>
        <v>0</v>
      </c>
      <c r="Y49" s="1">
        <f>IF(S49 + Y48 &lt; 0, S49 + Y48, 0)</f>
        <v>0</v>
      </c>
      <c r="Z49" s="1">
        <f>IF(T49 + Z48 &lt; 0, T49 + Z48, 0)</f>
        <v>0</v>
      </c>
      <c r="AA49" s="1">
        <f>IF(U49 + AA48 &lt; 0, U49 + AA48, 0)</f>
        <v>0</v>
      </c>
      <c r="AB49" s="1">
        <f>IF(AA49 &lt; 0, 1 + AB48, 0)</f>
        <v>0</v>
      </c>
      <c r="AC49" s="1">
        <f>IF(H49&lt;0,1,0)</f>
        <v>0</v>
      </c>
      <c r="AD49" s="1">
        <f>IF(AC49=1,H49,0)</f>
        <v>0</v>
      </c>
      <c r="AE49" s="1">
        <f>IF(H49&gt;0,1,0)</f>
        <v>0</v>
      </c>
      <c r="AF49" s="1">
        <f>IF(AE49=1,H49,0)</f>
        <v>0</v>
      </c>
      <c r="AG49" s="1">
        <f>IF(AD49&lt;-20000000.0/100,1,0)</f>
        <v>0</v>
      </c>
      <c r="AH49" s="1">
        <f>IF(AF49&gt;20000000.0/100,1,0)</f>
        <v>0</v>
      </c>
      <c r="AI49" s="1">
        <f>IF(U49&lt;0,1,0)</f>
        <v>0</v>
      </c>
      <c r="AJ49" s="1">
        <f>IF(AI49=1,U49,0)</f>
        <v>0</v>
      </c>
      <c r="AK49" s="1">
        <f>IF(U49&gt;0,1,0)</f>
        <v>0</v>
      </c>
      <c r="AL49" s="1">
        <f>IF(AK49=1,U49,0)</f>
        <v>0</v>
      </c>
      <c r="AM49" s="1">
        <f>IF(AJ49&lt;-20000000.0/100,1,0)</f>
        <v>0</v>
      </c>
      <c r="AN49" s="1">
        <f>IF(AL49&gt;20000000.0/100,1,0)</f>
        <v>0</v>
      </c>
    </row>
    <row r="50" spans="1:40" s="1" customFormat="1">
      <c r="A50" s="3">
        <v>45362</v>
      </c>
      <c r="B50" s="2" t="s">
        <v>22</v>
      </c>
      <c r="C50" s="1">
        <f>SUM(PL!H50:J50)</f>
        <v>0</v>
      </c>
      <c r="D50" s="1">
        <f>SUM(PL!K50:M50)</f>
        <v>0</v>
      </c>
      <c r="E50" s="1">
        <f>SUM(PL!N50:P50)</f>
        <v>0</v>
      </c>
      <c r="F50" s="1">
        <f>SUM(PL!Q50:S50)</f>
        <v>0</v>
      </c>
      <c r="G50" s="1">
        <f>SUM(PL!T50:V50)</f>
        <v>0</v>
      </c>
      <c r="H50" s="1">
        <f>SUM(C50:G50)</f>
        <v>0</v>
      </c>
      <c r="I50" s="1">
        <f>IF(C50 + I49 &lt; 0, C50 + I49, 0)</f>
        <v>0</v>
      </c>
      <c r="J50" s="1">
        <f>IF(D50 + J49 &lt; 0, D50 + J49, 0)</f>
        <v>0</v>
      </c>
      <c r="K50" s="1">
        <f>IF(E50 + K49 &lt; 0, E50 + K49, 0)</f>
        <v>0</v>
      </c>
      <c r="L50" s="1">
        <f>IF(F50 + L49 &lt; 0, F50 + L49, 0)</f>
        <v>0</v>
      </c>
      <c r="M50" s="1">
        <f>IF(G50 + M49 &lt; 0, G50 + M49, 0)</f>
        <v>0</v>
      </c>
      <c r="N50" s="1">
        <f>IF(H50 + N49 &lt; 0, H50 + N49, 0)</f>
        <v>0</v>
      </c>
      <c r="O50" s="1">
        <f>IF(N50 &lt; 0, 1 + O49, 0)</f>
        <v>0</v>
      </c>
      <c r="P50" s="1">
        <f>C50-((ABS(SUM(PL!H50:J50)))*0.125)</f>
        <v>0</v>
      </c>
      <c r="Q50" s="1">
        <f>D50-((ABS(SUM(PL!K50:M50)))*0.125)</f>
        <v>0</v>
      </c>
      <c r="R50" s="1">
        <f>E50-((ABS(SUM(PL!N50:P50)))*0.125)</f>
        <v>0</v>
      </c>
      <c r="S50" s="1">
        <f>F50-((ABS(SUM(PL!Q50:S50)))*0.125)</f>
        <v>0</v>
      </c>
      <c r="T50" s="1">
        <f>G50-((ABS(SUM(PL!T50:V50)))*0.125)</f>
        <v>0</v>
      </c>
      <c r="U50" s="1">
        <f>P50 + Q50 + R50 + S50 + T50</f>
        <v>0</v>
      </c>
      <c r="V50" s="1">
        <f>IF(P50 + V49 &lt; 0, P50 + V49, 0)</f>
        <v>0</v>
      </c>
      <c r="W50" s="1">
        <f>IF(Q50 + W49 &lt; 0, Q50 + W49, 0)</f>
        <v>0</v>
      </c>
      <c r="X50" s="1">
        <f>IF(R50 + X49 &lt; 0, R50 + X49, 0)</f>
        <v>0</v>
      </c>
      <c r="Y50" s="1">
        <f>IF(S50 + Y49 &lt; 0, S50 + Y49, 0)</f>
        <v>0</v>
      </c>
      <c r="Z50" s="1">
        <f>IF(T50 + Z49 &lt; 0, T50 + Z49, 0)</f>
        <v>0</v>
      </c>
      <c r="AA50" s="1">
        <f>IF(U50 + AA49 &lt; 0, U50 + AA49, 0)</f>
        <v>0</v>
      </c>
      <c r="AB50" s="1">
        <f>IF(AA50 &lt; 0, 1 + AB49, 0)</f>
        <v>0</v>
      </c>
      <c r="AC50" s="1">
        <f>IF(H50&lt;0,1,0)</f>
        <v>0</v>
      </c>
      <c r="AD50" s="1">
        <f>IF(AC50=1,H50,0)</f>
        <v>0</v>
      </c>
      <c r="AE50" s="1">
        <f>IF(H50&gt;0,1,0)</f>
        <v>0</v>
      </c>
      <c r="AF50" s="1">
        <f>IF(AE50=1,H50,0)</f>
        <v>0</v>
      </c>
      <c r="AG50" s="1">
        <f>IF(AD50&lt;-20000000.0/100,1,0)</f>
        <v>0</v>
      </c>
      <c r="AH50" s="1">
        <f>IF(AF50&gt;20000000.0/100,1,0)</f>
        <v>0</v>
      </c>
      <c r="AI50" s="1">
        <f>IF(U50&lt;0,1,0)</f>
        <v>0</v>
      </c>
      <c r="AJ50" s="1">
        <f>IF(AI50=1,U50,0)</f>
        <v>0</v>
      </c>
      <c r="AK50" s="1">
        <f>IF(U50&gt;0,1,0)</f>
        <v>0</v>
      </c>
      <c r="AL50" s="1">
        <f>IF(AK50=1,U50,0)</f>
        <v>0</v>
      </c>
      <c r="AM50" s="1">
        <f>IF(AJ50&lt;-20000000.0/100,1,0)</f>
        <v>0</v>
      </c>
      <c r="AN50" s="1">
        <f>IF(AL50&gt;20000000.0/100,1,0)</f>
        <v>0</v>
      </c>
    </row>
    <row r="51" spans="1:40" s="1" customFormat="1">
      <c r="A51" s="3">
        <v>45363</v>
      </c>
      <c r="B51" s="2" t="s">
        <v>23</v>
      </c>
      <c r="C51" s="1">
        <f>SUM(PL!H51:J51)</f>
        <v>0</v>
      </c>
      <c r="D51" s="1">
        <f>SUM(PL!K51:M51)</f>
        <v>0</v>
      </c>
      <c r="E51" s="1">
        <f>SUM(PL!N51:P51)</f>
        <v>0</v>
      </c>
      <c r="F51" s="1">
        <f>SUM(PL!Q51:S51)</f>
        <v>0</v>
      </c>
      <c r="G51" s="1">
        <f>SUM(PL!T51:V51)</f>
        <v>0</v>
      </c>
      <c r="H51" s="1">
        <f>SUM(C51:G51)</f>
        <v>0</v>
      </c>
      <c r="I51" s="1">
        <f>IF(C51 + I50 &lt; 0, C51 + I50, 0)</f>
        <v>0</v>
      </c>
      <c r="J51" s="1">
        <f>IF(D51 + J50 &lt; 0, D51 + J50, 0)</f>
        <v>0</v>
      </c>
      <c r="K51" s="1">
        <f>IF(E51 + K50 &lt; 0, E51 + K50, 0)</f>
        <v>0</v>
      </c>
      <c r="L51" s="1">
        <f>IF(F51 + L50 &lt; 0, F51 + L50, 0)</f>
        <v>0</v>
      </c>
      <c r="M51" s="1">
        <f>IF(G51 + M50 &lt; 0, G51 + M50, 0)</f>
        <v>0</v>
      </c>
      <c r="N51" s="1">
        <f>IF(H51 + N50 &lt; 0, H51 + N50, 0)</f>
        <v>0</v>
      </c>
      <c r="O51" s="1">
        <f>IF(N51 &lt; 0, 1 + O50, 0)</f>
        <v>0</v>
      </c>
      <c r="P51" s="1">
        <f>C51-((ABS(SUM(PL!H51:J51)))*0.125)</f>
        <v>0</v>
      </c>
      <c r="Q51" s="1">
        <f>D51-((ABS(SUM(PL!K51:M51)))*0.125)</f>
        <v>0</v>
      </c>
      <c r="R51" s="1">
        <f>E51-((ABS(SUM(PL!N51:P51)))*0.125)</f>
        <v>0</v>
      </c>
      <c r="S51" s="1">
        <f>F51-((ABS(SUM(PL!Q51:S51)))*0.125)</f>
        <v>0</v>
      </c>
      <c r="T51" s="1">
        <f>G51-((ABS(SUM(PL!T51:V51)))*0.125)</f>
        <v>0</v>
      </c>
      <c r="U51" s="1">
        <f>P51 + Q51 + R51 + S51 + T51</f>
        <v>0</v>
      </c>
      <c r="V51" s="1">
        <f>IF(P51 + V50 &lt; 0, P51 + V50, 0)</f>
        <v>0</v>
      </c>
      <c r="W51" s="1">
        <f>IF(Q51 + W50 &lt; 0, Q51 + W50, 0)</f>
        <v>0</v>
      </c>
      <c r="X51" s="1">
        <f>IF(R51 + X50 &lt; 0, R51 + X50, 0)</f>
        <v>0</v>
      </c>
      <c r="Y51" s="1">
        <f>IF(S51 + Y50 &lt; 0, S51 + Y50, 0)</f>
        <v>0</v>
      </c>
      <c r="Z51" s="1">
        <f>IF(T51 + Z50 &lt; 0, T51 + Z50, 0)</f>
        <v>0</v>
      </c>
      <c r="AA51" s="1">
        <f>IF(U51 + AA50 &lt; 0, U51 + AA50, 0)</f>
        <v>0</v>
      </c>
      <c r="AB51" s="1">
        <f>IF(AA51 &lt; 0, 1 + AB50, 0)</f>
        <v>0</v>
      </c>
      <c r="AC51" s="1">
        <f>IF(H51&lt;0,1,0)</f>
        <v>0</v>
      </c>
      <c r="AD51" s="1">
        <f>IF(AC51=1,H51,0)</f>
        <v>0</v>
      </c>
      <c r="AE51" s="1">
        <f>IF(H51&gt;0,1,0)</f>
        <v>0</v>
      </c>
      <c r="AF51" s="1">
        <f>IF(AE51=1,H51,0)</f>
        <v>0</v>
      </c>
      <c r="AG51" s="1">
        <f>IF(AD51&lt;-20000000.0/100,1,0)</f>
        <v>0</v>
      </c>
      <c r="AH51" s="1">
        <f>IF(AF51&gt;20000000.0/100,1,0)</f>
        <v>0</v>
      </c>
      <c r="AI51" s="1">
        <f>IF(U51&lt;0,1,0)</f>
        <v>0</v>
      </c>
      <c r="AJ51" s="1">
        <f>IF(AI51=1,U51,0)</f>
        <v>0</v>
      </c>
      <c r="AK51" s="1">
        <f>IF(U51&gt;0,1,0)</f>
        <v>0</v>
      </c>
      <c r="AL51" s="1">
        <f>IF(AK51=1,U51,0)</f>
        <v>0</v>
      </c>
      <c r="AM51" s="1">
        <f>IF(AJ51&lt;-20000000.0/100,1,0)</f>
        <v>0</v>
      </c>
      <c r="AN51" s="1">
        <f>IF(AL51&gt;20000000.0/100,1,0)</f>
        <v>0</v>
      </c>
    </row>
    <row r="52" spans="1:40" s="1" customFormat="1">
      <c r="A52" s="3">
        <v>45364</v>
      </c>
      <c r="B52" s="2" t="s">
        <v>24</v>
      </c>
      <c r="C52" s="1">
        <f>SUM(PL!H52:J52)</f>
        <v>0</v>
      </c>
      <c r="D52" s="1">
        <f>SUM(PL!K52:M52)</f>
        <v>0</v>
      </c>
      <c r="E52" s="1">
        <f>SUM(PL!N52:P52)</f>
        <v>0</v>
      </c>
      <c r="F52" s="1">
        <f>SUM(PL!Q52:S52)</f>
        <v>0</v>
      </c>
      <c r="G52" s="1">
        <f>SUM(PL!T52:V52)</f>
        <v>0</v>
      </c>
      <c r="H52" s="1">
        <f>SUM(C52:G52)</f>
        <v>0</v>
      </c>
      <c r="I52" s="1">
        <f>IF(C52 + I51 &lt; 0, C52 + I51, 0)</f>
        <v>0</v>
      </c>
      <c r="J52" s="1">
        <f>IF(D52 + J51 &lt; 0, D52 + J51, 0)</f>
        <v>0</v>
      </c>
      <c r="K52" s="1">
        <f>IF(E52 + K51 &lt; 0, E52 + K51, 0)</f>
        <v>0</v>
      </c>
      <c r="L52" s="1">
        <f>IF(F52 + L51 &lt; 0, F52 + L51, 0)</f>
        <v>0</v>
      </c>
      <c r="M52" s="1">
        <f>IF(G52 + M51 &lt; 0, G52 + M51, 0)</f>
        <v>0</v>
      </c>
      <c r="N52" s="1">
        <f>IF(H52 + N51 &lt; 0, H52 + N51, 0)</f>
        <v>0</v>
      </c>
      <c r="O52" s="1">
        <f>IF(N52 &lt; 0, 1 + O51, 0)</f>
        <v>0</v>
      </c>
      <c r="P52" s="1">
        <f>C52-((ABS(SUM(PL!H52:J52)))*0.125)</f>
        <v>0</v>
      </c>
      <c r="Q52" s="1">
        <f>D52-((ABS(SUM(PL!K52:M52)))*0.125)</f>
        <v>0</v>
      </c>
      <c r="R52" s="1">
        <f>E52-((ABS(SUM(PL!N52:P52)))*0.125)</f>
        <v>0</v>
      </c>
      <c r="S52" s="1">
        <f>F52-((ABS(SUM(PL!Q52:S52)))*0.125)</f>
        <v>0</v>
      </c>
      <c r="T52" s="1">
        <f>G52-((ABS(SUM(PL!T52:V52)))*0.125)</f>
        <v>0</v>
      </c>
      <c r="U52" s="1">
        <f>P52 + Q52 + R52 + S52 + T52</f>
        <v>0</v>
      </c>
      <c r="V52" s="1">
        <f>IF(P52 + V51 &lt; 0, P52 + V51, 0)</f>
        <v>0</v>
      </c>
      <c r="W52" s="1">
        <f>IF(Q52 + W51 &lt; 0, Q52 + W51, 0)</f>
        <v>0</v>
      </c>
      <c r="X52" s="1">
        <f>IF(R52 + X51 &lt; 0, R52 + X51, 0)</f>
        <v>0</v>
      </c>
      <c r="Y52" s="1">
        <f>IF(S52 + Y51 &lt; 0, S52 + Y51, 0)</f>
        <v>0</v>
      </c>
      <c r="Z52" s="1">
        <f>IF(T52 + Z51 &lt; 0, T52 + Z51, 0)</f>
        <v>0</v>
      </c>
      <c r="AA52" s="1">
        <f>IF(U52 + AA51 &lt; 0, U52 + AA51, 0)</f>
        <v>0</v>
      </c>
      <c r="AB52" s="1">
        <f>IF(AA52 &lt; 0, 1 + AB51, 0)</f>
        <v>0</v>
      </c>
      <c r="AC52" s="1">
        <f>IF(H52&lt;0,1,0)</f>
        <v>0</v>
      </c>
      <c r="AD52" s="1">
        <f>IF(AC52=1,H52,0)</f>
        <v>0</v>
      </c>
      <c r="AE52" s="1">
        <f>IF(H52&gt;0,1,0)</f>
        <v>0</v>
      </c>
      <c r="AF52" s="1">
        <f>IF(AE52=1,H52,0)</f>
        <v>0</v>
      </c>
      <c r="AG52" s="1">
        <f>IF(AD52&lt;-20000000.0/100,1,0)</f>
        <v>0</v>
      </c>
      <c r="AH52" s="1">
        <f>IF(AF52&gt;20000000.0/100,1,0)</f>
        <v>0</v>
      </c>
      <c r="AI52" s="1">
        <f>IF(U52&lt;0,1,0)</f>
        <v>0</v>
      </c>
      <c r="AJ52" s="1">
        <f>IF(AI52=1,U52,0)</f>
        <v>0</v>
      </c>
      <c r="AK52" s="1">
        <f>IF(U52&gt;0,1,0)</f>
        <v>0</v>
      </c>
      <c r="AL52" s="1">
        <f>IF(AK52=1,U52,0)</f>
        <v>0</v>
      </c>
      <c r="AM52" s="1">
        <f>IF(AJ52&lt;-20000000.0/100,1,0)</f>
        <v>0</v>
      </c>
      <c r="AN52" s="1">
        <f>IF(AL52&gt;20000000.0/100,1,0)</f>
        <v>0</v>
      </c>
    </row>
    <row r="53" spans="1:40" s="1" customFormat="1">
      <c r="A53" s="3">
        <v>45365</v>
      </c>
      <c r="B53" s="2" t="s">
        <v>25</v>
      </c>
      <c r="C53" s="1">
        <f>SUM(PL!H53:J53)</f>
        <v>0</v>
      </c>
      <c r="D53" s="1">
        <f>SUM(PL!K53:M53)</f>
        <v>0</v>
      </c>
      <c r="E53" s="1">
        <f>SUM(PL!N53:P53)</f>
        <v>0</v>
      </c>
      <c r="F53" s="1">
        <f>SUM(PL!Q53:S53)</f>
        <v>0</v>
      </c>
      <c r="G53" s="1">
        <f>SUM(PL!T53:V53)</f>
        <v>0</v>
      </c>
      <c r="H53" s="1">
        <f>SUM(C53:G53)</f>
        <v>0</v>
      </c>
      <c r="I53" s="1">
        <f>IF(C53 + I52 &lt; 0, C53 + I52, 0)</f>
        <v>0</v>
      </c>
      <c r="J53" s="1">
        <f>IF(D53 + J52 &lt; 0, D53 + J52, 0)</f>
        <v>0</v>
      </c>
      <c r="K53" s="1">
        <f>IF(E53 + K52 &lt; 0, E53 + K52, 0)</f>
        <v>0</v>
      </c>
      <c r="L53" s="1">
        <f>IF(F53 + L52 &lt; 0, F53 + L52, 0)</f>
        <v>0</v>
      </c>
      <c r="M53" s="1">
        <f>IF(G53 + M52 &lt; 0, G53 + M52, 0)</f>
        <v>0</v>
      </c>
      <c r="N53" s="1">
        <f>IF(H53 + N52 &lt; 0, H53 + N52, 0)</f>
        <v>0</v>
      </c>
      <c r="O53" s="1">
        <f>IF(N53 &lt; 0, 1 + O52, 0)</f>
        <v>0</v>
      </c>
      <c r="P53" s="1">
        <f>C53-((ABS(SUM(PL!H53:J53)))*0.125)</f>
        <v>0</v>
      </c>
      <c r="Q53" s="1">
        <f>D53-((ABS(SUM(PL!K53:M53)))*0.125)</f>
        <v>0</v>
      </c>
      <c r="R53" s="1">
        <f>E53-((ABS(SUM(PL!N53:P53)))*0.125)</f>
        <v>0</v>
      </c>
      <c r="S53" s="1">
        <f>F53-((ABS(SUM(PL!Q53:S53)))*0.125)</f>
        <v>0</v>
      </c>
      <c r="T53" s="1">
        <f>G53-((ABS(SUM(PL!T53:V53)))*0.125)</f>
        <v>0</v>
      </c>
      <c r="U53" s="1">
        <f>P53 + Q53 + R53 + S53 + T53</f>
        <v>0</v>
      </c>
      <c r="V53" s="1">
        <f>IF(P53 + V52 &lt; 0, P53 + V52, 0)</f>
        <v>0</v>
      </c>
      <c r="W53" s="1">
        <f>IF(Q53 + W52 &lt; 0, Q53 + W52, 0)</f>
        <v>0</v>
      </c>
      <c r="X53" s="1">
        <f>IF(R53 + X52 &lt; 0, R53 + X52, 0)</f>
        <v>0</v>
      </c>
      <c r="Y53" s="1">
        <f>IF(S53 + Y52 &lt; 0, S53 + Y52, 0)</f>
        <v>0</v>
      </c>
      <c r="Z53" s="1">
        <f>IF(T53 + Z52 &lt; 0, T53 + Z52, 0)</f>
        <v>0</v>
      </c>
      <c r="AA53" s="1">
        <f>IF(U53 + AA52 &lt; 0, U53 + AA52, 0)</f>
        <v>0</v>
      </c>
      <c r="AB53" s="1">
        <f>IF(AA53 &lt; 0, 1 + AB52, 0)</f>
        <v>0</v>
      </c>
      <c r="AC53" s="1">
        <f>IF(H53&lt;0,1,0)</f>
        <v>0</v>
      </c>
      <c r="AD53" s="1">
        <f>IF(AC53=1,H53,0)</f>
        <v>0</v>
      </c>
      <c r="AE53" s="1">
        <f>IF(H53&gt;0,1,0)</f>
        <v>0</v>
      </c>
      <c r="AF53" s="1">
        <f>IF(AE53=1,H53,0)</f>
        <v>0</v>
      </c>
      <c r="AG53" s="1">
        <f>IF(AD53&lt;-20000000.0/100,1,0)</f>
        <v>0</v>
      </c>
      <c r="AH53" s="1">
        <f>IF(AF53&gt;20000000.0/100,1,0)</f>
        <v>0</v>
      </c>
      <c r="AI53" s="1">
        <f>IF(U53&lt;0,1,0)</f>
        <v>0</v>
      </c>
      <c r="AJ53" s="1">
        <f>IF(AI53=1,U53,0)</f>
        <v>0</v>
      </c>
      <c r="AK53" s="1">
        <f>IF(U53&gt;0,1,0)</f>
        <v>0</v>
      </c>
      <c r="AL53" s="1">
        <f>IF(AK53=1,U53,0)</f>
        <v>0</v>
      </c>
      <c r="AM53" s="1">
        <f>IF(AJ53&lt;-20000000.0/100,1,0)</f>
        <v>0</v>
      </c>
      <c r="AN53" s="1">
        <f>IF(AL53&gt;20000000.0/100,1,0)</f>
        <v>0</v>
      </c>
    </row>
    <row r="54" spans="1:40" s="1" customFormat="1">
      <c r="A54" s="3">
        <v>45366</v>
      </c>
      <c r="B54" s="2" t="s">
        <v>26</v>
      </c>
      <c r="C54" s="1">
        <f>SUM(PL!H54:J54)</f>
        <v>0</v>
      </c>
      <c r="D54" s="1">
        <f>SUM(PL!K54:M54)</f>
        <v>0</v>
      </c>
      <c r="E54" s="1">
        <f>SUM(PL!N54:P54)</f>
        <v>0</v>
      </c>
      <c r="F54" s="1">
        <f>SUM(PL!Q54:S54)</f>
        <v>0</v>
      </c>
      <c r="G54" s="1">
        <f>SUM(PL!T54:V54)</f>
        <v>0</v>
      </c>
      <c r="H54" s="1">
        <f>SUM(C54:G54)</f>
        <v>0</v>
      </c>
      <c r="I54" s="1">
        <f>IF(C54 + I53 &lt; 0, C54 + I53, 0)</f>
        <v>0</v>
      </c>
      <c r="J54" s="1">
        <f>IF(D54 + J53 &lt; 0, D54 + J53, 0)</f>
        <v>0</v>
      </c>
      <c r="K54" s="1">
        <f>IF(E54 + K53 &lt; 0, E54 + K53, 0)</f>
        <v>0</v>
      </c>
      <c r="L54" s="1">
        <f>IF(F54 + L53 &lt; 0, F54 + L53, 0)</f>
        <v>0</v>
      </c>
      <c r="M54" s="1">
        <f>IF(G54 + M53 &lt; 0, G54 + M53, 0)</f>
        <v>0</v>
      </c>
      <c r="N54" s="1">
        <f>IF(H54 + N53 &lt; 0, H54 + N53, 0)</f>
        <v>0</v>
      </c>
      <c r="O54" s="1">
        <f>IF(N54 &lt; 0, 1 + O53, 0)</f>
        <v>0</v>
      </c>
      <c r="P54" s="1">
        <f>C54-((ABS(SUM(PL!H54:J54)))*0.125)</f>
        <v>0</v>
      </c>
      <c r="Q54" s="1">
        <f>D54-((ABS(SUM(PL!K54:M54)))*0.125)</f>
        <v>0</v>
      </c>
      <c r="R54" s="1">
        <f>E54-((ABS(SUM(PL!N54:P54)))*0.125)</f>
        <v>0</v>
      </c>
      <c r="S54" s="1">
        <f>F54-((ABS(SUM(PL!Q54:S54)))*0.125)</f>
        <v>0</v>
      </c>
      <c r="T54" s="1">
        <f>G54-((ABS(SUM(PL!T54:V54)))*0.125)</f>
        <v>0</v>
      </c>
      <c r="U54" s="1">
        <f>P54 + Q54 + R54 + S54 + T54</f>
        <v>0</v>
      </c>
      <c r="V54" s="1">
        <f>IF(P54 + V53 &lt; 0, P54 + V53, 0)</f>
        <v>0</v>
      </c>
      <c r="W54" s="1">
        <f>IF(Q54 + W53 &lt; 0, Q54 + W53, 0)</f>
        <v>0</v>
      </c>
      <c r="X54" s="1">
        <f>IF(R54 + X53 &lt; 0, R54 + X53, 0)</f>
        <v>0</v>
      </c>
      <c r="Y54" s="1">
        <f>IF(S54 + Y53 &lt; 0, S54 + Y53, 0)</f>
        <v>0</v>
      </c>
      <c r="Z54" s="1">
        <f>IF(T54 + Z53 &lt; 0, T54 + Z53, 0)</f>
        <v>0</v>
      </c>
      <c r="AA54" s="1">
        <f>IF(U54 + AA53 &lt; 0, U54 + AA53, 0)</f>
        <v>0</v>
      </c>
      <c r="AB54" s="1">
        <f>IF(AA54 &lt; 0, 1 + AB53, 0)</f>
        <v>0</v>
      </c>
      <c r="AC54" s="1">
        <f>IF(H54&lt;0,1,0)</f>
        <v>0</v>
      </c>
      <c r="AD54" s="1">
        <f>IF(AC54=1,H54,0)</f>
        <v>0</v>
      </c>
      <c r="AE54" s="1">
        <f>IF(H54&gt;0,1,0)</f>
        <v>0</v>
      </c>
      <c r="AF54" s="1">
        <f>IF(AE54=1,H54,0)</f>
        <v>0</v>
      </c>
      <c r="AG54" s="1">
        <f>IF(AD54&lt;-20000000.0/100,1,0)</f>
        <v>0</v>
      </c>
      <c r="AH54" s="1">
        <f>IF(AF54&gt;20000000.0/100,1,0)</f>
        <v>0</v>
      </c>
      <c r="AI54" s="1">
        <f>IF(U54&lt;0,1,0)</f>
        <v>0</v>
      </c>
      <c r="AJ54" s="1">
        <f>IF(AI54=1,U54,0)</f>
        <v>0</v>
      </c>
      <c r="AK54" s="1">
        <f>IF(U54&gt;0,1,0)</f>
        <v>0</v>
      </c>
      <c r="AL54" s="1">
        <f>IF(AK54=1,U54,0)</f>
        <v>0</v>
      </c>
      <c r="AM54" s="1">
        <f>IF(AJ54&lt;-20000000.0/100,1,0)</f>
        <v>0</v>
      </c>
      <c r="AN54" s="1">
        <f>IF(AL54&gt;20000000.0/100,1,0)</f>
        <v>0</v>
      </c>
    </row>
    <row r="55" spans="1:40" s="1" customFormat="1">
      <c r="A55" s="3">
        <v>45369</v>
      </c>
      <c r="B55" s="2" t="s">
        <v>22</v>
      </c>
      <c r="C55" s="1">
        <f>SUM(PL!H55:J55)</f>
        <v>0</v>
      </c>
      <c r="D55" s="1">
        <f>SUM(PL!K55:M55)</f>
        <v>0</v>
      </c>
      <c r="E55" s="1">
        <f>SUM(PL!N55:P55)</f>
        <v>0</v>
      </c>
      <c r="F55" s="1">
        <f>SUM(PL!Q55:S55)</f>
        <v>0</v>
      </c>
      <c r="G55" s="1">
        <f>SUM(PL!T55:V55)</f>
        <v>0</v>
      </c>
      <c r="H55" s="1">
        <f>SUM(C55:G55)</f>
        <v>0</v>
      </c>
      <c r="I55" s="1">
        <f>IF(C55 + I54 &lt; 0, C55 + I54, 0)</f>
        <v>0</v>
      </c>
      <c r="J55" s="1">
        <f>IF(D55 + J54 &lt; 0, D55 + J54, 0)</f>
        <v>0</v>
      </c>
      <c r="K55" s="1">
        <f>IF(E55 + K54 &lt; 0, E55 + K54, 0)</f>
        <v>0</v>
      </c>
      <c r="L55" s="1">
        <f>IF(F55 + L54 &lt; 0, F55 + L54, 0)</f>
        <v>0</v>
      </c>
      <c r="M55" s="1">
        <f>IF(G55 + M54 &lt; 0, G55 + M54, 0)</f>
        <v>0</v>
      </c>
      <c r="N55" s="1">
        <f>IF(H55 + N54 &lt; 0, H55 + N54, 0)</f>
        <v>0</v>
      </c>
      <c r="O55" s="1">
        <f>IF(N55 &lt; 0, 1 + O54, 0)</f>
        <v>0</v>
      </c>
      <c r="P55" s="1">
        <f>C55-((ABS(SUM(PL!H55:J55)))*0.125)</f>
        <v>0</v>
      </c>
      <c r="Q55" s="1">
        <f>D55-((ABS(SUM(PL!K55:M55)))*0.125)</f>
        <v>0</v>
      </c>
      <c r="R55" s="1">
        <f>E55-((ABS(SUM(PL!N55:P55)))*0.125)</f>
        <v>0</v>
      </c>
      <c r="S55" s="1">
        <f>F55-((ABS(SUM(PL!Q55:S55)))*0.125)</f>
        <v>0</v>
      </c>
      <c r="T55" s="1">
        <f>G55-((ABS(SUM(PL!T55:V55)))*0.125)</f>
        <v>0</v>
      </c>
      <c r="U55" s="1">
        <f>P55 + Q55 + R55 + S55 + T55</f>
        <v>0</v>
      </c>
      <c r="V55" s="1">
        <f>IF(P55 + V54 &lt; 0, P55 + V54, 0)</f>
        <v>0</v>
      </c>
      <c r="W55" s="1">
        <f>IF(Q55 + W54 &lt; 0, Q55 + W54, 0)</f>
        <v>0</v>
      </c>
      <c r="X55" s="1">
        <f>IF(R55 + X54 &lt; 0, R55 + X54, 0)</f>
        <v>0</v>
      </c>
      <c r="Y55" s="1">
        <f>IF(S55 + Y54 &lt; 0, S55 + Y54, 0)</f>
        <v>0</v>
      </c>
      <c r="Z55" s="1">
        <f>IF(T55 + Z54 &lt; 0, T55 + Z54, 0)</f>
        <v>0</v>
      </c>
      <c r="AA55" s="1">
        <f>IF(U55 + AA54 &lt; 0, U55 + AA54, 0)</f>
        <v>0</v>
      </c>
      <c r="AB55" s="1">
        <f>IF(AA55 &lt; 0, 1 + AB54, 0)</f>
        <v>0</v>
      </c>
      <c r="AC55" s="1">
        <f>IF(H55&lt;0,1,0)</f>
        <v>0</v>
      </c>
      <c r="AD55" s="1">
        <f>IF(AC55=1,H55,0)</f>
        <v>0</v>
      </c>
      <c r="AE55" s="1">
        <f>IF(H55&gt;0,1,0)</f>
        <v>0</v>
      </c>
      <c r="AF55" s="1">
        <f>IF(AE55=1,H55,0)</f>
        <v>0</v>
      </c>
      <c r="AG55" s="1">
        <f>IF(AD55&lt;-20000000.0/100,1,0)</f>
        <v>0</v>
      </c>
      <c r="AH55" s="1">
        <f>IF(AF55&gt;20000000.0/100,1,0)</f>
        <v>0</v>
      </c>
      <c r="AI55" s="1">
        <f>IF(U55&lt;0,1,0)</f>
        <v>0</v>
      </c>
      <c r="AJ55" s="1">
        <f>IF(AI55=1,U55,0)</f>
        <v>0</v>
      </c>
      <c r="AK55" s="1">
        <f>IF(U55&gt;0,1,0)</f>
        <v>0</v>
      </c>
      <c r="AL55" s="1">
        <f>IF(AK55=1,U55,0)</f>
        <v>0</v>
      </c>
      <c r="AM55" s="1">
        <f>IF(AJ55&lt;-20000000.0/100,1,0)</f>
        <v>0</v>
      </c>
      <c r="AN55" s="1">
        <f>IF(AL55&gt;20000000.0/100,1,0)</f>
        <v>0</v>
      </c>
    </row>
    <row r="56" spans="1:40" s="1" customFormat="1">
      <c r="A56" s="3">
        <v>45370</v>
      </c>
      <c r="B56" s="2" t="s">
        <v>23</v>
      </c>
      <c r="C56" s="1">
        <f>SUM(PL!H56:J56)</f>
        <v>0</v>
      </c>
      <c r="D56" s="1">
        <f>SUM(PL!K56:M56)</f>
        <v>0</v>
      </c>
      <c r="E56" s="1">
        <f>SUM(PL!N56:P56)</f>
        <v>0</v>
      </c>
      <c r="F56" s="1">
        <f>SUM(PL!Q56:S56)</f>
        <v>0</v>
      </c>
      <c r="G56" s="1">
        <f>SUM(PL!T56:V56)</f>
        <v>0</v>
      </c>
      <c r="H56" s="1">
        <f>SUM(C56:G56)</f>
        <v>0</v>
      </c>
      <c r="I56" s="1">
        <f>IF(C56 + I55 &lt; 0, C56 + I55, 0)</f>
        <v>0</v>
      </c>
      <c r="J56" s="1">
        <f>IF(D56 + J55 &lt; 0, D56 + J55, 0)</f>
        <v>0</v>
      </c>
      <c r="K56" s="1">
        <f>IF(E56 + K55 &lt; 0, E56 + K55, 0)</f>
        <v>0</v>
      </c>
      <c r="L56" s="1">
        <f>IF(F56 + L55 &lt; 0, F56 + L55, 0)</f>
        <v>0</v>
      </c>
      <c r="M56" s="1">
        <f>IF(G56 + M55 &lt; 0, G56 + M55, 0)</f>
        <v>0</v>
      </c>
      <c r="N56" s="1">
        <f>IF(H56 + N55 &lt; 0, H56 + N55, 0)</f>
        <v>0</v>
      </c>
      <c r="O56" s="1">
        <f>IF(N56 &lt; 0, 1 + O55, 0)</f>
        <v>0</v>
      </c>
      <c r="P56" s="1">
        <f>C56-((ABS(SUM(PL!H56:J56)))*0.125)</f>
        <v>0</v>
      </c>
      <c r="Q56" s="1">
        <f>D56-((ABS(SUM(PL!K56:M56)))*0.125)</f>
        <v>0</v>
      </c>
      <c r="R56" s="1">
        <f>E56-((ABS(SUM(PL!N56:P56)))*0.125)</f>
        <v>0</v>
      </c>
      <c r="S56" s="1">
        <f>F56-((ABS(SUM(PL!Q56:S56)))*0.125)</f>
        <v>0</v>
      </c>
      <c r="T56" s="1">
        <f>G56-((ABS(SUM(PL!T56:V56)))*0.125)</f>
        <v>0</v>
      </c>
      <c r="U56" s="1">
        <f>P56 + Q56 + R56 + S56 + T56</f>
        <v>0</v>
      </c>
      <c r="V56" s="1">
        <f>IF(P56 + V55 &lt; 0, P56 + V55, 0)</f>
        <v>0</v>
      </c>
      <c r="W56" s="1">
        <f>IF(Q56 + W55 &lt; 0, Q56 + W55, 0)</f>
        <v>0</v>
      </c>
      <c r="X56" s="1">
        <f>IF(R56 + X55 &lt; 0, R56 + X55, 0)</f>
        <v>0</v>
      </c>
      <c r="Y56" s="1">
        <f>IF(S56 + Y55 &lt; 0, S56 + Y55, 0)</f>
        <v>0</v>
      </c>
      <c r="Z56" s="1">
        <f>IF(T56 + Z55 &lt; 0, T56 + Z55, 0)</f>
        <v>0</v>
      </c>
      <c r="AA56" s="1">
        <f>IF(U56 + AA55 &lt; 0, U56 + AA55, 0)</f>
        <v>0</v>
      </c>
      <c r="AB56" s="1">
        <f>IF(AA56 &lt; 0, 1 + AB55, 0)</f>
        <v>0</v>
      </c>
      <c r="AC56" s="1">
        <f>IF(H56&lt;0,1,0)</f>
        <v>0</v>
      </c>
      <c r="AD56" s="1">
        <f>IF(AC56=1,H56,0)</f>
        <v>0</v>
      </c>
      <c r="AE56" s="1">
        <f>IF(H56&gt;0,1,0)</f>
        <v>0</v>
      </c>
      <c r="AF56" s="1">
        <f>IF(AE56=1,H56,0)</f>
        <v>0</v>
      </c>
      <c r="AG56" s="1">
        <f>IF(AD56&lt;-20000000.0/100,1,0)</f>
        <v>0</v>
      </c>
      <c r="AH56" s="1">
        <f>IF(AF56&gt;20000000.0/100,1,0)</f>
        <v>0</v>
      </c>
      <c r="AI56" s="1">
        <f>IF(U56&lt;0,1,0)</f>
        <v>0</v>
      </c>
      <c r="AJ56" s="1">
        <f>IF(AI56=1,U56,0)</f>
        <v>0</v>
      </c>
      <c r="AK56" s="1">
        <f>IF(U56&gt;0,1,0)</f>
        <v>0</v>
      </c>
      <c r="AL56" s="1">
        <f>IF(AK56=1,U56,0)</f>
        <v>0</v>
      </c>
      <c r="AM56" s="1">
        <f>IF(AJ56&lt;-20000000.0/100,1,0)</f>
        <v>0</v>
      </c>
      <c r="AN56" s="1">
        <f>IF(AL56&gt;20000000.0/100,1,0)</f>
        <v>0</v>
      </c>
    </row>
    <row r="57" spans="1:40" s="1" customFormat="1">
      <c r="A57" s="3">
        <v>45371</v>
      </c>
      <c r="B57" s="2" t="s">
        <v>24</v>
      </c>
      <c r="C57" s="1">
        <f>SUM(PL!H57:J57)</f>
        <v>0</v>
      </c>
      <c r="D57" s="1">
        <f>SUM(PL!K57:M57)</f>
        <v>0</v>
      </c>
      <c r="E57" s="1">
        <f>SUM(PL!N57:P57)</f>
        <v>0</v>
      </c>
      <c r="F57" s="1">
        <f>SUM(PL!Q57:S57)</f>
        <v>0</v>
      </c>
      <c r="G57" s="1">
        <f>SUM(PL!T57:V57)</f>
        <v>0</v>
      </c>
      <c r="H57" s="1">
        <f>SUM(C57:G57)</f>
        <v>0</v>
      </c>
      <c r="I57" s="1">
        <f>IF(C57 + I56 &lt; 0, C57 + I56, 0)</f>
        <v>0</v>
      </c>
      <c r="J57" s="1">
        <f>IF(D57 + J56 &lt; 0, D57 + J56, 0)</f>
        <v>0</v>
      </c>
      <c r="K57" s="1">
        <f>IF(E57 + K56 &lt; 0, E57 + K56, 0)</f>
        <v>0</v>
      </c>
      <c r="L57" s="1">
        <f>IF(F57 + L56 &lt; 0, F57 + L56, 0)</f>
        <v>0</v>
      </c>
      <c r="M57" s="1">
        <f>IF(G57 + M56 &lt; 0, G57 + M56, 0)</f>
        <v>0</v>
      </c>
      <c r="N57" s="1">
        <f>IF(H57 + N56 &lt; 0, H57 + N56, 0)</f>
        <v>0</v>
      </c>
      <c r="O57" s="1">
        <f>IF(N57 &lt; 0, 1 + O56, 0)</f>
        <v>0</v>
      </c>
      <c r="P57" s="1">
        <f>C57-((ABS(SUM(PL!H57:J57)))*0.125)</f>
        <v>0</v>
      </c>
      <c r="Q57" s="1">
        <f>D57-((ABS(SUM(PL!K57:M57)))*0.125)</f>
        <v>0</v>
      </c>
      <c r="R57" s="1">
        <f>E57-((ABS(SUM(PL!N57:P57)))*0.125)</f>
        <v>0</v>
      </c>
      <c r="S57" s="1">
        <f>F57-((ABS(SUM(PL!Q57:S57)))*0.125)</f>
        <v>0</v>
      </c>
      <c r="T57" s="1">
        <f>G57-((ABS(SUM(PL!T57:V57)))*0.125)</f>
        <v>0</v>
      </c>
      <c r="U57" s="1">
        <f>P57 + Q57 + R57 + S57 + T57</f>
        <v>0</v>
      </c>
      <c r="V57" s="1">
        <f>IF(P57 + V56 &lt; 0, P57 + V56, 0)</f>
        <v>0</v>
      </c>
      <c r="W57" s="1">
        <f>IF(Q57 + W56 &lt; 0, Q57 + W56, 0)</f>
        <v>0</v>
      </c>
      <c r="X57" s="1">
        <f>IF(R57 + X56 &lt; 0, R57 + X56, 0)</f>
        <v>0</v>
      </c>
      <c r="Y57" s="1">
        <f>IF(S57 + Y56 &lt; 0, S57 + Y56, 0)</f>
        <v>0</v>
      </c>
      <c r="Z57" s="1">
        <f>IF(T57 + Z56 &lt; 0, T57 + Z56, 0)</f>
        <v>0</v>
      </c>
      <c r="AA57" s="1">
        <f>IF(U57 + AA56 &lt; 0, U57 + AA56, 0)</f>
        <v>0</v>
      </c>
      <c r="AB57" s="1">
        <f>IF(AA57 &lt; 0, 1 + AB56, 0)</f>
        <v>0</v>
      </c>
      <c r="AC57" s="1">
        <f>IF(H57&lt;0,1,0)</f>
        <v>0</v>
      </c>
      <c r="AD57" s="1">
        <f>IF(AC57=1,H57,0)</f>
        <v>0</v>
      </c>
      <c r="AE57" s="1">
        <f>IF(H57&gt;0,1,0)</f>
        <v>0</v>
      </c>
      <c r="AF57" s="1">
        <f>IF(AE57=1,H57,0)</f>
        <v>0</v>
      </c>
      <c r="AG57" s="1">
        <f>IF(AD57&lt;-20000000.0/100,1,0)</f>
        <v>0</v>
      </c>
      <c r="AH57" s="1">
        <f>IF(AF57&gt;20000000.0/100,1,0)</f>
        <v>0</v>
      </c>
      <c r="AI57" s="1">
        <f>IF(U57&lt;0,1,0)</f>
        <v>0</v>
      </c>
      <c r="AJ57" s="1">
        <f>IF(AI57=1,U57,0)</f>
        <v>0</v>
      </c>
      <c r="AK57" s="1">
        <f>IF(U57&gt;0,1,0)</f>
        <v>0</v>
      </c>
      <c r="AL57" s="1">
        <f>IF(AK57=1,U57,0)</f>
        <v>0</v>
      </c>
      <c r="AM57" s="1">
        <f>IF(AJ57&lt;-20000000.0/100,1,0)</f>
        <v>0</v>
      </c>
      <c r="AN57" s="1">
        <f>IF(AL57&gt;20000000.0/100,1,0)</f>
        <v>0</v>
      </c>
    </row>
    <row r="58" spans="1:40" s="1" customFormat="1">
      <c r="A58" s="3">
        <v>45372</v>
      </c>
      <c r="B58" s="2" t="s">
        <v>25</v>
      </c>
      <c r="C58" s="1">
        <f>SUM(PL!H58:J58)</f>
        <v>0</v>
      </c>
      <c r="D58" s="1">
        <f>SUM(PL!K58:M58)</f>
        <v>0</v>
      </c>
      <c r="E58" s="1">
        <f>SUM(PL!N58:P58)</f>
        <v>0</v>
      </c>
      <c r="F58" s="1">
        <f>SUM(PL!Q58:S58)</f>
        <v>0</v>
      </c>
      <c r="G58" s="1">
        <f>SUM(PL!T58:V58)</f>
        <v>0</v>
      </c>
      <c r="H58" s="1">
        <f>SUM(C58:G58)</f>
        <v>0</v>
      </c>
      <c r="I58" s="1">
        <f>IF(C58 + I57 &lt; 0, C58 + I57, 0)</f>
        <v>0</v>
      </c>
      <c r="J58" s="1">
        <f>IF(D58 + J57 &lt; 0, D58 + J57, 0)</f>
        <v>0</v>
      </c>
      <c r="K58" s="1">
        <f>IF(E58 + K57 &lt; 0, E58 + K57, 0)</f>
        <v>0</v>
      </c>
      <c r="L58" s="1">
        <f>IF(F58 + L57 &lt; 0, F58 + L57, 0)</f>
        <v>0</v>
      </c>
      <c r="M58" s="1">
        <f>IF(G58 + M57 &lt; 0, G58 + M57, 0)</f>
        <v>0</v>
      </c>
      <c r="N58" s="1">
        <f>IF(H58 + N57 &lt; 0, H58 + N57, 0)</f>
        <v>0</v>
      </c>
      <c r="O58" s="1">
        <f>IF(N58 &lt; 0, 1 + O57, 0)</f>
        <v>0</v>
      </c>
      <c r="P58" s="1">
        <f>C58-((ABS(SUM(PL!H58:J58)))*0.125)</f>
        <v>0</v>
      </c>
      <c r="Q58" s="1">
        <f>D58-((ABS(SUM(PL!K58:M58)))*0.125)</f>
        <v>0</v>
      </c>
      <c r="R58" s="1">
        <f>E58-((ABS(SUM(PL!N58:P58)))*0.125)</f>
        <v>0</v>
      </c>
      <c r="S58" s="1">
        <f>F58-((ABS(SUM(PL!Q58:S58)))*0.125)</f>
        <v>0</v>
      </c>
      <c r="T58" s="1">
        <f>G58-((ABS(SUM(PL!T58:V58)))*0.125)</f>
        <v>0</v>
      </c>
      <c r="U58" s="1">
        <f>P58 + Q58 + R58 + S58 + T58</f>
        <v>0</v>
      </c>
      <c r="V58" s="1">
        <f>IF(P58 + V57 &lt; 0, P58 + V57, 0)</f>
        <v>0</v>
      </c>
      <c r="W58" s="1">
        <f>IF(Q58 + W57 &lt; 0, Q58 + W57, 0)</f>
        <v>0</v>
      </c>
      <c r="X58" s="1">
        <f>IF(R58 + X57 &lt; 0, R58 + X57, 0)</f>
        <v>0</v>
      </c>
      <c r="Y58" s="1">
        <f>IF(S58 + Y57 &lt; 0, S58 + Y57, 0)</f>
        <v>0</v>
      </c>
      <c r="Z58" s="1">
        <f>IF(T58 + Z57 &lt; 0, T58 + Z57, 0)</f>
        <v>0</v>
      </c>
      <c r="AA58" s="1">
        <f>IF(U58 + AA57 &lt; 0, U58 + AA57, 0)</f>
        <v>0</v>
      </c>
      <c r="AB58" s="1">
        <f>IF(AA58 &lt; 0, 1 + AB57, 0)</f>
        <v>0</v>
      </c>
      <c r="AC58" s="1">
        <f>IF(H58&lt;0,1,0)</f>
        <v>0</v>
      </c>
      <c r="AD58" s="1">
        <f>IF(AC58=1,H58,0)</f>
        <v>0</v>
      </c>
      <c r="AE58" s="1">
        <f>IF(H58&gt;0,1,0)</f>
        <v>0</v>
      </c>
      <c r="AF58" s="1">
        <f>IF(AE58=1,H58,0)</f>
        <v>0</v>
      </c>
      <c r="AG58" s="1">
        <f>IF(AD58&lt;-20000000.0/100,1,0)</f>
        <v>0</v>
      </c>
      <c r="AH58" s="1">
        <f>IF(AF58&gt;20000000.0/100,1,0)</f>
        <v>0</v>
      </c>
      <c r="AI58" s="1">
        <f>IF(U58&lt;0,1,0)</f>
        <v>0</v>
      </c>
      <c r="AJ58" s="1">
        <f>IF(AI58=1,U58,0)</f>
        <v>0</v>
      </c>
      <c r="AK58" s="1">
        <f>IF(U58&gt;0,1,0)</f>
        <v>0</v>
      </c>
      <c r="AL58" s="1">
        <f>IF(AK58=1,U58,0)</f>
        <v>0</v>
      </c>
      <c r="AM58" s="1">
        <f>IF(AJ58&lt;-20000000.0/100,1,0)</f>
        <v>0</v>
      </c>
      <c r="AN58" s="1">
        <f>IF(AL58&gt;20000000.0/100,1,0)</f>
        <v>0</v>
      </c>
    </row>
    <row r="59" spans="1:40" s="1" customFormat="1">
      <c r="A59" s="3">
        <v>45373</v>
      </c>
      <c r="B59" s="2" t="s">
        <v>26</v>
      </c>
      <c r="C59" s="1">
        <f>SUM(PL!H59:J59)</f>
        <v>0</v>
      </c>
      <c r="D59" s="1">
        <f>SUM(PL!K59:M59)</f>
        <v>0</v>
      </c>
      <c r="E59" s="1">
        <f>SUM(PL!N59:P59)</f>
        <v>0</v>
      </c>
      <c r="F59" s="1">
        <f>SUM(PL!Q59:S59)</f>
        <v>0</v>
      </c>
      <c r="G59" s="1">
        <f>SUM(PL!T59:V59)</f>
        <v>0</v>
      </c>
      <c r="H59" s="1">
        <f>SUM(C59:G59)</f>
        <v>0</v>
      </c>
      <c r="I59" s="1">
        <f>IF(C59 + I58 &lt; 0, C59 + I58, 0)</f>
        <v>0</v>
      </c>
      <c r="J59" s="1">
        <f>IF(D59 + J58 &lt; 0, D59 + J58, 0)</f>
        <v>0</v>
      </c>
      <c r="K59" s="1">
        <f>IF(E59 + K58 &lt; 0, E59 + K58, 0)</f>
        <v>0</v>
      </c>
      <c r="L59" s="1">
        <f>IF(F59 + L58 &lt; 0, F59 + L58, 0)</f>
        <v>0</v>
      </c>
      <c r="M59" s="1">
        <f>IF(G59 + M58 &lt; 0, G59 + M58, 0)</f>
        <v>0</v>
      </c>
      <c r="N59" s="1">
        <f>IF(H59 + N58 &lt; 0, H59 + N58, 0)</f>
        <v>0</v>
      </c>
      <c r="O59" s="1">
        <f>IF(N59 &lt; 0, 1 + O58, 0)</f>
        <v>0</v>
      </c>
      <c r="P59" s="1">
        <f>C59-((ABS(SUM(PL!H59:J59)))*0.125)</f>
        <v>0</v>
      </c>
      <c r="Q59" s="1">
        <f>D59-((ABS(SUM(PL!K59:M59)))*0.125)</f>
        <v>0</v>
      </c>
      <c r="R59" s="1">
        <f>E59-((ABS(SUM(PL!N59:P59)))*0.125)</f>
        <v>0</v>
      </c>
      <c r="S59" s="1">
        <f>F59-((ABS(SUM(PL!Q59:S59)))*0.125)</f>
        <v>0</v>
      </c>
      <c r="T59" s="1">
        <f>G59-((ABS(SUM(PL!T59:V59)))*0.125)</f>
        <v>0</v>
      </c>
      <c r="U59" s="1">
        <f>P59 + Q59 + R59 + S59 + T59</f>
        <v>0</v>
      </c>
      <c r="V59" s="1">
        <f>IF(P59 + V58 &lt; 0, P59 + V58, 0)</f>
        <v>0</v>
      </c>
      <c r="W59" s="1">
        <f>IF(Q59 + W58 &lt; 0, Q59 + W58, 0)</f>
        <v>0</v>
      </c>
      <c r="X59" s="1">
        <f>IF(R59 + X58 &lt; 0, R59 + X58, 0)</f>
        <v>0</v>
      </c>
      <c r="Y59" s="1">
        <f>IF(S59 + Y58 &lt; 0, S59 + Y58, 0)</f>
        <v>0</v>
      </c>
      <c r="Z59" s="1">
        <f>IF(T59 + Z58 &lt; 0, T59 + Z58, 0)</f>
        <v>0</v>
      </c>
      <c r="AA59" s="1">
        <f>IF(U59 + AA58 &lt; 0, U59 + AA58, 0)</f>
        <v>0</v>
      </c>
      <c r="AB59" s="1">
        <f>IF(AA59 &lt; 0, 1 + AB58, 0)</f>
        <v>0</v>
      </c>
      <c r="AC59" s="1">
        <f>IF(H59&lt;0,1,0)</f>
        <v>0</v>
      </c>
      <c r="AD59" s="1">
        <f>IF(AC59=1,H59,0)</f>
        <v>0</v>
      </c>
      <c r="AE59" s="1">
        <f>IF(H59&gt;0,1,0)</f>
        <v>0</v>
      </c>
      <c r="AF59" s="1">
        <f>IF(AE59=1,H59,0)</f>
        <v>0</v>
      </c>
      <c r="AG59" s="1">
        <f>IF(AD59&lt;-20000000.0/100,1,0)</f>
        <v>0</v>
      </c>
      <c r="AH59" s="1">
        <f>IF(AF59&gt;20000000.0/100,1,0)</f>
        <v>0</v>
      </c>
      <c r="AI59" s="1">
        <f>IF(U59&lt;0,1,0)</f>
        <v>0</v>
      </c>
      <c r="AJ59" s="1">
        <f>IF(AI59=1,U59,0)</f>
        <v>0</v>
      </c>
      <c r="AK59" s="1">
        <f>IF(U59&gt;0,1,0)</f>
        <v>0</v>
      </c>
      <c r="AL59" s="1">
        <f>IF(AK59=1,U59,0)</f>
        <v>0</v>
      </c>
      <c r="AM59" s="1">
        <f>IF(AJ59&lt;-20000000.0/100,1,0)</f>
        <v>0</v>
      </c>
      <c r="AN59" s="1">
        <f>IF(AL59&gt;20000000.0/100,1,0)</f>
        <v>0</v>
      </c>
    </row>
    <row r="60" spans="1:40" s="1" customFormat="1">
      <c r="A60" s="3">
        <v>45377</v>
      </c>
      <c r="B60" s="2" t="s">
        <v>23</v>
      </c>
      <c r="C60" s="1">
        <f>SUM(PL!H60:J60)</f>
        <v>0</v>
      </c>
      <c r="D60" s="1">
        <f>SUM(PL!K60:M60)</f>
        <v>0</v>
      </c>
      <c r="E60" s="1">
        <f>SUM(PL!N60:P60)</f>
        <v>0</v>
      </c>
      <c r="F60" s="1">
        <f>SUM(PL!Q60:S60)</f>
        <v>0</v>
      </c>
      <c r="G60" s="1">
        <f>SUM(PL!T60:V60)</f>
        <v>0</v>
      </c>
      <c r="H60" s="1">
        <f>SUM(C60:G60)</f>
        <v>0</v>
      </c>
      <c r="I60" s="1">
        <f>IF(C60 + I59 &lt; 0, C60 + I59, 0)</f>
        <v>0</v>
      </c>
      <c r="J60" s="1">
        <f>IF(D60 + J59 &lt; 0, D60 + J59, 0)</f>
        <v>0</v>
      </c>
      <c r="K60" s="1">
        <f>IF(E60 + K59 &lt; 0, E60 + K59, 0)</f>
        <v>0</v>
      </c>
      <c r="L60" s="1">
        <f>IF(F60 + L59 &lt; 0, F60 + L59, 0)</f>
        <v>0</v>
      </c>
      <c r="M60" s="1">
        <f>IF(G60 + M59 &lt; 0, G60 + M59, 0)</f>
        <v>0</v>
      </c>
      <c r="N60" s="1">
        <f>IF(H60 + N59 &lt; 0, H60 + N59, 0)</f>
        <v>0</v>
      </c>
      <c r="O60" s="1">
        <f>IF(N60 &lt; 0, 1 + O59, 0)</f>
        <v>0</v>
      </c>
      <c r="P60" s="1">
        <f>C60-((ABS(SUM(PL!H60:J60)))*0.125)</f>
        <v>0</v>
      </c>
      <c r="Q60" s="1">
        <f>D60-((ABS(SUM(PL!K60:M60)))*0.125)</f>
        <v>0</v>
      </c>
      <c r="R60" s="1">
        <f>E60-((ABS(SUM(PL!N60:P60)))*0.125)</f>
        <v>0</v>
      </c>
      <c r="S60" s="1">
        <f>F60-((ABS(SUM(PL!Q60:S60)))*0.125)</f>
        <v>0</v>
      </c>
      <c r="T60" s="1">
        <f>G60-((ABS(SUM(PL!T60:V60)))*0.125)</f>
        <v>0</v>
      </c>
      <c r="U60" s="1">
        <f>P60 + Q60 + R60 + S60 + T60</f>
        <v>0</v>
      </c>
      <c r="V60" s="1">
        <f>IF(P60 + V59 &lt; 0, P60 + V59, 0)</f>
        <v>0</v>
      </c>
      <c r="W60" s="1">
        <f>IF(Q60 + W59 &lt; 0, Q60 + W59, 0)</f>
        <v>0</v>
      </c>
      <c r="X60" s="1">
        <f>IF(R60 + X59 &lt; 0, R60 + X59, 0)</f>
        <v>0</v>
      </c>
      <c r="Y60" s="1">
        <f>IF(S60 + Y59 &lt; 0, S60 + Y59, 0)</f>
        <v>0</v>
      </c>
      <c r="Z60" s="1">
        <f>IF(T60 + Z59 &lt; 0, T60 + Z59, 0)</f>
        <v>0</v>
      </c>
      <c r="AA60" s="1">
        <f>IF(U60 + AA59 &lt; 0, U60 + AA59, 0)</f>
        <v>0</v>
      </c>
      <c r="AB60" s="1">
        <f>IF(AA60 &lt; 0, 1 + AB59, 0)</f>
        <v>0</v>
      </c>
      <c r="AC60" s="1">
        <f>IF(H60&lt;0,1,0)</f>
        <v>0</v>
      </c>
      <c r="AD60" s="1">
        <f>IF(AC60=1,H60,0)</f>
        <v>0</v>
      </c>
      <c r="AE60" s="1">
        <f>IF(H60&gt;0,1,0)</f>
        <v>0</v>
      </c>
      <c r="AF60" s="1">
        <f>IF(AE60=1,H60,0)</f>
        <v>0</v>
      </c>
      <c r="AG60" s="1">
        <f>IF(AD60&lt;-20000000.0/100,1,0)</f>
        <v>0</v>
      </c>
      <c r="AH60" s="1">
        <f>IF(AF60&gt;20000000.0/100,1,0)</f>
        <v>0</v>
      </c>
      <c r="AI60" s="1">
        <f>IF(U60&lt;0,1,0)</f>
        <v>0</v>
      </c>
      <c r="AJ60" s="1">
        <f>IF(AI60=1,U60,0)</f>
        <v>0</v>
      </c>
      <c r="AK60" s="1">
        <f>IF(U60&gt;0,1,0)</f>
        <v>0</v>
      </c>
      <c r="AL60" s="1">
        <f>IF(AK60=1,U60,0)</f>
        <v>0</v>
      </c>
      <c r="AM60" s="1">
        <f>IF(AJ60&lt;-20000000.0/100,1,0)</f>
        <v>0</v>
      </c>
      <c r="AN60" s="1">
        <f>IF(AL60&gt;20000000.0/100,1,0)</f>
        <v>0</v>
      </c>
    </row>
    <row r="61" spans="1:40" s="1" customFormat="1">
      <c r="A61" s="3">
        <v>45378</v>
      </c>
      <c r="B61" s="2" t="s">
        <v>24</v>
      </c>
      <c r="C61" s="1">
        <f>SUM(PL!H61:J61)</f>
        <v>0</v>
      </c>
      <c r="D61" s="1">
        <f>SUM(PL!K61:M61)</f>
        <v>0</v>
      </c>
      <c r="E61" s="1">
        <f>SUM(PL!N61:P61)</f>
        <v>0</v>
      </c>
      <c r="F61" s="1">
        <f>SUM(PL!Q61:S61)</f>
        <v>0</v>
      </c>
      <c r="G61" s="1">
        <f>SUM(PL!T61:V61)</f>
        <v>0</v>
      </c>
      <c r="H61" s="1">
        <f>SUM(C61:G61)</f>
        <v>0</v>
      </c>
      <c r="I61" s="1">
        <f>IF(C61 + I60 &lt; 0, C61 + I60, 0)</f>
        <v>0</v>
      </c>
      <c r="J61" s="1">
        <f>IF(D61 + J60 &lt; 0, D61 + J60, 0)</f>
        <v>0</v>
      </c>
      <c r="K61" s="1">
        <f>IF(E61 + K60 &lt; 0, E61 + K60, 0)</f>
        <v>0</v>
      </c>
      <c r="L61" s="1">
        <f>IF(F61 + L60 &lt; 0, F61 + L60, 0)</f>
        <v>0</v>
      </c>
      <c r="M61" s="1">
        <f>IF(G61 + M60 &lt; 0, G61 + M60, 0)</f>
        <v>0</v>
      </c>
      <c r="N61" s="1">
        <f>IF(H61 + N60 &lt; 0, H61 + N60, 0)</f>
        <v>0</v>
      </c>
      <c r="O61" s="1">
        <f>IF(N61 &lt; 0, 1 + O60, 0)</f>
        <v>0</v>
      </c>
      <c r="P61" s="1">
        <f>C61-((ABS(SUM(PL!H61:J61)))*0.125)</f>
        <v>0</v>
      </c>
      <c r="Q61" s="1">
        <f>D61-((ABS(SUM(PL!K61:M61)))*0.125)</f>
        <v>0</v>
      </c>
      <c r="R61" s="1">
        <f>E61-((ABS(SUM(PL!N61:P61)))*0.125)</f>
        <v>0</v>
      </c>
      <c r="S61" s="1">
        <f>F61-((ABS(SUM(PL!Q61:S61)))*0.125)</f>
        <v>0</v>
      </c>
      <c r="T61" s="1">
        <f>G61-((ABS(SUM(PL!T61:V61)))*0.125)</f>
        <v>0</v>
      </c>
      <c r="U61" s="1">
        <f>P61 + Q61 + R61 + S61 + T61</f>
        <v>0</v>
      </c>
      <c r="V61" s="1">
        <f>IF(P61 + V60 &lt; 0, P61 + V60, 0)</f>
        <v>0</v>
      </c>
      <c r="W61" s="1">
        <f>IF(Q61 + W60 &lt; 0, Q61 + W60, 0)</f>
        <v>0</v>
      </c>
      <c r="X61" s="1">
        <f>IF(R61 + X60 &lt; 0, R61 + X60, 0)</f>
        <v>0</v>
      </c>
      <c r="Y61" s="1">
        <f>IF(S61 + Y60 &lt; 0, S61 + Y60, 0)</f>
        <v>0</v>
      </c>
      <c r="Z61" s="1">
        <f>IF(T61 + Z60 &lt; 0, T61 + Z60, 0)</f>
        <v>0</v>
      </c>
      <c r="AA61" s="1">
        <f>IF(U61 + AA60 &lt; 0, U61 + AA60, 0)</f>
        <v>0</v>
      </c>
      <c r="AB61" s="1">
        <f>IF(AA61 &lt; 0, 1 + AB60, 0)</f>
        <v>0</v>
      </c>
      <c r="AC61" s="1">
        <f>IF(H61&lt;0,1,0)</f>
        <v>0</v>
      </c>
      <c r="AD61" s="1">
        <f>IF(AC61=1,H61,0)</f>
        <v>0</v>
      </c>
      <c r="AE61" s="1">
        <f>IF(H61&gt;0,1,0)</f>
        <v>0</v>
      </c>
      <c r="AF61" s="1">
        <f>IF(AE61=1,H61,0)</f>
        <v>0</v>
      </c>
      <c r="AG61" s="1">
        <f>IF(AD61&lt;-20000000.0/100,1,0)</f>
        <v>0</v>
      </c>
      <c r="AH61" s="1">
        <f>IF(AF61&gt;20000000.0/100,1,0)</f>
        <v>0</v>
      </c>
      <c r="AI61" s="1">
        <f>IF(U61&lt;0,1,0)</f>
        <v>0</v>
      </c>
      <c r="AJ61" s="1">
        <f>IF(AI61=1,U61,0)</f>
        <v>0</v>
      </c>
      <c r="AK61" s="1">
        <f>IF(U61&gt;0,1,0)</f>
        <v>0</v>
      </c>
      <c r="AL61" s="1">
        <f>IF(AK61=1,U61,0)</f>
        <v>0</v>
      </c>
      <c r="AM61" s="1">
        <f>IF(AJ61&lt;-20000000.0/100,1,0)</f>
        <v>0</v>
      </c>
      <c r="AN61" s="1">
        <f>IF(AL61&gt;20000000.0/100,1,0)</f>
        <v>0</v>
      </c>
    </row>
    <row r="62" spans="1:40" s="1" customFormat="1">
      <c r="A62" s="3">
        <v>45379</v>
      </c>
      <c r="B62" s="2" t="s">
        <v>25</v>
      </c>
      <c r="C62" s="1">
        <f>SUM(PL!H62:J62)</f>
        <v>0</v>
      </c>
      <c r="D62" s="1">
        <f>SUM(PL!K62:M62)</f>
        <v>0</v>
      </c>
      <c r="E62" s="1">
        <f>SUM(PL!N62:P62)</f>
        <v>0</v>
      </c>
      <c r="F62" s="1">
        <f>SUM(PL!Q62:S62)</f>
        <v>0</v>
      </c>
      <c r="G62" s="1">
        <f>SUM(PL!T62:V62)</f>
        <v>0</v>
      </c>
      <c r="H62" s="1">
        <f>SUM(C62:G62)</f>
        <v>0</v>
      </c>
      <c r="I62" s="1">
        <f>IF(C62 + I61 &lt; 0, C62 + I61, 0)</f>
        <v>0</v>
      </c>
      <c r="J62" s="1">
        <f>IF(D62 + J61 &lt; 0, D62 + J61, 0)</f>
        <v>0</v>
      </c>
      <c r="K62" s="1">
        <f>IF(E62 + K61 &lt; 0, E62 + K61, 0)</f>
        <v>0</v>
      </c>
      <c r="L62" s="1">
        <f>IF(F62 + L61 &lt; 0, F62 + L61, 0)</f>
        <v>0</v>
      </c>
      <c r="M62" s="1">
        <f>IF(G62 + M61 &lt; 0, G62 + M61, 0)</f>
        <v>0</v>
      </c>
      <c r="N62" s="1">
        <f>IF(H62 + N61 &lt; 0, H62 + N61, 0)</f>
        <v>0</v>
      </c>
      <c r="O62" s="1">
        <f>IF(N62 &lt; 0, 1 + O61, 0)</f>
        <v>0</v>
      </c>
      <c r="P62" s="1">
        <f>C62-((ABS(SUM(PL!H62:J62)))*0.125)</f>
        <v>0</v>
      </c>
      <c r="Q62" s="1">
        <f>D62-((ABS(SUM(PL!K62:M62)))*0.125)</f>
        <v>0</v>
      </c>
      <c r="R62" s="1">
        <f>E62-((ABS(SUM(PL!N62:P62)))*0.125)</f>
        <v>0</v>
      </c>
      <c r="S62" s="1">
        <f>F62-((ABS(SUM(PL!Q62:S62)))*0.125)</f>
        <v>0</v>
      </c>
      <c r="T62" s="1">
        <f>G62-((ABS(SUM(PL!T62:V62)))*0.125)</f>
        <v>0</v>
      </c>
      <c r="U62" s="1">
        <f>P62 + Q62 + R62 + S62 + T62</f>
        <v>0</v>
      </c>
      <c r="V62" s="1">
        <f>IF(P62 + V61 &lt; 0, P62 + V61, 0)</f>
        <v>0</v>
      </c>
      <c r="W62" s="1">
        <f>IF(Q62 + W61 &lt; 0, Q62 + W61, 0)</f>
        <v>0</v>
      </c>
      <c r="X62" s="1">
        <f>IF(R62 + X61 &lt; 0, R62 + X61, 0)</f>
        <v>0</v>
      </c>
      <c r="Y62" s="1">
        <f>IF(S62 + Y61 &lt; 0, S62 + Y61, 0)</f>
        <v>0</v>
      </c>
      <c r="Z62" s="1">
        <f>IF(T62 + Z61 &lt; 0, T62 + Z61, 0)</f>
        <v>0</v>
      </c>
      <c r="AA62" s="1">
        <f>IF(U62 + AA61 &lt; 0, U62 + AA61, 0)</f>
        <v>0</v>
      </c>
      <c r="AB62" s="1">
        <f>IF(AA62 &lt; 0, 1 + AB61, 0)</f>
        <v>0</v>
      </c>
      <c r="AC62" s="1">
        <f>IF(H62&lt;0,1,0)</f>
        <v>0</v>
      </c>
      <c r="AD62" s="1">
        <f>IF(AC62=1,H62,0)</f>
        <v>0</v>
      </c>
      <c r="AE62" s="1">
        <f>IF(H62&gt;0,1,0)</f>
        <v>0</v>
      </c>
      <c r="AF62" s="1">
        <f>IF(AE62=1,H62,0)</f>
        <v>0</v>
      </c>
      <c r="AG62" s="1">
        <f>IF(AD62&lt;-20000000.0/100,1,0)</f>
        <v>0</v>
      </c>
      <c r="AH62" s="1">
        <f>IF(AF62&gt;20000000.0/100,1,0)</f>
        <v>0</v>
      </c>
      <c r="AI62" s="1">
        <f>IF(U62&lt;0,1,0)</f>
        <v>0</v>
      </c>
      <c r="AJ62" s="1">
        <f>IF(AI62=1,U62,0)</f>
        <v>0</v>
      </c>
      <c r="AK62" s="1">
        <f>IF(U62&gt;0,1,0)</f>
        <v>0</v>
      </c>
      <c r="AL62" s="1">
        <f>IF(AK62=1,U62,0)</f>
        <v>0</v>
      </c>
      <c r="AM62" s="1">
        <f>IF(AJ62&lt;-20000000.0/100,1,0)</f>
        <v>0</v>
      </c>
      <c r="AN62" s="1">
        <f>IF(AL62&gt;20000000.0/100,1,0)</f>
        <v>0</v>
      </c>
    </row>
    <row r="63" spans="1:40" s="1" customFormat="1">
      <c r="A63" s="3">
        <v>45383</v>
      </c>
      <c r="B63" s="2" t="s">
        <v>22</v>
      </c>
      <c r="C63" s="1">
        <f>SUM(PL!H63:J63)</f>
        <v>0</v>
      </c>
      <c r="D63" s="1">
        <f>SUM(PL!K63:M63)</f>
        <v>0</v>
      </c>
      <c r="E63" s="1">
        <f>SUM(PL!N63:P63)</f>
        <v>0</v>
      </c>
      <c r="F63" s="1">
        <f>SUM(PL!Q63:S63)</f>
        <v>0</v>
      </c>
      <c r="G63" s="1">
        <f>SUM(PL!T63:V63)</f>
        <v>0</v>
      </c>
      <c r="H63" s="1">
        <f>SUM(C63:G63)</f>
        <v>0</v>
      </c>
      <c r="I63" s="1">
        <f>IF(C63 + I62 &lt; 0, C63 + I62, 0)</f>
        <v>0</v>
      </c>
      <c r="J63" s="1">
        <f>IF(D63 + J62 &lt; 0, D63 + J62, 0)</f>
        <v>0</v>
      </c>
      <c r="K63" s="1">
        <f>IF(E63 + K62 &lt; 0, E63 + K62, 0)</f>
        <v>0</v>
      </c>
      <c r="L63" s="1">
        <f>IF(F63 + L62 &lt; 0, F63 + L62, 0)</f>
        <v>0</v>
      </c>
      <c r="M63" s="1">
        <f>IF(G63 + M62 &lt; 0, G63 + M62, 0)</f>
        <v>0</v>
      </c>
      <c r="N63" s="1">
        <f>IF(H63 + N62 &lt; 0, H63 + N62, 0)</f>
        <v>0</v>
      </c>
      <c r="O63" s="1">
        <f>IF(N63 &lt; 0, 1 + O62, 0)</f>
        <v>0</v>
      </c>
      <c r="P63" s="1">
        <f>C63-((ABS(SUM(PL!H63:J63)))*0.125)</f>
        <v>0</v>
      </c>
      <c r="Q63" s="1">
        <f>D63-((ABS(SUM(PL!K63:M63)))*0.125)</f>
        <v>0</v>
      </c>
      <c r="R63" s="1">
        <f>E63-((ABS(SUM(PL!N63:P63)))*0.125)</f>
        <v>0</v>
      </c>
      <c r="S63" s="1">
        <f>F63-((ABS(SUM(PL!Q63:S63)))*0.125)</f>
        <v>0</v>
      </c>
      <c r="T63" s="1">
        <f>G63-((ABS(SUM(PL!T63:V63)))*0.125)</f>
        <v>0</v>
      </c>
      <c r="U63" s="1">
        <f>P63 + Q63 + R63 + S63 + T63</f>
        <v>0</v>
      </c>
      <c r="V63" s="1">
        <f>IF(P63 + V62 &lt; 0, P63 + V62, 0)</f>
        <v>0</v>
      </c>
      <c r="W63" s="1">
        <f>IF(Q63 + W62 &lt; 0, Q63 + W62, 0)</f>
        <v>0</v>
      </c>
      <c r="X63" s="1">
        <f>IF(R63 + X62 &lt; 0, R63 + X62, 0)</f>
        <v>0</v>
      </c>
      <c r="Y63" s="1">
        <f>IF(S63 + Y62 &lt; 0, S63 + Y62, 0)</f>
        <v>0</v>
      </c>
      <c r="Z63" s="1">
        <f>IF(T63 + Z62 &lt; 0, T63 + Z62, 0)</f>
        <v>0</v>
      </c>
      <c r="AA63" s="1">
        <f>IF(U63 + AA62 &lt; 0, U63 + AA62, 0)</f>
        <v>0</v>
      </c>
      <c r="AB63" s="1">
        <f>IF(AA63 &lt; 0, 1 + AB62, 0)</f>
        <v>0</v>
      </c>
      <c r="AC63" s="1">
        <f>IF(H63&lt;0,1,0)</f>
        <v>0</v>
      </c>
      <c r="AD63" s="1">
        <f>IF(AC63=1,H63,0)</f>
        <v>0</v>
      </c>
      <c r="AE63" s="1">
        <f>IF(H63&gt;0,1,0)</f>
        <v>0</v>
      </c>
      <c r="AF63" s="1">
        <f>IF(AE63=1,H63,0)</f>
        <v>0</v>
      </c>
      <c r="AG63" s="1">
        <f>IF(AD63&lt;-20000000.0/100,1,0)</f>
        <v>0</v>
      </c>
      <c r="AH63" s="1">
        <f>IF(AF63&gt;20000000.0/100,1,0)</f>
        <v>0</v>
      </c>
      <c r="AI63" s="1">
        <f>IF(U63&lt;0,1,0)</f>
        <v>0</v>
      </c>
      <c r="AJ63" s="1">
        <f>IF(AI63=1,U63,0)</f>
        <v>0</v>
      </c>
      <c r="AK63" s="1">
        <f>IF(U63&gt;0,1,0)</f>
        <v>0</v>
      </c>
      <c r="AL63" s="1">
        <f>IF(AK63=1,U63,0)</f>
        <v>0</v>
      </c>
      <c r="AM63" s="1">
        <f>IF(AJ63&lt;-20000000.0/100,1,0)</f>
        <v>0</v>
      </c>
      <c r="AN63" s="1">
        <f>IF(AL63&gt;20000000.0/100,1,0)</f>
        <v>0</v>
      </c>
    </row>
    <row r="64" spans="1:40" s="1" customFormat="1">
      <c r="A64" s="3">
        <v>45384</v>
      </c>
      <c r="B64" s="2" t="s">
        <v>23</v>
      </c>
      <c r="C64" s="1">
        <f>SUM(PL!H64:J64)</f>
        <v>0</v>
      </c>
      <c r="D64" s="1">
        <f>SUM(PL!K64:M64)</f>
        <v>0</v>
      </c>
      <c r="E64" s="1">
        <f>SUM(PL!N64:P64)</f>
        <v>0</v>
      </c>
      <c r="F64" s="1">
        <f>SUM(PL!Q64:S64)</f>
        <v>0</v>
      </c>
      <c r="G64" s="1">
        <f>SUM(PL!T64:V64)</f>
        <v>0</v>
      </c>
      <c r="H64" s="1">
        <f>SUM(C64:G64)</f>
        <v>0</v>
      </c>
      <c r="I64" s="1">
        <f>IF(C64 + I63 &lt; 0, C64 + I63, 0)</f>
        <v>0</v>
      </c>
      <c r="J64" s="1">
        <f>IF(D64 + J63 &lt; 0, D64 + J63, 0)</f>
        <v>0</v>
      </c>
      <c r="K64" s="1">
        <f>IF(E64 + K63 &lt; 0, E64 + K63, 0)</f>
        <v>0</v>
      </c>
      <c r="L64" s="1">
        <f>IF(F64 + L63 &lt; 0, F64 + L63, 0)</f>
        <v>0</v>
      </c>
      <c r="M64" s="1">
        <f>IF(G64 + M63 &lt; 0, G64 + M63, 0)</f>
        <v>0</v>
      </c>
      <c r="N64" s="1">
        <f>IF(H64 + N63 &lt; 0, H64 + N63, 0)</f>
        <v>0</v>
      </c>
      <c r="O64" s="1">
        <f>IF(N64 &lt; 0, 1 + O63, 0)</f>
        <v>0</v>
      </c>
      <c r="P64" s="1">
        <f>C64-((ABS(SUM(PL!H64:J64)))*0.125)</f>
        <v>0</v>
      </c>
      <c r="Q64" s="1">
        <f>D64-((ABS(SUM(PL!K64:M64)))*0.125)</f>
        <v>0</v>
      </c>
      <c r="R64" s="1">
        <f>E64-((ABS(SUM(PL!N64:P64)))*0.125)</f>
        <v>0</v>
      </c>
      <c r="S64" s="1">
        <f>F64-((ABS(SUM(PL!Q64:S64)))*0.125)</f>
        <v>0</v>
      </c>
      <c r="T64" s="1">
        <f>G64-((ABS(SUM(PL!T64:V64)))*0.125)</f>
        <v>0</v>
      </c>
      <c r="U64" s="1">
        <f>P64 + Q64 + R64 + S64 + T64</f>
        <v>0</v>
      </c>
      <c r="V64" s="1">
        <f>IF(P64 + V63 &lt; 0, P64 + V63, 0)</f>
        <v>0</v>
      </c>
      <c r="W64" s="1">
        <f>IF(Q64 + W63 &lt; 0, Q64 + W63, 0)</f>
        <v>0</v>
      </c>
      <c r="X64" s="1">
        <f>IF(R64 + X63 &lt; 0, R64 + X63, 0)</f>
        <v>0</v>
      </c>
      <c r="Y64" s="1">
        <f>IF(S64 + Y63 &lt; 0, S64 + Y63, 0)</f>
        <v>0</v>
      </c>
      <c r="Z64" s="1">
        <f>IF(T64 + Z63 &lt; 0, T64 + Z63, 0)</f>
        <v>0</v>
      </c>
      <c r="AA64" s="1">
        <f>IF(U64 + AA63 &lt; 0, U64 + AA63, 0)</f>
        <v>0</v>
      </c>
      <c r="AB64" s="1">
        <f>IF(AA64 &lt; 0, 1 + AB63, 0)</f>
        <v>0</v>
      </c>
      <c r="AC64" s="1">
        <f>IF(H64&lt;0,1,0)</f>
        <v>0</v>
      </c>
      <c r="AD64" s="1">
        <f>IF(AC64=1,H64,0)</f>
        <v>0</v>
      </c>
      <c r="AE64" s="1">
        <f>IF(H64&gt;0,1,0)</f>
        <v>0</v>
      </c>
      <c r="AF64" s="1">
        <f>IF(AE64=1,H64,0)</f>
        <v>0</v>
      </c>
      <c r="AG64" s="1">
        <f>IF(AD64&lt;-20000000.0/100,1,0)</f>
        <v>0</v>
      </c>
      <c r="AH64" s="1">
        <f>IF(AF64&gt;20000000.0/100,1,0)</f>
        <v>0</v>
      </c>
      <c r="AI64" s="1">
        <f>IF(U64&lt;0,1,0)</f>
        <v>0</v>
      </c>
      <c r="AJ64" s="1">
        <f>IF(AI64=1,U64,0)</f>
        <v>0</v>
      </c>
      <c r="AK64" s="1">
        <f>IF(U64&gt;0,1,0)</f>
        <v>0</v>
      </c>
      <c r="AL64" s="1">
        <f>IF(AK64=1,U64,0)</f>
        <v>0</v>
      </c>
      <c r="AM64" s="1">
        <f>IF(AJ64&lt;-20000000.0/100,1,0)</f>
        <v>0</v>
      </c>
      <c r="AN64" s="1">
        <f>IF(AL64&gt;20000000.0/100,1,0)</f>
        <v>0</v>
      </c>
    </row>
    <row r="65" spans="1:40" s="1" customFormat="1">
      <c r="A65" s="3">
        <v>45385</v>
      </c>
      <c r="B65" s="2" t="s">
        <v>24</v>
      </c>
      <c r="C65" s="1">
        <f>SUM(PL!H65:J65)</f>
        <v>0</v>
      </c>
      <c r="D65" s="1">
        <f>SUM(PL!K65:M65)</f>
        <v>0</v>
      </c>
      <c r="E65" s="1">
        <f>SUM(PL!N65:P65)</f>
        <v>0</v>
      </c>
      <c r="F65" s="1">
        <f>SUM(PL!Q65:S65)</f>
        <v>0</v>
      </c>
      <c r="G65" s="1">
        <f>SUM(PL!T65:V65)</f>
        <v>0</v>
      </c>
      <c r="H65" s="1">
        <f>SUM(C65:G65)</f>
        <v>0</v>
      </c>
      <c r="I65" s="1">
        <f>IF(C65 + I64 &lt; 0, C65 + I64, 0)</f>
        <v>0</v>
      </c>
      <c r="J65" s="1">
        <f>IF(D65 + J64 &lt; 0, D65 + J64, 0)</f>
        <v>0</v>
      </c>
      <c r="K65" s="1">
        <f>IF(E65 + K64 &lt; 0, E65 + K64, 0)</f>
        <v>0</v>
      </c>
      <c r="L65" s="1">
        <f>IF(F65 + L64 &lt; 0, F65 + L64, 0)</f>
        <v>0</v>
      </c>
      <c r="M65" s="1">
        <f>IF(G65 + M64 &lt; 0, G65 + M64, 0)</f>
        <v>0</v>
      </c>
      <c r="N65" s="1">
        <f>IF(H65 + N64 &lt; 0, H65 + N64, 0)</f>
        <v>0</v>
      </c>
      <c r="O65" s="1">
        <f>IF(N65 &lt; 0, 1 + O64, 0)</f>
        <v>0</v>
      </c>
      <c r="P65" s="1">
        <f>C65-((ABS(SUM(PL!H65:J65)))*0.125)</f>
        <v>0</v>
      </c>
      <c r="Q65" s="1">
        <f>D65-((ABS(SUM(PL!K65:M65)))*0.125)</f>
        <v>0</v>
      </c>
      <c r="R65" s="1">
        <f>E65-((ABS(SUM(PL!N65:P65)))*0.125)</f>
        <v>0</v>
      </c>
      <c r="S65" s="1">
        <f>F65-((ABS(SUM(PL!Q65:S65)))*0.125)</f>
        <v>0</v>
      </c>
      <c r="T65" s="1">
        <f>G65-((ABS(SUM(PL!T65:V65)))*0.125)</f>
        <v>0</v>
      </c>
      <c r="U65" s="1">
        <f>P65 + Q65 + R65 + S65 + T65</f>
        <v>0</v>
      </c>
      <c r="V65" s="1">
        <f>IF(P65 + V64 &lt; 0, P65 + V64, 0)</f>
        <v>0</v>
      </c>
      <c r="W65" s="1">
        <f>IF(Q65 + W64 &lt; 0, Q65 + W64, 0)</f>
        <v>0</v>
      </c>
      <c r="X65" s="1">
        <f>IF(R65 + X64 &lt; 0, R65 + X64, 0)</f>
        <v>0</v>
      </c>
      <c r="Y65" s="1">
        <f>IF(S65 + Y64 &lt; 0, S65 + Y64, 0)</f>
        <v>0</v>
      </c>
      <c r="Z65" s="1">
        <f>IF(T65 + Z64 &lt; 0, T65 + Z64, 0)</f>
        <v>0</v>
      </c>
      <c r="AA65" s="1">
        <f>IF(U65 + AA64 &lt; 0, U65 + AA64, 0)</f>
        <v>0</v>
      </c>
      <c r="AB65" s="1">
        <f>IF(AA65 &lt; 0, 1 + AB64, 0)</f>
        <v>0</v>
      </c>
      <c r="AC65" s="1">
        <f>IF(H65&lt;0,1,0)</f>
        <v>0</v>
      </c>
      <c r="AD65" s="1">
        <f>IF(AC65=1,H65,0)</f>
        <v>0</v>
      </c>
      <c r="AE65" s="1">
        <f>IF(H65&gt;0,1,0)</f>
        <v>0</v>
      </c>
      <c r="AF65" s="1">
        <f>IF(AE65=1,H65,0)</f>
        <v>0</v>
      </c>
      <c r="AG65" s="1">
        <f>IF(AD65&lt;-20000000.0/100,1,0)</f>
        <v>0</v>
      </c>
      <c r="AH65" s="1">
        <f>IF(AF65&gt;20000000.0/100,1,0)</f>
        <v>0</v>
      </c>
      <c r="AI65" s="1">
        <f>IF(U65&lt;0,1,0)</f>
        <v>0</v>
      </c>
      <c r="AJ65" s="1">
        <f>IF(AI65=1,U65,0)</f>
        <v>0</v>
      </c>
      <c r="AK65" s="1">
        <f>IF(U65&gt;0,1,0)</f>
        <v>0</v>
      </c>
      <c r="AL65" s="1">
        <f>IF(AK65=1,U65,0)</f>
        <v>0</v>
      </c>
      <c r="AM65" s="1">
        <f>IF(AJ65&lt;-20000000.0/100,1,0)</f>
        <v>0</v>
      </c>
      <c r="AN65" s="1">
        <f>IF(AL65&gt;20000000.0/100,1,0)</f>
        <v>0</v>
      </c>
    </row>
    <row r="66" spans="1:40" s="1" customFormat="1">
      <c r="A66" s="3">
        <v>45386</v>
      </c>
      <c r="B66" s="2" t="s">
        <v>25</v>
      </c>
      <c r="C66" s="1">
        <f>SUM(PL!H66:J66)</f>
        <v>0</v>
      </c>
      <c r="D66" s="1">
        <f>SUM(PL!K66:M66)</f>
        <v>0</v>
      </c>
      <c r="E66" s="1">
        <f>SUM(PL!N66:P66)</f>
        <v>0</v>
      </c>
      <c r="F66" s="1">
        <f>SUM(PL!Q66:S66)</f>
        <v>0</v>
      </c>
      <c r="G66" s="1">
        <f>SUM(PL!T66:V66)</f>
        <v>0</v>
      </c>
      <c r="H66" s="1">
        <f>SUM(C66:G66)</f>
        <v>0</v>
      </c>
      <c r="I66" s="1">
        <f>IF(C66 + I65 &lt; 0, C66 + I65, 0)</f>
        <v>0</v>
      </c>
      <c r="J66" s="1">
        <f>IF(D66 + J65 &lt; 0, D66 + J65, 0)</f>
        <v>0</v>
      </c>
      <c r="K66" s="1">
        <f>IF(E66 + K65 &lt; 0, E66 + K65, 0)</f>
        <v>0</v>
      </c>
      <c r="L66" s="1">
        <f>IF(F66 + L65 &lt; 0, F66 + L65, 0)</f>
        <v>0</v>
      </c>
      <c r="M66" s="1">
        <f>IF(G66 + M65 &lt; 0, G66 + M65, 0)</f>
        <v>0</v>
      </c>
      <c r="N66" s="1">
        <f>IF(H66 + N65 &lt; 0, H66 + N65, 0)</f>
        <v>0</v>
      </c>
      <c r="O66" s="1">
        <f>IF(N66 &lt; 0, 1 + O65, 0)</f>
        <v>0</v>
      </c>
      <c r="P66" s="1">
        <f>C66-((ABS(SUM(PL!H66:J66)))*0.125)</f>
        <v>0</v>
      </c>
      <c r="Q66" s="1">
        <f>D66-((ABS(SUM(PL!K66:M66)))*0.125)</f>
        <v>0</v>
      </c>
      <c r="R66" s="1">
        <f>E66-((ABS(SUM(PL!N66:P66)))*0.125)</f>
        <v>0</v>
      </c>
      <c r="S66" s="1">
        <f>F66-((ABS(SUM(PL!Q66:S66)))*0.125)</f>
        <v>0</v>
      </c>
      <c r="T66" s="1">
        <f>G66-((ABS(SUM(PL!T66:V66)))*0.125)</f>
        <v>0</v>
      </c>
      <c r="U66" s="1">
        <f>P66 + Q66 + R66 + S66 + T66</f>
        <v>0</v>
      </c>
      <c r="V66" s="1">
        <f>IF(P66 + V65 &lt; 0, P66 + V65, 0)</f>
        <v>0</v>
      </c>
      <c r="W66" s="1">
        <f>IF(Q66 + W65 &lt; 0, Q66 + W65, 0)</f>
        <v>0</v>
      </c>
      <c r="X66" s="1">
        <f>IF(R66 + X65 &lt; 0, R66 + X65, 0)</f>
        <v>0</v>
      </c>
      <c r="Y66" s="1">
        <f>IF(S66 + Y65 &lt; 0, S66 + Y65, 0)</f>
        <v>0</v>
      </c>
      <c r="Z66" s="1">
        <f>IF(T66 + Z65 &lt; 0, T66 + Z65, 0)</f>
        <v>0</v>
      </c>
      <c r="AA66" s="1">
        <f>IF(U66 + AA65 &lt; 0, U66 + AA65, 0)</f>
        <v>0</v>
      </c>
      <c r="AB66" s="1">
        <f>IF(AA66 &lt; 0, 1 + AB65, 0)</f>
        <v>0</v>
      </c>
      <c r="AC66" s="1">
        <f>IF(H66&lt;0,1,0)</f>
        <v>0</v>
      </c>
      <c r="AD66" s="1">
        <f>IF(AC66=1,H66,0)</f>
        <v>0</v>
      </c>
      <c r="AE66" s="1">
        <f>IF(H66&gt;0,1,0)</f>
        <v>0</v>
      </c>
      <c r="AF66" s="1">
        <f>IF(AE66=1,H66,0)</f>
        <v>0</v>
      </c>
      <c r="AG66" s="1">
        <f>IF(AD66&lt;-20000000.0/100,1,0)</f>
        <v>0</v>
      </c>
      <c r="AH66" s="1">
        <f>IF(AF66&gt;20000000.0/100,1,0)</f>
        <v>0</v>
      </c>
      <c r="AI66" s="1">
        <f>IF(U66&lt;0,1,0)</f>
        <v>0</v>
      </c>
      <c r="AJ66" s="1">
        <f>IF(AI66=1,U66,0)</f>
        <v>0</v>
      </c>
      <c r="AK66" s="1">
        <f>IF(U66&gt;0,1,0)</f>
        <v>0</v>
      </c>
      <c r="AL66" s="1">
        <f>IF(AK66=1,U66,0)</f>
        <v>0</v>
      </c>
      <c r="AM66" s="1">
        <f>IF(AJ66&lt;-20000000.0/100,1,0)</f>
        <v>0</v>
      </c>
      <c r="AN66" s="1">
        <f>IF(AL66&gt;20000000.0/100,1,0)</f>
        <v>0</v>
      </c>
    </row>
    <row r="67" spans="1:40" s="1" customFormat="1">
      <c r="A67" s="3">
        <v>45387</v>
      </c>
      <c r="B67" s="2" t="s">
        <v>26</v>
      </c>
      <c r="C67" s="1">
        <f>SUM(PL!H67:J67)</f>
        <v>0</v>
      </c>
      <c r="D67" s="1">
        <f>SUM(PL!K67:M67)</f>
        <v>0</v>
      </c>
      <c r="E67" s="1">
        <f>SUM(PL!N67:P67)</f>
        <v>0</v>
      </c>
      <c r="F67" s="1">
        <f>SUM(PL!Q67:S67)</f>
        <v>0</v>
      </c>
      <c r="G67" s="1">
        <f>SUM(PL!T67:V67)</f>
        <v>0</v>
      </c>
      <c r="H67" s="1">
        <f>SUM(C67:G67)</f>
        <v>0</v>
      </c>
      <c r="I67" s="1">
        <f>IF(C67 + I66 &lt; 0, C67 + I66, 0)</f>
        <v>0</v>
      </c>
      <c r="J67" s="1">
        <f>IF(D67 + J66 &lt; 0, D67 + J66, 0)</f>
        <v>0</v>
      </c>
      <c r="K67" s="1">
        <f>IF(E67 + K66 &lt; 0, E67 + K66, 0)</f>
        <v>0</v>
      </c>
      <c r="L67" s="1">
        <f>IF(F67 + L66 &lt; 0, F67 + L66, 0)</f>
        <v>0</v>
      </c>
      <c r="M67" s="1">
        <f>IF(G67 + M66 &lt; 0, G67 + M66, 0)</f>
        <v>0</v>
      </c>
      <c r="N67" s="1">
        <f>IF(H67 + N66 &lt; 0, H67 + N66, 0)</f>
        <v>0</v>
      </c>
      <c r="O67" s="1">
        <f>IF(N67 &lt; 0, 1 + O66, 0)</f>
        <v>0</v>
      </c>
      <c r="P67" s="1">
        <f>C67-((ABS(SUM(PL!H67:J67)))*0.125)</f>
        <v>0</v>
      </c>
      <c r="Q67" s="1">
        <f>D67-((ABS(SUM(PL!K67:M67)))*0.125)</f>
        <v>0</v>
      </c>
      <c r="R67" s="1">
        <f>E67-((ABS(SUM(PL!N67:P67)))*0.125)</f>
        <v>0</v>
      </c>
      <c r="S67" s="1">
        <f>F67-((ABS(SUM(PL!Q67:S67)))*0.125)</f>
        <v>0</v>
      </c>
      <c r="T67" s="1">
        <f>G67-((ABS(SUM(PL!T67:V67)))*0.125)</f>
        <v>0</v>
      </c>
      <c r="U67" s="1">
        <f>P67 + Q67 + R67 + S67 + T67</f>
        <v>0</v>
      </c>
      <c r="V67" s="1">
        <f>IF(P67 + V66 &lt; 0, P67 + V66, 0)</f>
        <v>0</v>
      </c>
      <c r="W67" s="1">
        <f>IF(Q67 + W66 &lt; 0, Q67 + W66, 0)</f>
        <v>0</v>
      </c>
      <c r="X67" s="1">
        <f>IF(R67 + X66 &lt; 0, R67 + X66, 0)</f>
        <v>0</v>
      </c>
      <c r="Y67" s="1">
        <f>IF(S67 + Y66 &lt; 0, S67 + Y66, 0)</f>
        <v>0</v>
      </c>
      <c r="Z67" s="1">
        <f>IF(T67 + Z66 &lt; 0, T67 + Z66, 0)</f>
        <v>0</v>
      </c>
      <c r="AA67" s="1">
        <f>IF(U67 + AA66 &lt; 0, U67 + AA66, 0)</f>
        <v>0</v>
      </c>
      <c r="AB67" s="1">
        <f>IF(AA67 &lt; 0, 1 + AB66, 0)</f>
        <v>0</v>
      </c>
      <c r="AC67" s="1">
        <f>IF(H67&lt;0,1,0)</f>
        <v>0</v>
      </c>
      <c r="AD67" s="1">
        <f>IF(AC67=1,H67,0)</f>
        <v>0</v>
      </c>
      <c r="AE67" s="1">
        <f>IF(H67&gt;0,1,0)</f>
        <v>0</v>
      </c>
      <c r="AF67" s="1">
        <f>IF(AE67=1,H67,0)</f>
        <v>0</v>
      </c>
      <c r="AG67" s="1">
        <f>IF(AD67&lt;-20000000.0/100,1,0)</f>
        <v>0</v>
      </c>
      <c r="AH67" s="1">
        <f>IF(AF67&gt;20000000.0/100,1,0)</f>
        <v>0</v>
      </c>
      <c r="AI67" s="1">
        <f>IF(U67&lt;0,1,0)</f>
        <v>0</v>
      </c>
      <c r="AJ67" s="1">
        <f>IF(AI67=1,U67,0)</f>
        <v>0</v>
      </c>
      <c r="AK67" s="1">
        <f>IF(U67&gt;0,1,0)</f>
        <v>0</v>
      </c>
      <c r="AL67" s="1">
        <f>IF(AK67=1,U67,0)</f>
        <v>0</v>
      </c>
      <c r="AM67" s="1">
        <f>IF(AJ67&lt;-20000000.0/100,1,0)</f>
        <v>0</v>
      </c>
      <c r="AN67" s="1">
        <f>IF(AL67&gt;20000000.0/100,1,0)</f>
        <v>0</v>
      </c>
    </row>
    <row r="68" spans="1:40" s="1" customFormat="1">
      <c r="A68" s="3">
        <v>45390</v>
      </c>
      <c r="B68" s="2" t="s">
        <v>22</v>
      </c>
      <c r="C68" s="1">
        <f>SUM(PL!H68:J68)</f>
        <v>0</v>
      </c>
      <c r="D68" s="1">
        <f>SUM(PL!K68:M68)</f>
        <v>0</v>
      </c>
      <c r="E68" s="1">
        <f>SUM(PL!N68:P68)</f>
        <v>0</v>
      </c>
      <c r="F68" s="1">
        <f>SUM(PL!Q68:S68)</f>
        <v>0</v>
      </c>
      <c r="G68" s="1">
        <f>SUM(PL!T68:V68)</f>
        <v>0</v>
      </c>
      <c r="H68" s="1">
        <f>SUM(C68:G68)</f>
        <v>0</v>
      </c>
      <c r="I68" s="1">
        <f>IF(C68 + I67 &lt; 0, C68 + I67, 0)</f>
        <v>0</v>
      </c>
      <c r="J68" s="1">
        <f>IF(D68 + J67 &lt; 0, D68 + J67, 0)</f>
        <v>0</v>
      </c>
      <c r="K68" s="1">
        <f>IF(E68 + K67 &lt; 0, E68 + K67, 0)</f>
        <v>0</v>
      </c>
      <c r="L68" s="1">
        <f>IF(F68 + L67 &lt; 0, F68 + L67, 0)</f>
        <v>0</v>
      </c>
      <c r="M68" s="1">
        <f>IF(G68 + M67 &lt; 0, G68 + M67, 0)</f>
        <v>0</v>
      </c>
      <c r="N68" s="1">
        <f>IF(H68 + N67 &lt; 0, H68 + N67, 0)</f>
        <v>0</v>
      </c>
      <c r="O68" s="1">
        <f>IF(N68 &lt; 0, 1 + O67, 0)</f>
        <v>0</v>
      </c>
      <c r="P68" s="1">
        <f>C68-((ABS(SUM(PL!H68:J68)))*0.125)</f>
        <v>0</v>
      </c>
      <c r="Q68" s="1">
        <f>D68-((ABS(SUM(PL!K68:M68)))*0.125)</f>
        <v>0</v>
      </c>
      <c r="R68" s="1">
        <f>E68-((ABS(SUM(PL!N68:P68)))*0.125)</f>
        <v>0</v>
      </c>
      <c r="S68" s="1">
        <f>F68-((ABS(SUM(PL!Q68:S68)))*0.125)</f>
        <v>0</v>
      </c>
      <c r="T68" s="1">
        <f>G68-((ABS(SUM(PL!T68:V68)))*0.125)</f>
        <v>0</v>
      </c>
      <c r="U68" s="1">
        <f>P68 + Q68 + R68 + S68 + T68</f>
        <v>0</v>
      </c>
      <c r="V68" s="1">
        <f>IF(P68 + V67 &lt; 0, P68 + V67, 0)</f>
        <v>0</v>
      </c>
      <c r="W68" s="1">
        <f>IF(Q68 + W67 &lt; 0, Q68 + W67, 0)</f>
        <v>0</v>
      </c>
      <c r="X68" s="1">
        <f>IF(R68 + X67 &lt; 0, R68 + X67, 0)</f>
        <v>0</v>
      </c>
      <c r="Y68" s="1">
        <f>IF(S68 + Y67 &lt; 0, S68 + Y67, 0)</f>
        <v>0</v>
      </c>
      <c r="Z68" s="1">
        <f>IF(T68 + Z67 &lt; 0, T68 + Z67, 0)</f>
        <v>0</v>
      </c>
      <c r="AA68" s="1">
        <f>IF(U68 + AA67 &lt; 0, U68 + AA67, 0)</f>
        <v>0</v>
      </c>
      <c r="AB68" s="1">
        <f>IF(AA68 &lt; 0, 1 + AB67, 0)</f>
        <v>0</v>
      </c>
      <c r="AC68" s="1">
        <f>IF(H68&lt;0,1,0)</f>
        <v>0</v>
      </c>
      <c r="AD68" s="1">
        <f>IF(AC68=1,H68,0)</f>
        <v>0</v>
      </c>
      <c r="AE68" s="1">
        <f>IF(H68&gt;0,1,0)</f>
        <v>0</v>
      </c>
      <c r="AF68" s="1">
        <f>IF(AE68=1,H68,0)</f>
        <v>0</v>
      </c>
      <c r="AG68" s="1">
        <f>IF(AD68&lt;-20000000.0/100,1,0)</f>
        <v>0</v>
      </c>
      <c r="AH68" s="1">
        <f>IF(AF68&gt;20000000.0/100,1,0)</f>
        <v>0</v>
      </c>
      <c r="AI68" s="1">
        <f>IF(U68&lt;0,1,0)</f>
        <v>0</v>
      </c>
      <c r="AJ68" s="1">
        <f>IF(AI68=1,U68,0)</f>
        <v>0</v>
      </c>
      <c r="AK68" s="1">
        <f>IF(U68&gt;0,1,0)</f>
        <v>0</v>
      </c>
      <c r="AL68" s="1">
        <f>IF(AK68=1,U68,0)</f>
        <v>0</v>
      </c>
      <c r="AM68" s="1">
        <f>IF(AJ68&lt;-20000000.0/100,1,0)</f>
        <v>0</v>
      </c>
      <c r="AN68" s="1">
        <f>IF(AL68&gt;20000000.0/100,1,0)</f>
        <v>0</v>
      </c>
    </row>
    <row r="69" spans="1:40" s="1" customFormat="1">
      <c r="A69" s="3">
        <v>45391</v>
      </c>
      <c r="B69" s="2" t="s">
        <v>23</v>
      </c>
      <c r="C69" s="1">
        <f>SUM(PL!H69:J69)</f>
        <v>0</v>
      </c>
      <c r="D69" s="1">
        <f>SUM(PL!K69:M69)</f>
        <v>0</v>
      </c>
      <c r="E69" s="1">
        <f>SUM(PL!N69:P69)</f>
        <v>0</v>
      </c>
      <c r="F69" s="1">
        <f>SUM(PL!Q69:S69)</f>
        <v>0</v>
      </c>
      <c r="G69" s="1">
        <f>SUM(PL!T69:V69)</f>
        <v>0</v>
      </c>
      <c r="H69" s="1">
        <f>SUM(C69:G69)</f>
        <v>0</v>
      </c>
      <c r="I69" s="1">
        <f>IF(C69 + I68 &lt; 0, C69 + I68, 0)</f>
        <v>0</v>
      </c>
      <c r="J69" s="1">
        <f>IF(D69 + J68 &lt; 0, D69 + J68, 0)</f>
        <v>0</v>
      </c>
      <c r="K69" s="1">
        <f>IF(E69 + K68 &lt; 0, E69 + K68, 0)</f>
        <v>0</v>
      </c>
      <c r="L69" s="1">
        <f>IF(F69 + L68 &lt; 0, F69 + L68, 0)</f>
        <v>0</v>
      </c>
      <c r="M69" s="1">
        <f>IF(G69 + M68 &lt; 0, G69 + M68, 0)</f>
        <v>0</v>
      </c>
      <c r="N69" s="1">
        <f>IF(H69 + N68 &lt; 0, H69 + N68, 0)</f>
        <v>0</v>
      </c>
      <c r="O69" s="1">
        <f>IF(N69 &lt; 0, 1 + O68, 0)</f>
        <v>0</v>
      </c>
      <c r="P69" s="1">
        <f>C69-((ABS(SUM(PL!H69:J69)))*0.125)</f>
        <v>0</v>
      </c>
      <c r="Q69" s="1">
        <f>D69-((ABS(SUM(PL!K69:M69)))*0.125)</f>
        <v>0</v>
      </c>
      <c r="R69" s="1">
        <f>E69-((ABS(SUM(PL!N69:P69)))*0.125)</f>
        <v>0</v>
      </c>
      <c r="S69" s="1">
        <f>F69-((ABS(SUM(PL!Q69:S69)))*0.125)</f>
        <v>0</v>
      </c>
      <c r="T69" s="1">
        <f>G69-((ABS(SUM(PL!T69:V69)))*0.125)</f>
        <v>0</v>
      </c>
      <c r="U69" s="1">
        <f>P69 + Q69 + R69 + S69 + T69</f>
        <v>0</v>
      </c>
      <c r="V69" s="1">
        <f>IF(P69 + V68 &lt; 0, P69 + V68, 0)</f>
        <v>0</v>
      </c>
      <c r="W69" s="1">
        <f>IF(Q69 + W68 &lt; 0, Q69 + W68, 0)</f>
        <v>0</v>
      </c>
      <c r="X69" s="1">
        <f>IF(R69 + X68 &lt; 0, R69 + X68, 0)</f>
        <v>0</v>
      </c>
      <c r="Y69" s="1">
        <f>IF(S69 + Y68 &lt; 0, S69 + Y68, 0)</f>
        <v>0</v>
      </c>
      <c r="Z69" s="1">
        <f>IF(T69 + Z68 &lt; 0, T69 + Z68, 0)</f>
        <v>0</v>
      </c>
      <c r="AA69" s="1">
        <f>IF(U69 + AA68 &lt; 0, U69 + AA68, 0)</f>
        <v>0</v>
      </c>
      <c r="AB69" s="1">
        <f>IF(AA69 &lt; 0, 1 + AB68, 0)</f>
        <v>0</v>
      </c>
      <c r="AC69" s="1">
        <f>IF(H69&lt;0,1,0)</f>
        <v>0</v>
      </c>
      <c r="AD69" s="1">
        <f>IF(AC69=1,H69,0)</f>
        <v>0</v>
      </c>
      <c r="AE69" s="1">
        <f>IF(H69&gt;0,1,0)</f>
        <v>0</v>
      </c>
      <c r="AF69" s="1">
        <f>IF(AE69=1,H69,0)</f>
        <v>0</v>
      </c>
      <c r="AG69" s="1">
        <f>IF(AD69&lt;-20000000.0/100,1,0)</f>
        <v>0</v>
      </c>
      <c r="AH69" s="1">
        <f>IF(AF69&gt;20000000.0/100,1,0)</f>
        <v>0</v>
      </c>
      <c r="AI69" s="1">
        <f>IF(U69&lt;0,1,0)</f>
        <v>0</v>
      </c>
      <c r="AJ69" s="1">
        <f>IF(AI69=1,U69,0)</f>
        <v>0</v>
      </c>
      <c r="AK69" s="1">
        <f>IF(U69&gt;0,1,0)</f>
        <v>0</v>
      </c>
      <c r="AL69" s="1">
        <f>IF(AK69=1,U69,0)</f>
        <v>0</v>
      </c>
      <c r="AM69" s="1">
        <f>IF(AJ69&lt;-20000000.0/100,1,0)</f>
        <v>0</v>
      </c>
      <c r="AN69" s="1">
        <f>IF(AL69&gt;20000000.0/100,1,0)</f>
        <v>0</v>
      </c>
    </row>
    <row r="70" spans="1:40" s="1" customFormat="1">
      <c r="A70" s="3">
        <v>45392</v>
      </c>
      <c r="B70" s="2" t="s">
        <v>24</v>
      </c>
      <c r="C70" s="1">
        <f>SUM(PL!H70:J70)</f>
        <v>0</v>
      </c>
      <c r="D70" s="1">
        <f>SUM(PL!K70:M70)</f>
        <v>0</v>
      </c>
      <c r="E70" s="1">
        <f>SUM(PL!N70:P70)</f>
        <v>0</v>
      </c>
      <c r="F70" s="1">
        <f>SUM(PL!Q70:S70)</f>
        <v>0</v>
      </c>
      <c r="G70" s="1">
        <f>SUM(PL!T70:V70)</f>
        <v>0</v>
      </c>
      <c r="H70" s="1">
        <f>SUM(C70:G70)</f>
        <v>0</v>
      </c>
      <c r="I70" s="1">
        <f>IF(C70 + I69 &lt; 0, C70 + I69, 0)</f>
        <v>0</v>
      </c>
      <c r="J70" s="1">
        <f>IF(D70 + J69 &lt; 0, D70 + J69, 0)</f>
        <v>0</v>
      </c>
      <c r="K70" s="1">
        <f>IF(E70 + K69 &lt; 0, E70 + K69, 0)</f>
        <v>0</v>
      </c>
      <c r="L70" s="1">
        <f>IF(F70 + L69 &lt; 0, F70 + L69, 0)</f>
        <v>0</v>
      </c>
      <c r="M70" s="1">
        <f>IF(G70 + M69 &lt; 0, G70 + M69, 0)</f>
        <v>0</v>
      </c>
      <c r="N70" s="1">
        <f>IF(H70 + N69 &lt; 0, H70 + N69, 0)</f>
        <v>0</v>
      </c>
      <c r="O70" s="1">
        <f>IF(N70 &lt; 0, 1 + O69, 0)</f>
        <v>0</v>
      </c>
      <c r="P70" s="1">
        <f>C70-((ABS(SUM(PL!H70:J70)))*0.125)</f>
        <v>0</v>
      </c>
      <c r="Q70" s="1">
        <f>D70-((ABS(SUM(PL!K70:M70)))*0.125)</f>
        <v>0</v>
      </c>
      <c r="R70" s="1">
        <f>E70-((ABS(SUM(PL!N70:P70)))*0.125)</f>
        <v>0</v>
      </c>
      <c r="S70" s="1">
        <f>F70-((ABS(SUM(PL!Q70:S70)))*0.125)</f>
        <v>0</v>
      </c>
      <c r="T70" s="1">
        <f>G70-((ABS(SUM(PL!T70:V70)))*0.125)</f>
        <v>0</v>
      </c>
      <c r="U70" s="1">
        <f>P70 + Q70 + R70 + S70 + T70</f>
        <v>0</v>
      </c>
      <c r="V70" s="1">
        <f>IF(P70 + V69 &lt; 0, P70 + V69, 0)</f>
        <v>0</v>
      </c>
      <c r="W70" s="1">
        <f>IF(Q70 + W69 &lt; 0, Q70 + W69, 0)</f>
        <v>0</v>
      </c>
      <c r="X70" s="1">
        <f>IF(R70 + X69 &lt; 0, R70 + X69, 0)</f>
        <v>0</v>
      </c>
      <c r="Y70" s="1">
        <f>IF(S70 + Y69 &lt; 0, S70 + Y69, 0)</f>
        <v>0</v>
      </c>
      <c r="Z70" s="1">
        <f>IF(T70 + Z69 &lt; 0, T70 + Z69, 0)</f>
        <v>0</v>
      </c>
      <c r="AA70" s="1">
        <f>IF(U70 + AA69 &lt; 0, U70 + AA69, 0)</f>
        <v>0</v>
      </c>
      <c r="AB70" s="1">
        <f>IF(AA70 &lt; 0, 1 + AB69, 0)</f>
        <v>0</v>
      </c>
      <c r="AC70" s="1">
        <f>IF(H70&lt;0,1,0)</f>
        <v>0</v>
      </c>
      <c r="AD70" s="1">
        <f>IF(AC70=1,H70,0)</f>
        <v>0</v>
      </c>
      <c r="AE70" s="1">
        <f>IF(H70&gt;0,1,0)</f>
        <v>0</v>
      </c>
      <c r="AF70" s="1">
        <f>IF(AE70=1,H70,0)</f>
        <v>0</v>
      </c>
      <c r="AG70" s="1">
        <f>IF(AD70&lt;-20000000.0/100,1,0)</f>
        <v>0</v>
      </c>
      <c r="AH70" s="1">
        <f>IF(AF70&gt;20000000.0/100,1,0)</f>
        <v>0</v>
      </c>
      <c r="AI70" s="1">
        <f>IF(U70&lt;0,1,0)</f>
        <v>0</v>
      </c>
      <c r="AJ70" s="1">
        <f>IF(AI70=1,U70,0)</f>
        <v>0</v>
      </c>
      <c r="AK70" s="1">
        <f>IF(U70&gt;0,1,0)</f>
        <v>0</v>
      </c>
      <c r="AL70" s="1">
        <f>IF(AK70=1,U70,0)</f>
        <v>0</v>
      </c>
      <c r="AM70" s="1">
        <f>IF(AJ70&lt;-20000000.0/100,1,0)</f>
        <v>0</v>
      </c>
      <c r="AN70" s="1">
        <f>IF(AL70&gt;20000000.0/100,1,0)</f>
        <v>0</v>
      </c>
    </row>
    <row r="71" spans="1:40" s="1" customFormat="1">
      <c r="A71" s="3">
        <v>45394</v>
      </c>
      <c r="B71" s="2" t="s">
        <v>26</v>
      </c>
      <c r="C71" s="1">
        <f>SUM(PL!H71:J71)</f>
        <v>0</v>
      </c>
      <c r="D71" s="1">
        <f>SUM(PL!K71:M71)</f>
        <v>0</v>
      </c>
      <c r="E71" s="1">
        <f>SUM(PL!N71:P71)</f>
        <v>0</v>
      </c>
      <c r="F71" s="1">
        <f>SUM(PL!Q71:S71)</f>
        <v>0</v>
      </c>
      <c r="G71" s="1">
        <f>SUM(PL!T71:V71)</f>
        <v>0</v>
      </c>
      <c r="H71" s="1">
        <f>SUM(C71:G71)</f>
        <v>0</v>
      </c>
      <c r="I71" s="1">
        <f>IF(C71 + I70 &lt; 0, C71 + I70, 0)</f>
        <v>0</v>
      </c>
      <c r="J71" s="1">
        <f>IF(D71 + J70 &lt; 0, D71 + J70, 0)</f>
        <v>0</v>
      </c>
      <c r="K71" s="1">
        <f>IF(E71 + K70 &lt; 0, E71 + K70, 0)</f>
        <v>0</v>
      </c>
      <c r="L71" s="1">
        <f>IF(F71 + L70 &lt; 0, F71 + L70, 0)</f>
        <v>0</v>
      </c>
      <c r="M71" s="1">
        <f>IF(G71 + M70 &lt; 0, G71 + M70, 0)</f>
        <v>0</v>
      </c>
      <c r="N71" s="1">
        <f>IF(H71 + N70 &lt; 0, H71 + N70, 0)</f>
        <v>0</v>
      </c>
      <c r="O71" s="1">
        <f>IF(N71 &lt; 0, 1 + O70, 0)</f>
        <v>0</v>
      </c>
      <c r="P71" s="1">
        <f>C71-((ABS(SUM(PL!H71:J71)))*0.125)</f>
        <v>0</v>
      </c>
      <c r="Q71" s="1">
        <f>D71-((ABS(SUM(PL!K71:M71)))*0.125)</f>
        <v>0</v>
      </c>
      <c r="R71" s="1">
        <f>E71-((ABS(SUM(PL!N71:P71)))*0.125)</f>
        <v>0</v>
      </c>
      <c r="S71" s="1">
        <f>F71-((ABS(SUM(PL!Q71:S71)))*0.125)</f>
        <v>0</v>
      </c>
      <c r="T71" s="1">
        <f>G71-((ABS(SUM(PL!T71:V71)))*0.125)</f>
        <v>0</v>
      </c>
      <c r="U71" s="1">
        <f>P71 + Q71 + R71 + S71 + T71</f>
        <v>0</v>
      </c>
      <c r="V71" s="1">
        <f>IF(P71 + V70 &lt; 0, P71 + V70, 0)</f>
        <v>0</v>
      </c>
      <c r="W71" s="1">
        <f>IF(Q71 + W70 &lt; 0, Q71 + W70, 0)</f>
        <v>0</v>
      </c>
      <c r="X71" s="1">
        <f>IF(R71 + X70 &lt; 0, R71 + X70, 0)</f>
        <v>0</v>
      </c>
      <c r="Y71" s="1">
        <f>IF(S71 + Y70 &lt; 0, S71 + Y70, 0)</f>
        <v>0</v>
      </c>
      <c r="Z71" s="1">
        <f>IF(T71 + Z70 &lt; 0, T71 + Z70, 0)</f>
        <v>0</v>
      </c>
      <c r="AA71" s="1">
        <f>IF(U71 + AA70 &lt; 0, U71 + AA70, 0)</f>
        <v>0</v>
      </c>
      <c r="AB71" s="1">
        <f>IF(AA71 &lt; 0, 1 + AB70, 0)</f>
        <v>0</v>
      </c>
      <c r="AC71" s="1">
        <f>IF(H71&lt;0,1,0)</f>
        <v>0</v>
      </c>
      <c r="AD71" s="1">
        <f>IF(AC71=1,H71,0)</f>
        <v>0</v>
      </c>
      <c r="AE71" s="1">
        <f>IF(H71&gt;0,1,0)</f>
        <v>0</v>
      </c>
      <c r="AF71" s="1">
        <f>IF(AE71=1,H71,0)</f>
        <v>0</v>
      </c>
      <c r="AG71" s="1">
        <f>IF(AD71&lt;-20000000.0/100,1,0)</f>
        <v>0</v>
      </c>
      <c r="AH71" s="1">
        <f>IF(AF71&gt;20000000.0/100,1,0)</f>
        <v>0</v>
      </c>
      <c r="AI71" s="1">
        <f>IF(U71&lt;0,1,0)</f>
        <v>0</v>
      </c>
      <c r="AJ71" s="1">
        <f>IF(AI71=1,U71,0)</f>
        <v>0</v>
      </c>
      <c r="AK71" s="1">
        <f>IF(U71&gt;0,1,0)</f>
        <v>0</v>
      </c>
      <c r="AL71" s="1">
        <f>IF(AK71=1,U71,0)</f>
        <v>0</v>
      </c>
      <c r="AM71" s="1">
        <f>IF(AJ71&lt;-20000000.0/100,1,0)</f>
        <v>0</v>
      </c>
      <c r="AN71" s="1">
        <f>IF(AL71&gt;20000000.0/100,1,0)</f>
        <v>0</v>
      </c>
    </row>
    <row r="72" spans="1:40" s="1" customFormat="1">
      <c r="A72" s="3">
        <v>45397</v>
      </c>
      <c r="B72" s="2" t="s">
        <v>22</v>
      </c>
      <c r="C72" s="1">
        <f>SUM(PL!H72:J72)</f>
        <v>0</v>
      </c>
      <c r="D72" s="1">
        <f>SUM(PL!K72:M72)</f>
        <v>0</v>
      </c>
      <c r="E72" s="1">
        <f>SUM(PL!N72:P72)</f>
        <v>0</v>
      </c>
      <c r="F72" s="1">
        <f>SUM(PL!Q72:S72)</f>
        <v>0</v>
      </c>
      <c r="G72" s="1">
        <f>SUM(PL!T72:V72)</f>
        <v>0</v>
      </c>
      <c r="H72" s="1">
        <f>SUM(C72:G72)</f>
        <v>0</v>
      </c>
      <c r="I72" s="1">
        <f>IF(C72 + I71 &lt; 0, C72 + I71, 0)</f>
        <v>0</v>
      </c>
      <c r="J72" s="1">
        <f>IF(D72 + J71 &lt; 0, D72 + J71, 0)</f>
        <v>0</v>
      </c>
      <c r="K72" s="1">
        <f>IF(E72 + K71 &lt; 0, E72 + K71, 0)</f>
        <v>0</v>
      </c>
      <c r="L72" s="1">
        <f>IF(F72 + L71 &lt; 0, F72 + L71, 0)</f>
        <v>0</v>
      </c>
      <c r="M72" s="1">
        <f>IF(G72 + M71 &lt; 0, G72 + M71, 0)</f>
        <v>0</v>
      </c>
      <c r="N72" s="1">
        <f>IF(H72 + N71 &lt; 0, H72 + N71, 0)</f>
        <v>0</v>
      </c>
      <c r="O72" s="1">
        <f>IF(N72 &lt; 0, 1 + O71, 0)</f>
        <v>0</v>
      </c>
      <c r="P72" s="1">
        <f>C72-((ABS(SUM(PL!H72:J72)))*0.125)</f>
        <v>0</v>
      </c>
      <c r="Q72" s="1">
        <f>D72-((ABS(SUM(PL!K72:M72)))*0.125)</f>
        <v>0</v>
      </c>
      <c r="R72" s="1">
        <f>E72-((ABS(SUM(PL!N72:P72)))*0.125)</f>
        <v>0</v>
      </c>
      <c r="S72" s="1">
        <f>F72-((ABS(SUM(PL!Q72:S72)))*0.125)</f>
        <v>0</v>
      </c>
      <c r="T72" s="1">
        <f>G72-((ABS(SUM(PL!T72:V72)))*0.125)</f>
        <v>0</v>
      </c>
      <c r="U72" s="1">
        <f>P72 + Q72 + R72 + S72 + T72</f>
        <v>0</v>
      </c>
      <c r="V72" s="1">
        <f>IF(P72 + V71 &lt; 0, P72 + V71, 0)</f>
        <v>0</v>
      </c>
      <c r="W72" s="1">
        <f>IF(Q72 + W71 &lt; 0, Q72 + W71, 0)</f>
        <v>0</v>
      </c>
      <c r="X72" s="1">
        <f>IF(R72 + X71 &lt; 0, R72 + X71, 0)</f>
        <v>0</v>
      </c>
      <c r="Y72" s="1">
        <f>IF(S72 + Y71 &lt; 0, S72 + Y71, 0)</f>
        <v>0</v>
      </c>
      <c r="Z72" s="1">
        <f>IF(T72 + Z71 &lt; 0, T72 + Z71, 0)</f>
        <v>0</v>
      </c>
      <c r="AA72" s="1">
        <f>IF(U72 + AA71 &lt; 0, U72 + AA71, 0)</f>
        <v>0</v>
      </c>
      <c r="AB72" s="1">
        <f>IF(AA72 &lt; 0, 1 + AB71, 0)</f>
        <v>0</v>
      </c>
      <c r="AC72" s="1">
        <f>IF(H72&lt;0,1,0)</f>
        <v>0</v>
      </c>
      <c r="AD72" s="1">
        <f>IF(AC72=1,H72,0)</f>
        <v>0</v>
      </c>
      <c r="AE72" s="1">
        <f>IF(H72&gt;0,1,0)</f>
        <v>0</v>
      </c>
      <c r="AF72" s="1">
        <f>IF(AE72=1,H72,0)</f>
        <v>0</v>
      </c>
      <c r="AG72" s="1">
        <f>IF(AD72&lt;-20000000.0/100,1,0)</f>
        <v>0</v>
      </c>
      <c r="AH72" s="1">
        <f>IF(AF72&gt;20000000.0/100,1,0)</f>
        <v>0</v>
      </c>
      <c r="AI72" s="1">
        <f>IF(U72&lt;0,1,0)</f>
        <v>0</v>
      </c>
      <c r="AJ72" s="1">
        <f>IF(AI72=1,U72,0)</f>
        <v>0</v>
      </c>
      <c r="AK72" s="1">
        <f>IF(U72&gt;0,1,0)</f>
        <v>0</v>
      </c>
      <c r="AL72" s="1">
        <f>IF(AK72=1,U72,0)</f>
        <v>0</v>
      </c>
      <c r="AM72" s="1">
        <f>IF(AJ72&lt;-20000000.0/100,1,0)</f>
        <v>0</v>
      </c>
      <c r="AN72" s="1">
        <f>IF(AL72&gt;20000000.0/100,1,0)</f>
        <v>0</v>
      </c>
    </row>
    <row r="73" spans="1:40" s="1" customFormat="1">
      <c r="A73" s="3">
        <v>45398</v>
      </c>
      <c r="B73" s="2" t="s">
        <v>23</v>
      </c>
      <c r="C73" s="1">
        <f>SUM(PL!H73:J73)</f>
        <v>0</v>
      </c>
      <c r="D73" s="1">
        <f>SUM(PL!K73:M73)</f>
        <v>0</v>
      </c>
      <c r="E73" s="1">
        <f>SUM(PL!N73:P73)</f>
        <v>0</v>
      </c>
      <c r="F73" s="1">
        <f>SUM(PL!Q73:S73)</f>
        <v>0</v>
      </c>
      <c r="G73" s="1">
        <f>SUM(PL!T73:V73)</f>
        <v>0</v>
      </c>
      <c r="H73" s="1">
        <f>SUM(C73:G73)</f>
        <v>0</v>
      </c>
      <c r="I73" s="1">
        <f>IF(C73 + I72 &lt; 0, C73 + I72, 0)</f>
        <v>0</v>
      </c>
      <c r="J73" s="1">
        <f>IF(D73 + J72 &lt; 0, D73 + J72, 0)</f>
        <v>0</v>
      </c>
      <c r="K73" s="1">
        <f>IF(E73 + K72 &lt; 0, E73 + K72, 0)</f>
        <v>0</v>
      </c>
      <c r="L73" s="1">
        <f>IF(F73 + L72 &lt; 0, F73 + L72, 0)</f>
        <v>0</v>
      </c>
      <c r="M73" s="1">
        <f>IF(G73 + M72 &lt; 0, G73 + M72, 0)</f>
        <v>0</v>
      </c>
      <c r="N73" s="1">
        <f>IF(H73 + N72 &lt; 0, H73 + N72, 0)</f>
        <v>0</v>
      </c>
      <c r="O73" s="1">
        <f>IF(N73 &lt; 0, 1 + O72, 0)</f>
        <v>0</v>
      </c>
      <c r="P73" s="1">
        <f>C73-((ABS(SUM(PL!H73:J73)))*0.125)</f>
        <v>0</v>
      </c>
      <c r="Q73" s="1">
        <f>D73-((ABS(SUM(PL!K73:M73)))*0.125)</f>
        <v>0</v>
      </c>
      <c r="R73" s="1">
        <f>E73-((ABS(SUM(PL!N73:P73)))*0.125)</f>
        <v>0</v>
      </c>
      <c r="S73" s="1">
        <f>F73-((ABS(SUM(PL!Q73:S73)))*0.125)</f>
        <v>0</v>
      </c>
      <c r="T73" s="1">
        <f>G73-((ABS(SUM(PL!T73:V73)))*0.125)</f>
        <v>0</v>
      </c>
      <c r="U73" s="1">
        <f>P73 + Q73 + R73 + S73 + T73</f>
        <v>0</v>
      </c>
      <c r="V73" s="1">
        <f>IF(P73 + V72 &lt; 0, P73 + V72, 0)</f>
        <v>0</v>
      </c>
      <c r="W73" s="1">
        <f>IF(Q73 + W72 &lt; 0, Q73 + W72, 0)</f>
        <v>0</v>
      </c>
      <c r="X73" s="1">
        <f>IF(R73 + X72 &lt; 0, R73 + X72, 0)</f>
        <v>0</v>
      </c>
      <c r="Y73" s="1">
        <f>IF(S73 + Y72 &lt; 0, S73 + Y72, 0)</f>
        <v>0</v>
      </c>
      <c r="Z73" s="1">
        <f>IF(T73 + Z72 &lt; 0, T73 + Z72, 0)</f>
        <v>0</v>
      </c>
      <c r="AA73" s="1">
        <f>IF(U73 + AA72 &lt; 0, U73 + AA72, 0)</f>
        <v>0</v>
      </c>
      <c r="AB73" s="1">
        <f>IF(AA73 &lt; 0, 1 + AB72, 0)</f>
        <v>0</v>
      </c>
      <c r="AC73" s="1">
        <f>IF(H73&lt;0,1,0)</f>
        <v>0</v>
      </c>
      <c r="AD73" s="1">
        <f>IF(AC73=1,H73,0)</f>
        <v>0</v>
      </c>
      <c r="AE73" s="1">
        <f>IF(H73&gt;0,1,0)</f>
        <v>0</v>
      </c>
      <c r="AF73" s="1">
        <f>IF(AE73=1,H73,0)</f>
        <v>0</v>
      </c>
      <c r="AG73" s="1">
        <f>IF(AD73&lt;-20000000.0/100,1,0)</f>
        <v>0</v>
      </c>
      <c r="AH73" s="1">
        <f>IF(AF73&gt;20000000.0/100,1,0)</f>
        <v>0</v>
      </c>
      <c r="AI73" s="1">
        <f>IF(U73&lt;0,1,0)</f>
        <v>0</v>
      </c>
      <c r="AJ73" s="1">
        <f>IF(AI73=1,U73,0)</f>
        <v>0</v>
      </c>
      <c r="AK73" s="1">
        <f>IF(U73&gt;0,1,0)</f>
        <v>0</v>
      </c>
      <c r="AL73" s="1">
        <f>IF(AK73=1,U73,0)</f>
        <v>0</v>
      </c>
      <c r="AM73" s="1">
        <f>IF(AJ73&lt;-20000000.0/100,1,0)</f>
        <v>0</v>
      </c>
      <c r="AN73" s="1">
        <f>IF(AL73&gt;20000000.0/100,1,0)</f>
        <v>0</v>
      </c>
    </row>
    <row r="74" spans="1:40" s="1" customFormat="1">
      <c r="A74" s="3">
        <v>45400</v>
      </c>
      <c r="B74" s="2" t="s">
        <v>25</v>
      </c>
      <c r="C74" s="1">
        <f>SUM(PL!H74:J74)</f>
        <v>0</v>
      </c>
      <c r="D74" s="1">
        <f>SUM(PL!K74:M74)</f>
        <v>0</v>
      </c>
      <c r="E74" s="1">
        <f>SUM(PL!N74:P74)</f>
        <v>0</v>
      </c>
      <c r="F74" s="1">
        <f>SUM(PL!Q74:S74)</f>
        <v>0</v>
      </c>
      <c r="G74" s="1">
        <f>SUM(PL!T74:V74)</f>
        <v>0</v>
      </c>
      <c r="H74" s="1">
        <f>SUM(C74:G74)</f>
        <v>0</v>
      </c>
      <c r="I74" s="1">
        <f>IF(C74 + I73 &lt; 0, C74 + I73, 0)</f>
        <v>0</v>
      </c>
      <c r="J74" s="1">
        <f>IF(D74 + J73 &lt; 0, D74 + J73, 0)</f>
        <v>0</v>
      </c>
      <c r="K74" s="1">
        <f>IF(E74 + K73 &lt; 0, E74 + K73, 0)</f>
        <v>0</v>
      </c>
      <c r="L74" s="1">
        <f>IF(F74 + L73 &lt; 0, F74 + L73, 0)</f>
        <v>0</v>
      </c>
      <c r="M74" s="1">
        <f>IF(G74 + M73 &lt; 0, G74 + M73, 0)</f>
        <v>0</v>
      </c>
      <c r="N74" s="1">
        <f>IF(H74 + N73 &lt; 0, H74 + N73, 0)</f>
        <v>0</v>
      </c>
      <c r="O74" s="1">
        <f>IF(N74 &lt; 0, 1 + O73, 0)</f>
        <v>0</v>
      </c>
      <c r="P74" s="1">
        <f>C74-((ABS(SUM(PL!H74:J74)))*0.125)</f>
        <v>0</v>
      </c>
      <c r="Q74" s="1">
        <f>D74-((ABS(SUM(PL!K74:M74)))*0.125)</f>
        <v>0</v>
      </c>
      <c r="R74" s="1">
        <f>E74-((ABS(SUM(PL!N74:P74)))*0.125)</f>
        <v>0</v>
      </c>
      <c r="S74" s="1">
        <f>F74-((ABS(SUM(PL!Q74:S74)))*0.125)</f>
        <v>0</v>
      </c>
      <c r="T74" s="1">
        <f>G74-((ABS(SUM(PL!T74:V74)))*0.125)</f>
        <v>0</v>
      </c>
      <c r="U74" s="1">
        <f>P74 + Q74 + R74 + S74 + T74</f>
        <v>0</v>
      </c>
      <c r="V74" s="1">
        <f>IF(P74 + V73 &lt; 0, P74 + V73, 0)</f>
        <v>0</v>
      </c>
      <c r="W74" s="1">
        <f>IF(Q74 + W73 &lt; 0, Q74 + W73, 0)</f>
        <v>0</v>
      </c>
      <c r="X74" s="1">
        <f>IF(R74 + X73 &lt; 0, R74 + X73, 0)</f>
        <v>0</v>
      </c>
      <c r="Y74" s="1">
        <f>IF(S74 + Y73 &lt; 0, S74 + Y73, 0)</f>
        <v>0</v>
      </c>
      <c r="Z74" s="1">
        <f>IF(T74 + Z73 &lt; 0, T74 + Z73, 0)</f>
        <v>0</v>
      </c>
      <c r="AA74" s="1">
        <f>IF(U74 + AA73 &lt; 0, U74 + AA73, 0)</f>
        <v>0</v>
      </c>
      <c r="AB74" s="1">
        <f>IF(AA74 &lt; 0, 1 + AB73, 0)</f>
        <v>0</v>
      </c>
      <c r="AC74" s="1">
        <f>IF(H74&lt;0,1,0)</f>
        <v>0</v>
      </c>
      <c r="AD74" s="1">
        <f>IF(AC74=1,H74,0)</f>
        <v>0</v>
      </c>
      <c r="AE74" s="1">
        <f>IF(H74&gt;0,1,0)</f>
        <v>0</v>
      </c>
      <c r="AF74" s="1">
        <f>IF(AE74=1,H74,0)</f>
        <v>0</v>
      </c>
      <c r="AG74" s="1">
        <f>IF(AD74&lt;-20000000.0/100,1,0)</f>
        <v>0</v>
      </c>
      <c r="AH74" s="1">
        <f>IF(AF74&gt;20000000.0/100,1,0)</f>
        <v>0</v>
      </c>
      <c r="AI74" s="1">
        <f>IF(U74&lt;0,1,0)</f>
        <v>0</v>
      </c>
      <c r="AJ74" s="1">
        <f>IF(AI74=1,U74,0)</f>
        <v>0</v>
      </c>
      <c r="AK74" s="1">
        <f>IF(U74&gt;0,1,0)</f>
        <v>0</v>
      </c>
      <c r="AL74" s="1">
        <f>IF(AK74=1,U74,0)</f>
        <v>0</v>
      </c>
      <c r="AM74" s="1">
        <f>IF(AJ74&lt;-20000000.0/100,1,0)</f>
        <v>0</v>
      </c>
      <c r="AN74" s="1">
        <f>IF(AL74&gt;20000000.0/100,1,0)</f>
        <v>0</v>
      </c>
    </row>
    <row r="75" spans="1:40" s="1" customFormat="1">
      <c r="A75" s="3">
        <v>45401</v>
      </c>
      <c r="B75" s="2" t="s">
        <v>26</v>
      </c>
      <c r="C75" s="1">
        <f>SUM(PL!H75:J75)</f>
        <v>0</v>
      </c>
      <c r="D75" s="1">
        <f>SUM(PL!K75:M75)</f>
        <v>0</v>
      </c>
      <c r="E75" s="1">
        <f>SUM(PL!N75:P75)</f>
        <v>0</v>
      </c>
      <c r="F75" s="1">
        <f>SUM(PL!Q75:S75)</f>
        <v>0</v>
      </c>
      <c r="G75" s="1">
        <f>SUM(PL!T75:V75)</f>
        <v>0</v>
      </c>
      <c r="H75" s="1">
        <f>SUM(C75:G75)</f>
        <v>0</v>
      </c>
      <c r="I75" s="1">
        <f>IF(C75 + I74 &lt; 0, C75 + I74, 0)</f>
        <v>0</v>
      </c>
      <c r="J75" s="1">
        <f>IF(D75 + J74 &lt; 0, D75 + J74, 0)</f>
        <v>0</v>
      </c>
      <c r="K75" s="1">
        <f>IF(E75 + K74 &lt; 0, E75 + K74, 0)</f>
        <v>0</v>
      </c>
      <c r="L75" s="1">
        <f>IF(F75 + L74 &lt; 0, F75 + L74, 0)</f>
        <v>0</v>
      </c>
      <c r="M75" s="1">
        <f>IF(G75 + M74 &lt; 0, G75 + M74, 0)</f>
        <v>0</v>
      </c>
      <c r="N75" s="1">
        <f>IF(H75 + N74 &lt; 0, H75 + N74, 0)</f>
        <v>0</v>
      </c>
      <c r="O75" s="1">
        <f>IF(N75 &lt; 0, 1 + O74, 0)</f>
        <v>0</v>
      </c>
      <c r="P75" s="1">
        <f>C75-((ABS(SUM(PL!H75:J75)))*0.125)</f>
        <v>0</v>
      </c>
      <c r="Q75" s="1">
        <f>D75-((ABS(SUM(PL!K75:M75)))*0.125)</f>
        <v>0</v>
      </c>
      <c r="R75" s="1">
        <f>E75-((ABS(SUM(PL!N75:P75)))*0.125)</f>
        <v>0</v>
      </c>
      <c r="S75" s="1">
        <f>F75-((ABS(SUM(PL!Q75:S75)))*0.125)</f>
        <v>0</v>
      </c>
      <c r="T75" s="1">
        <f>G75-((ABS(SUM(PL!T75:V75)))*0.125)</f>
        <v>0</v>
      </c>
      <c r="U75" s="1">
        <f>P75 + Q75 + R75 + S75 + T75</f>
        <v>0</v>
      </c>
      <c r="V75" s="1">
        <f>IF(P75 + V74 &lt; 0, P75 + V74, 0)</f>
        <v>0</v>
      </c>
      <c r="W75" s="1">
        <f>IF(Q75 + W74 &lt; 0, Q75 + W74, 0)</f>
        <v>0</v>
      </c>
      <c r="X75" s="1">
        <f>IF(R75 + X74 &lt; 0, R75 + X74, 0)</f>
        <v>0</v>
      </c>
      <c r="Y75" s="1">
        <f>IF(S75 + Y74 &lt; 0, S75 + Y74, 0)</f>
        <v>0</v>
      </c>
      <c r="Z75" s="1">
        <f>IF(T75 + Z74 &lt; 0, T75 + Z74, 0)</f>
        <v>0</v>
      </c>
      <c r="AA75" s="1">
        <f>IF(U75 + AA74 &lt; 0, U75 + AA74, 0)</f>
        <v>0</v>
      </c>
      <c r="AB75" s="1">
        <f>IF(AA75 &lt; 0, 1 + AB74, 0)</f>
        <v>0</v>
      </c>
      <c r="AC75" s="1">
        <f>IF(H75&lt;0,1,0)</f>
        <v>0</v>
      </c>
      <c r="AD75" s="1">
        <f>IF(AC75=1,H75,0)</f>
        <v>0</v>
      </c>
      <c r="AE75" s="1">
        <f>IF(H75&gt;0,1,0)</f>
        <v>0</v>
      </c>
      <c r="AF75" s="1">
        <f>IF(AE75=1,H75,0)</f>
        <v>0</v>
      </c>
      <c r="AG75" s="1">
        <f>IF(AD75&lt;-20000000.0/100,1,0)</f>
        <v>0</v>
      </c>
      <c r="AH75" s="1">
        <f>IF(AF75&gt;20000000.0/100,1,0)</f>
        <v>0</v>
      </c>
      <c r="AI75" s="1">
        <f>IF(U75&lt;0,1,0)</f>
        <v>0</v>
      </c>
      <c r="AJ75" s="1">
        <f>IF(AI75=1,U75,0)</f>
        <v>0</v>
      </c>
      <c r="AK75" s="1">
        <f>IF(U75&gt;0,1,0)</f>
        <v>0</v>
      </c>
      <c r="AL75" s="1">
        <f>IF(AK75=1,U75,0)</f>
        <v>0</v>
      </c>
      <c r="AM75" s="1">
        <f>IF(AJ75&lt;-20000000.0/100,1,0)</f>
        <v>0</v>
      </c>
      <c r="AN75" s="1">
        <f>IF(AL75&gt;20000000.0/100,1,0)</f>
        <v>0</v>
      </c>
    </row>
    <row r="76" spans="1:40" s="1" customFormat="1">
      <c r="A76" s="3">
        <v>45404</v>
      </c>
      <c r="B76" s="2" t="s">
        <v>22</v>
      </c>
      <c r="C76" s="1">
        <f>SUM(PL!H76:J76)</f>
        <v>0</v>
      </c>
      <c r="D76" s="1">
        <f>SUM(PL!K76:M76)</f>
        <v>0</v>
      </c>
      <c r="E76" s="1">
        <f>SUM(PL!N76:P76)</f>
        <v>0</v>
      </c>
      <c r="F76" s="1">
        <f>SUM(PL!Q76:S76)</f>
        <v>0</v>
      </c>
      <c r="G76" s="1">
        <f>SUM(PL!T76:V76)</f>
        <v>0</v>
      </c>
      <c r="H76" s="1">
        <f>SUM(C76:G76)</f>
        <v>0</v>
      </c>
      <c r="I76" s="1">
        <f>IF(C76 + I75 &lt; 0, C76 + I75, 0)</f>
        <v>0</v>
      </c>
      <c r="J76" s="1">
        <f>IF(D76 + J75 &lt; 0, D76 + J75, 0)</f>
        <v>0</v>
      </c>
      <c r="K76" s="1">
        <f>IF(E76 + K75 &lt; 0, E76 + K75, 0)</f>
        <v>0</v>
      </c>
      <c r="L76" s="1">
        <f>IF(F76 + L75 &lt; 0, F76 + L75, 0)</f>
        <v>0</v>
      </c>
      <c r="M76" s="1">
        <f>IF(G76 + M75 &lt; 0, G76 + M75, 0)</f>
        <v>0</v>
      </c>
      <c r="N76" s="1">
        <f>IF(H76 + N75 &lt; 0, H76 + N75, 0)</f>
        <v>0</v>
      </c>
      <c r="O76" s="1">
        <f>IF(N76 &lt; 0, 1 + O75, 0)</f>
        <v>0</v>
      </c>
      <c r="P76" s="1">
        <f>C76-((ABS(SUM(PL!H76:J76)))*0.125)</f>
        <v>0</v>
      </c>
      <c r="Q76" s="1">
        <f>D76-((ABS(SUM(PL!K76:M76)))*0.125)</f>
        <v>0</v>
      </c>
      <c r="R76" s="1">
        <f>E76-((ABS(SUM(PL!N76:P76)))*0.125)</f>
        <v>0</v>
      </c>
      <c r="S76" s="1">
        <f>F76-((ABS(SUM(PL!Q76:S76)))*0.125)</f>
        <v>0</v>
      </c>
      <c r="T76" s="1">
        <f>G76-((ABS(SUM(PL!T76:V76)))*0.125)</f>
        <v>0</v>
      </c>
      <c r="U76" s="1">
        <f>P76 + Q76 + R76 + S76 + T76</f>
        <v>0</v>
      </c>
      <c r="V76" s="1">
        <f>IF(P76 + V75 &lt; 0, P76 + V75, 0)</f>
        <v>0</v>
      </c>
      <c r="W76" s="1">
        <f>IF(Q76 + W75 &lt; 0, Q76 + W75, 0)</f>
        <v>0</v>
      </c>
      <c r="X76" s="1">
        <f>IF(R76 + X75 &lt; 0, R76 + X75, 0)</f>
        <v>0</v>
      </c>
      <c r="Y76" s="1">
        <f>IF(S76 + Y75 &lt; 0, S76 + Y75, 0)</f>
        <v>0</v>
      </c>
      <c r="Z76" s="1">
        <f>IF(T76 + Z75 &lt; 0, T76 + Z75, 0)</f>
        <v>0</v>
      </c>
      <c r="AA76" s="1">
        <f>IF(U76 + AA75 &lt; 0, U76 + AA75, 0)</f>
        <v>0</v>
      </c>
      <c r="AB76" s="1">
        <f>IF(AA76 &lt; 0, 1 + AB75, 0)</f>
        <v>0</v>
      </c>
      <c r="AC76" s="1">
        <f>IF(H76&lt;0,1,0)</f>
        <v>0</v>
      </c>
      <c r="AD76" s="1">
        <f>IF(AC76=1,H76,0)</f>
        <v>0</v>
      </c>
      <c r="AE76" s="1">
        <f>IF(H76&gt;0,1,0)</f>
        <v>0</v>
      </c>
      <c r="AF76" s="1">
        <f>IF(AE76=1,H76,0)</f>
        <v>0</v>
      </c>
      <c r="AG76" s="1">
        <f>IF(AD76&lt;-20000000.0/100,1,0)</f>
        <v>0</v>
      </c>
      <c r="AH76" s="1">
        <f>IF(AF76&gt;20000000.0/100,1,0)</f>
        <v>0</v>
      </c>
      <c r="AI76" s="1">
        <f>IF(U76&lt;0,1,0)</f>
        <v>0</v>
      </c>
      <c r="AJ76" s="1">
        <f>IF(AI76=1,U76,0)</f>
        <v>0</v>
      </c>
      <c r="AK76" s="1">
        <f>IF(U76&gt;0,1,0)</f>
        <v>0</v>
      </c>
      <c r="AL76" s="1">
        <f>IF(AK76=1,U76,0)</f>
        <v>0</v>
      </c>
      <c r="AM76" s="1">
        <f>IF(AJ76&lt;-20000000.0/100,1,0)</f>
        <v>0</v>
      </c>
      <c r="AN76" s="1">
        <f>IF(AL76&gt;20000000.0/100,1,0)</f>
        <v>0</v>
      </c>
    </row>
    <row r="77" spans="1:40" s="1" customFormat="1">
      <c r="A77" s="3">
        <v>45405</v>
      </c>
      <c r="B77" s="2" t="s">
        <v>23</v>
      </c>
      <c r="C77" s="1">
        <f>SUM(PL!H77:J77)</f>
        <v>0</v>
      </c>
      <c r="D77" s="1">
        <f>SUM(PL!K77:M77)</f>
        <v>0</v>
      </c>
      <c r="E77" s="1">
        <f>SUM(PL!N77:P77)</f>
        <v>0</v>
      </c>
      <c r="F77" s="1">
        <f>SUM(PL!Q77:S77)</f>
        <v>0</v>
      </c>
      <c r="G77" s="1">
        <f>SUM(PL!T77:V77)</f>
        <v>0</v>
      </c>
      <c r="H77" s="1">
        <f>SUM(C77:G77)</f>
        <v>0</v>
      </c>
      <c r="I77" s="1">
        <f>IF(C77 + I76 &lt; 0, C77 + I76, 0)</f>
        <v>0</v>
      </c>
      <c r="J77" s="1">
        <f>IF(D77 + J76 &lt; 0, D77 + J76, 0)</f>
        <v>0</v>
      </c>
      <c r="K77" s="1">
        <f>IF(E77 + K76 &lt; 0, E77 + K76, 0)</f>
        <v>0</v>
      </c>
      <c r="L77" s="1">
        <f>IF(F77 + L76 &lt; 0, F77 + L76, 0)</f>
        <v>0</v>
      </c>
      <c r="M77" s="1">
        <f>IF(G77 + M76 &lt; 0, G77 + M76, 0)</f>
        <v>0</v>
      </c>
      <c r="N77" s="1">
        <f>IF(H77 + N76 &lt; 0, H77 + N76, 0)</f>
        <v>0</v>
      </c>
      <c r="O77" s="1">
        <f>IF(N77 &lt; 0, 1 + O76, 0)</f>
        <v>0</v>
      </c>
      <c r="P77" s="1">
        <f>C77-((ABS(SUM(PL!H77:J77)))*0.125)</f>
        <v>0</v>
      </c>
      <c r="Q77" s="1">
        <f>D77-((ABS(SUM(PL!K77:M77)))*0.125)</f>
        <v>0</v>
      </c>
      <c r="R77" s="1">
        <f>E77-((ABS(SUM(PL!N77:P77)))*0.125)</f>
        <v>0</v>
      </c>
      <c r="S77" s="1">
        <f>F77-((ABS(SUM(PL!Q77:S77)))*0.125)</f>
        <v>0</v>
      </c>
      <c r="T77" s="1">
        <f>G77-((ABS(SUM(PL!T77:V77)))*0.125)</f>
        <v>0</v>
      </c>
      <c r="U77" s="1">
        <f>P77 + Q77 + R77 + S77 + T77</f>
        <v>0</v>
      </c>
      <c r="V77" s="1">
        <f>IF(P77 + V76 &lt; 0, P77 + V76, 0)</f>
        <v>0</v>
      </c>
      <c r="W77" s="1">
        <f>IF(Q77 + W76 &lt; 0, Q77 + W76, 0)</f>
        <v>0</v>
      </c>
      <c r="X77" s="1">
        <f>IF(R77 + X76 &lt; 0, R77 + X76, 0)</f>
        <v>0</v>
      </c>
      <c r="Y77" s="1">
        <f>IF(S77 + Y76 &lt; 0, S77 + Y76, 0)</f>
        <v>0</v>
      </c>
      <c r="Z77" s="1">
        <f>IF(T77 + Z76 &lt; 0, T77 + Z76, 0)</f>
        <v>0</v>
      </c>
      <c r="AA77" s="1">
        <f>IF(U77 + AA76 &lt; 0, U77 + AA76, 0)</f>
        <v>0</v>
      </c>
      <c r="AB77" s="1">
        <f>IF(AA77 &lt; 0, 1 + AB76, 0)</f>
        <v>0</v>
      </c>
      <c r="AC77" s="1">
        <f>IF(H77&lt;0,1,0)</f>
        <v>0</v>
      </c>
      <c r="AD77" s="1">
        <f>IF(AC77=1,H77,0)</f>
        <v>0</v>
      </c>
      <c r="AE77" s="1">
        <f>IF(H77&gt;0,1,0)</f>
        <v>0</v>
      </c>
      <c r="AF77" s="1">
        <f>IF(AE77=1,H77,0)</f>
        <v>0</v>
      </c>
      <c r="AG77" s="1">
        <f>IF(AD77&lt;-20000000.0/100,1,0)</f>
        <v>0</v>
      </c>
      <c r="AH77" s="1">
        <f>IF(AF77&gt;20000000.0/100,1,0)</f>
        <v>0</v>
      </c>
      <c r="AI77" s="1">
        <f>IF(U77&lt;0,1,0)</f>
        <v>0</v>
      </c>
      <c r="AJ77" s="1">
        <f>IF(AI77=1,U77,0)</f>
        <v>0</v>
      </c>
      <c r="AK77" s="1">
        <f>IF(U77&gt;0,1,0)</f>
        <v>0</v>
      </c>
      <c r="AL77" s="1">
        <f>IF(AK77=1,U77,0)</f>
        <v>0</v>
      </c>
      <c r="AM77" s="1">
        <f>IF(AJ77&lt;-20000000.0/100,1,0)</f>
        <v>0</v>
      </c>
      <c r="AN77" s="1">
        <f>IF(AL77&gt;20000000.0/100,1,0)</f>
        <v>0</v>
      </c>
    </row>
    <row r="78" spans="1:40" s="1" customFormat="1">
      <c r="A78" s="3">
        <v>45406</v>
      </c>
      <c r="B78" s="2" t="s">
        <v>24</v>
      </c>
      <c r="C78" s="1">
        <f>SUM(PL!H78:J78)</f>
        <v>0</v>
      </c>
      <c r="D78" s="1">
        <f>SUM(PL!K78:M78)</f>
        <v>0</v>
      </c>
      <c r="E78" s="1">
        <f>SUM(PL!N78:P78)</f>
        <v>0</v>
      </c>
      <c r="F78" s="1">
        <f>SUM(PL!Q78:S78)</f>
        <v>0</v>
      </c>
      <c r="G78" s="1">
        <f>SUM(PL!T78:V78)</f>
        <v>0</v>
      </c>
      <c r="H78" s="1">
        <f>SUM(C78:G78)</f>
        <v>0</v>
      </c>
      <c r="I78" s="1">
        <f>IF(C78 + I77 &lt; 0, C78 + I77, 0)</f>
        <v>0</v>
      </c>
      <c r="J78" s="1">
        <f>IF(D78 + J77 &lt; 0, D78 + J77, 0)</f>
        <v>0</v>
      </c>
      <c r="K78" s="1">
        <f>IF(E78 + K77 &lt; 0, E78 + K77, 0)</f>
        <v>0</v>
      </c>
      <c r="L78" s="1">
        <f>IF(F78 + L77 &lt; 0, F78 + L77, 0)</f>
        <v>0</v>
      </c>
      <c r="M78" s="1">
        <f>IF(G78 + M77 &lt; 0, G78 + M77, 0)</f>
        <v>0</v>
      </c>
      <c r="N78" s="1">
        <f>IF(H78 + N77 &lt; 0, H78 + N77, 0)</f>
        <v>0</v>
      </c>
      <c r="O78" s="1">
        <f>IF(N78 &lt; 0, 1 + O77, 0)</f>
        <v>0</v>
      </c>
      <c r="P78" s="1">
        <f>C78-((ABS(SUM(PL!H78:J78)))*0.125)</f>
        <v>0</v>
      </c>
      <c r="Q78" s="1">
        <f>D78-((ABS(SUM(PL!K78:M78)))*0.125)</f>
        <v>0</v>
      </c>
      <c r="R78" s="1">
        <f>E78-((ABS(SUM(PL!N78:P78)))*0.125)</f>
        <v>0</v>
      </c>
      <c r="S78" s="1">
        <f>F78-((ABS(SUM(PL!Q78:S78)))*0.125)</f>
        <v>0</v>
      </c>
      <c r="T78" s="1">
        <f>G78-((ABS(SUM(PL!T78:V78)))*0.125)</f>
        <v>0</v>
      </c>
      <c r="U78" s="1">
        <f>P78 + Q78 + R78 + S78 + T78</f>
        <v>0</v>
      </c>
      <c r="V78" s="1">
        <f>IF(P78 + V77 &lt; 0, P78 + V77, 0)</f>
        <v>0</v>
      </c>
      <c r="W78" s="1">
        <f>IF(Q78 + W77 &lt; 0, Q78 + W77, 0)</f>
        <v>0</v>
      </c>
      <c r="X78" s="1">
        <f>IF(R78 + X77 &lt; 0, R78 + X77, 0)</f>
        <v>0</v>
      </c>
      <c r="Y78" s="1">
        <f>IF(S78 + Y77 &lt; 0, S78 + Y77, 0)</f>
        <v>0</v>
      </c>
      <c r="Z78" s="1">
        <f>IF(T78 + Z77 &lt; 0, T78 + Z77, 0)</f>
        <v>0</v>
      </c>
      <c r="AA78" s="1">
        <f>IF(U78 + AA77 &lt; 0, U78 + AA77, 0)</f>
        <v>0</v>
      </c>
      <c r="AB78" s="1">
        <f>IF(AA78 &lt; 0, 1 + AB77, 0)</f>
        <v>0</v>
      </c>
      <c r="AC78" s="1">
        <f>IF(H78&lt;0,1,0)</f>
        <v>0</v>
      </c>
      <c r="AD78" s="1">
        <f>IF(AC78=1,H78,0)</f>
        <v>0</v>
      </c>
      <c r="AE78" s="1">
        <f>IF(H78&gt;0,1,0)</f>
        <v>0</v>
      </c>
      <c r="AF78" s="1">
        <f>IF(AE78=1,H78,0)</f>
        <v>0</v>
      </c>
      <c r="AG78" s="1">
        <f>IF(AD78&lt;-20000000.0/100,1,0)</f>
        <v>0</v>
      </c>
      <c r="AH78" s="1">
        <f>IF(AF78&gt;20000000.0/100,1,0)</f>
        <v>0</v>
      </c>
      <c r="AI78" s="1">
        <f>IF(U78&lt;0,1,0)</f>
        <v>0</v>
      </c>
      <c r="AJ78" s="1">
        <f>IF(AI78=1,U78,0)</f>
        <v>0</v>
      </c>
      <c r="AK78" s="1">
        <f>IF(U78&gt;0,1,0)</f>
        <v>0</v>
      </c>
      <c r="AL78" s="1">
        <f>IF(AK78=1,U78,0)</f>
        <v>0</v>
      </c>
      <c r="AM78" s="1">
        <f>IF(AJ78&lt;-20000000.0/100,1,0)</f>
        <v>0</v>
      </c>
      <c r="AN78" s="1">
        <f>IF(AL78&gt;20000000.0/100,1,0)</f>
        <v>0</v>
      </c>
    </row>
    <row r="79" spans="1:40" s="1" customFormat="1">
      <c r="A79" s="3">
        <v>45407</v>
      </c>
      <c r="B79" s="2" t="s">
        <v>25</v>
      </c>
      <c r="C79" s="1">
        <f>SUM(PL!H79:J79)</f>
        <v>0</v>
      </c>
      <c r="D79" s="1">
        <f>SUM(PL!K79:M79)</f>
        <v>0</v>
      </c>
      <c r="E79" s="1">
        <f>SUM(PL!N79:P79)</f>
        <v>0</v>
      </c>
      <c r="F79" s="1">
        <f>SUM(PL!Q79:S79)</f>
        <v>0</v>
      </c>
      <c r="G79" s="1">
        <f>SUM(PL!T79:V79)</f>
        <v>0</v>
      </c>
      <c r="H79" s="1">
        <f>SUM(C79:G79)</f>
        <v>0</v>
      </c>
      <c r="I79" s="1">
        <f>IF(C79 + I78 &lt; 0, C79 + I78, 0)</f>
        <v>0</v>
      </c>
      <c r="J79" s="1">
        <f>IF(D79 + J78 &lt; 0, D79 + J78, 0)</f>
        <v>0</v>
      </c>
      <c r="K79" s="1">
        <f>IF(E79 + K78 &lt; 0, E79 + K78, 0)</f>
        <v>0</v>
      </c>
      <c r="L79" s="1">
        <f>IF(F79 + L78 &lt; 0, F79 + L78, 0)</f>
        <v>0</v>
      </c>
      <c r="M79" s="1">
        <f>IF(G79 + M78 &lt; 0, G79 + M78, 0)</f>
        <v>0</v>
      </c>
      <c r="N79" s="1">
        <f>IF(H79 + N78 &lt; 0, H79 + N78, 0)</f>
        <v>0</v>
      </c>
      <c r="O79" s="1">
        <f>IF(N79 &lt; 0, 1 + O78, 0)</f>
        <v>0</v>
      </c>
      <c r="P79" s="1">
        <f>C79-((ABS(SUM(PL!H79:J79)))*0.125)</f>
        <v>0</v>
      </c>
      <c r="Q79" s="1">
        <f>D79-((ABS(SUM(PL!K79:M79)))*0.125)</f>
        <v>0</v>
      </c>
      <c r="R79" s="1">
        <f>E79-((ABS(SUM(PL!N79:P79)))*0.125)</f>
        <v>0</v>
      </c>
      <c r="S79" s="1">
        <f>F79-((ABS(SUM(PL!Q79:S79)))*0.125)</f>
        <v>0</v>
      </c>
      <c r="T79" s="1">
        <f>G79-((ABS(SUM(PL!T79:V79)))*0.125)</f>
        <v>0</v>
      </c>
      <c r="U79" s="1">
        <f>P79 + Q79 + R79 + S79 + T79</f>
        <v>0</v>
      </c>
      <c r="V79" s="1">
        <f>IF(P79 + V78 &lt; 0, P79 + V78, 0)</f>
        <v>0</v>
      </c>
      <c r="W79" s="1">
        <f>IF(Q79 + W78 &lt; 0, Q79 + W78, 0)</f>
        <v>0</v>
      </c>
      <c r="X79" s="1">
        <f>IF(R79 + X78 &lt; 0, R79 + X78, 0)</f>
        <v>0</v>
      </c>
      <c r="Y79" s="1">
        <f>IF(S79 + Y78 &lt; 0, S79 + Y78, 0)</f>
        <v>0</v>
      </c>
      <c r="Z79" s="1">
        <f>IF(T79 + Z78 &lt; 0, T79 + Z78, 0)</f>
        <v>0</v>
      </c>
      <c r="AA79" s="1">
        <f>IF(U79 + AA78 &lt; 0, U79 + AA78, 0)</f>
        <v>0</v>
      </c>
      <c r="AB79" s="1">
        <f>IF(AA79 &lt; 0, 1 + AB78, 0)</f>
        <v>0</v>
      </c>
      <c r="AC79" s="1">
        <f>IF(H79&lt;0,1,0)</f>
        <v>0</v>
      </c>
      <c r="AD79" s="1">
        <f>IF(AC79=1,H79,0)</f>
        <v>0</v>
      </c>
      <c r="AE79" s="1">
        <f>IF(H79&gt;0,1,0)</f>
        <v>0</v>
      </c>
      <c r="AF79" s="1">
        <f>IF(AE79=1,H79,0)</f>
        <v>0</v>
      </c>
      <c r="AG79" s="1">
        <f>IF(AD79&lt;-20000000.0/100,1,0)</f>
        <v>0</v>
      </c>
      <c r="AH79" s="1">
        <f>IF(AF79&gt;20000000.0/100,1,0)</f>
        <v>0</v>
      </c>
      <c r="AI79" s="1">
        <f>IF(U79&lt;0,1,0)</f>
        <v>0</v>
      </c>
      <c r="AJ79" s="1">
        <f>IF(AI79=1,U79,0)</f>
        <v>0</v>
      </c>
      <c r="AK79" s="1">
        <f>IF(U79&gt;0,1,0)</f>
        <v>0</v>
      </c>
      <c r="AL79" s="1">
        <f>IF(AK79=1,U79,0)</f>
        <v>0</v>
      </c>
      <c r="AM79" s="1">
        <f>IF(AJ79&lt;-20000000.0/100,1,0)</f>
        <v>0</v>
      </c>
      <c r="AN79" s="1">
        <f>IF(AL79&gt;20000000.0/100,1,0)</f>
        <v>0</v>
      </c>
    </row>
    <row r="80" spans="1:40" s="1" customFormat="1">
      <c r="A80" s="3">
        <v>45408</v>
      </c>
      <c r="B80" s="2" t="s">
        <v>26</v>
      </c>
      <c r="C80" s="1">
        <f>SUM(PL!H80:J80)</f>
        <v>0</v>
      </c>
      <c r="D80" s="1">
        <f>SUM(PL!K80:M80)</f>
        <v>0</v>
      </c>
      <c r="E80" s="1">
        <f>SUM(PL!N80:P80)</f>
        <v>0</v>
      </c>
      <c r="F80" s="1">
        <f>SUM(PL!Q80:S80)</f>
        <v>0</v>
      </c>
      <c r="G80" s="1">
        <f>SUM(PL!T80:V80)</f>
        <v>0</v>
      </c>
      <c r="H80" s="1">
        <f>SUM(C80:G80)</f>
        <v>0</v>
      </c>
      <c r="I80" s="1">
        <f>IF(C80 + I79 &lt; 0, C80 + I79, 0)</f>
        <v>0</v>
      </c>
      <c r="J80" s="1">
        <f>IF(D80 + J79 &lt; 0, D80 + J79, 0)</f>
        <v>0</v>
      </c>
      <c r="K80" s="1">
        <f>IF(E80 + K79 &lt; 0, E80 + K79, 0)</f>
        <v>0</v>
      </c>
      <c r="L80" s="1">
        <f>IF(F80 + L79 &lt; 0, F80 + L79, 0)</f>
        <v>0</v>
      </c>
      <c r="M80" s="1">
        <f>IF(G80 + M79 &lt; 0, G80 + M79, 0)</f>
        <v>0</v>
      </c>
      <c r="N80" s="1">
        <f>IF(H80 + N79 &lt; 0, H80 + N79, 0)</f>
        <v>0</v>
      </c>
      <c r="O80" s="1">
        <f>IF(N80 &lt; 0, 1 + O79, 0)</f>
        <v>0</v>
      </c>
      <c r="P80" s="1">
        <f>C80-((ABS(SUM(PL!H80:J80)))*0.125)</f>
        <v>0</v>
      </c>
      <c r="Q80" s="1">
        <f>D80-((ABS(SUM(PL!K80:M80)))*0.125)</f>
        <v>0</v>
      </c>
      <c r="R80" s="1">
        <f>E80-((ABS(SUM(PL!N80:P80)))*0.125)</f>
        <v>0</v>
      </c>
      <c r="S80" s="1">
        <f>F80-((ABS(SUM(PL!Q80:S80)))*0.125)</f>
        <v>0</v>
      </c>
      <c r="T80" s="1">
        <f>G80-((ABS(SUM(PL!T80:V80)))*0.125)</f>
        <v>0</v>
      </c>
      <c r="U80" s="1">
        <f>P80 + Q80 + R80 + S80 + T80</f>
        <v>0</v>
      </c>
      <c r="V80" s="1">
        <f>IF(P80 + V79 &lt; 0, P80 + V79, 0)</f>
        <v>0</v>
      </c>
      <c r="W80" s="1">
        <f>IF(Q80 + W79 &lt; 0, Q80 + W79, 0)</f>
        <v>0</v>
      </c>
      <c r="X80" s="1">
        <f>IF(R80 + X79 &lt; 0, R80 + X79, 0)</f>
        <v>0</v>
      </c>
      <c r="Y80" s="1">
        <f>IF(S80 + Y79 &lt; 0, S80 + Y79, 0)</f>
        <v>0</v>
      </c>
      <c r="Z80" s="1">
        <f>IF(T80 + Z79 &lt; 0, T80 + Z79, 0)</f>
        <v>0</v>
      </c>
      <c r="AA80" s="1">
        <f>IF(U80 + AA79 &lt; 0, U80 + AA79, 0)</f>
        <v>0</v>
      </c>
      <c r="AB80" s="1">
        <f>IF(AA80 &lt; 0, 1 + AB79, 0)</f>
        <v>0</v>
      </c>
      <c r="AC80" s="1">
        <f>IF(H80&lt;0,1,0)</f>
        <v>0</v>
      </c>
      <c r="AD80" s="1">
        <f>IF(AC80=1,H80,0)</f>
        <v>0</v>
      </c>
      <c r="AE80" s="1">
        <f>IF(H80&gt;0,1,0)</f>
        <v>0</v>
      </c>
      <c r="AF80" s="1">
        <f>IF(AE80=1,H80,0)</f>
        <v>0</v>
      </c>
      <c r="AG80" s="1">
        <f>IF(AD80&lt;-20000000.0/100,1,0)</f>
        <v>0</v>
      </c>
      <c r="AH80" s="1">
        <f>IF(AF80&gt;20000000.0/100,1,0)</f>
        <v>0</v>
      </c>
      <c r="AI80" s="1">
        <f>IF(U80&lt;0,1,0)</f>
        <v>0</v>
      </c>
      <c r="AJ80" s="1">
        <f>IF(AI80=1,U80,0)</f>
        <v>0</v>
      </c>
      <c r="AK80" s="1">
        <f>IF(U80&gt;0,1,0)</f>
        <v>0</v>
      </c>
      <c r="AL80" s="1">
        <f>IF(AK80=1,U80,0)</f>
        <v>0</v>
      </c>
      <c r="AM80" s="1">
        <f>IF(AJ80&lt;-20000000.0/100,1,0)</f>
        <v>0</v>
      </c>
      <c r="AN80" s="1">
        <f>IF(AL80&gt;20000000.0/100,1,0)</f>
        <v>0</v>
      </c>
    </row>
    <row r="81" spans="1:40" s="1" customFormat="1">
      <c r="A81" s="3">
        <v>45411</v>
      </c>
      <c r="B81" s="2" t="s">
        <v>22</v>
      </c>
      <c r="C81" s="1">
        <f>SUM(PL!H81:J81)</f>
        <v>0</v>
      </c>
      <c r="D81" s="1">
        <f>SUM(PL!K81:M81)</f>
        <v>0</v>
      </c>
      <c r="E81" s="1">
        <f>SUM(PL!N81:P81)</f>
        <v>0</v>
      </c>
      <c r="F81" s="1">
        <f>SUM(PL!Q81:S81)</f>
        <v>0</v>
      </c>
      <c r="G81" s="1">
        <f>SUM(PL!T81:V81)</f>
        <v>0</v>
      </c>
      <c r="H81" s="1">
        <f>SUM(C81:G81)</f>
        <v>0</v>
      </c>
      <c r="I81" s="1">
        <f>IF(C81 + I80 &lt; 0, C81 + I80, 0)</f>
        <v>0</v>
      </c>
      <c r="J81" s="1">
        <f>IF(D81 + J80 &lt; 0, D81 + J80, 0)</f>
        <v>0</v>
      </c>
      <c r="K81" s="1">
        <f>IF(E81 + K80 &lt; 0, E81 + K80, 0)</f>
        <v>0</v>
      </c>
      <c r="L81" s="1">
        <f>IF(F81 + L80 &lt; 0, F81 + L80, 0)</f>
        <v>0</v>
      </c>
      <c r="M81" s="1">
        <f>IF(G81 + M80 &lt; 0, G81 + M80, 0)</f>
        <v>0</v>
      </c>
      <c r="N81" s="1">
        <f>IF(H81 + N80 &lt; 0, H81 + N80, 0)</f>
        <v>0</v>
      </c>
      <c r="O81" s="1">
        <f>IF(N81 &lt; 0, 1 + O80, 0)</f>
        <v>0</v>
      </c>
      <c r="P81" s="1">
        <f>C81-((ABS(SUM(PL!H81:J81)))*0.125)</f>
        <v>0</v>
      </c>
      <c r="Q81" s="1">
        <f>D81-((ABS(SUM(PL!K81:M81)))*0.125)</f>
        <v>0</v>
      </c>
      <c r="R81" s="1">
        <f>E81-((ABS(SUM(PL!N81:P81)))*0.125)</f>
        <v>0</v>
      </c>
      <c r="S81" s="1">
        <f>F81-((ABS(SUM(PL!Q81:S81)))*0.125)</f>
        <v>0</v>
      </c>
      <c r="T81" s="1">
        <f>G81-((ABS(SUM(PL!T81:V81)))*0.125)</f>
        <v>0</v>
      </c>
      <c r="U81" s="1">
        <f>P81 + Q81 + R81 + S81 + T81</f>
        <v>0</v>
      </c>
      <c r="V81" s="1">
        <f>IF(P81 + V80 &lt; 0, P81 + V80, 0)</f>
        <v>0</v>
      </c>
      <c r="W81" s="1">
        <f>IF(Q81 + W80 &lt; 0, Q81 + W80, 0)</f>
        <v>0</v>
      </c>
      <c r="X81" s="1">
        <f>IF(R81 + X80 &lt; 0, R81 + X80, 0)</f>
        <v>0</v>
      </c>
      <c r="Y81" s="1">
        <f>IF(S81 + Y80 &lt; 0, S81 + Y80, 0)</f>
        <v>0</v>
      </c>
      <c r="Z81" s="1">
        <f>IF(T81 + Z80 &lt; 0, T81 + Z80, 0)</f>
        <v>0</v>
      </c>
      <c r="AA81" s="1">
        <f>IF(U81 + AA80 &lt; 0, U81 + AA80, 0)</f>
        <v>0</v>
      </c>
      <c r="AB81" s="1">
        <f>IF(AA81 &lt; 0, 1 + AB80, 0)</f>
        <v>0</v>
      </c>
      <c r="AC81" s="1">
        <f>IF(H81&lt;0,1,0)</f>
        <v>0</v>
      </c>
      <c r="AD81" s="1">
        <f>IF(AC81=1,H81,0)</f>
        <v>0</v>
      </c>
      <c r="AE81" s="1">
        <f>IF(H81&gt;0,1,0)</f>
        <v>0</v>
      </c>
      <c r="AF81" s="1">
        <f>IF(AE81=1,H81,0)</f>
        <v>0</v>
      </c>
      <c r="AG81" s="1">
        <f>IF(AD81&lt;-20000000.0/100,1,0)</f>
        <v>0</v>
      </c>
      <c r="AH81" s="1">
        <f>IF(AF81&gt;20000000.0/100,1,0)</f>
        <v>0</v>
      </c>
      <c r="AI81" s="1">
        <f>IF(U81&lt;0,1,0)</f>
        <v>0</v>
      </c>
      <c r="AJ81" s="1">
        <f>IF(AI81=1,U81,0)</f>
        <v>0</v>
      </c>
      <c r="AK81" s="1">
        <f>IF(U81&gt;0,1,0)</f>
        <v>0</v>
      </c>
      <c r="AL81" s="1">
        <f>IF(AK81=1,U81,0)</f>
        <v>0</v>
      </c>
      <c r="AM81" s="1">
        <f>IF(AJ81&lt;-20000000.0/100,1,0)</f>
        <v>0</v>
      </c>
      <c r="AN81" s="1">
        <f>IF(AL81&gt;20000000.0/100,1,0)</f>
        <v>0</v>
      </c>
    </row>
    <row r="82" spans="1:40" s="1" customFormat="1">
      <c r="A82" s="3">
        <v>45412</v>
      </c>
      <c r="B82" s="2" t="s">
        <v>23</v>
      </c>
      <c r="C82" s="1">
        <f>SUM(PL!H82:J82)</f>
        <v>0</v>
      </c>
      <c r="D82" s="1">
        <f>SUM(PL!K82:M82)</f>
        <v>0</v>
      </c>
      <c r="E82" s="1">
        <f>SUM(PL!N82:P82)</f>
        <v>0</v>
      </c>
      <c r="F82" s="1">
        <f>SUM(PL!Q82:S82)</f>
        <v>0</v>
      </c>
      <c r="G82" s="1">
        <f>SUM(PL!T82:V82)</f>
        <v>0</v>
      </c>
      <c r="H82" s="1">
        <f>SUM(C82:G82)</f>
        <v>0</v>
      </c>
      <c r="I82" s="1">
        <f>IF(C82 + I81 &lt; 0, C82 + I81, 0)</f>
        <v>0</v>
      </c>
      <c r="J82" s="1">
        <f>IF(D82 + J81 &lt; 0, D82 + J81, 0)</f>
        <v>0</v>
      </c>
      <c r="K82" s="1">
        <f>IF(E82 + K81 &lt; 0, E82 + K81, 0)</f>
        <v>0</v>
      </c>
      <c r="L82" s="1">
        <f>IF(F82 + L81 &lt; 0, F82 + L81, 0)</f>
        <v>0</v>
      </c>
      <c r="M82" s="1">
        <f>IF(G82 + M81 &lt; 0, G82 + M81, 0)</f>
        <v>0</v>
      </c>
      <c r="N82" s="1">
        <f>IF(H82 + N81 &lt; 0, H82 + N81, 0)</f>
        <v>0</v>
      </c>
      <c r="O82" s="1">
        <f>IF(N82 &lt; 0, 1 + O81, 0)</f>
        <v>0</v>
      </c>
      <c r="P82" s="1">
        <f>C82-((ABS(SUM(PL!H82:J82)))*0.125)</f>
        <v>0</v>
      </c>
      <c r="Q82" s="1">
        <f>D82-((ABS(SUM(PL!K82:M82)))*0.125)</f>
        <v>0</v>
      </c>
      <c r="R82" s="1">
        <f>E82-((ABS(SUM(PL!N82:P82)))*0.125)</f>
        <v>0</v>
      </c>
      <c r="S82" s="1">
        <f>F82-((ABS(SUM(PL!Q82:S82)))*0.125)</f>
        <v>0</v>
      </c>
      <c r="T82" s="1">
        <f>G82-((ABS(SUM(PL!T82:V82)))*0.125)</f>
        <v>0</v>
      </c>
      <c r="U82" s="1">
        <f>P82 + Q82 + R82 + S82 + T82</f>
        <v>0</v>
      </c>
      <c r="V82" s="1">
        <f>IF(P82 + V81 &lt; 0, P82 + V81, 0)</f>
        <v>0</v>
      </c>
      <c r="W82" s="1">
        <f>IF(Q82 + W81 &lt; 0, Q82 + W81, 0)</f>
        <v>0</v>
      </c>
      <c r="X82" s="1">
        <f>IF(R82 + X81 &lt; 0, R82 + X81, 0)</f>
        <v>0</v>
      </c>
      <c r="Y82" s="1">
        <f>IF(S82 + Y81 &lt; 0, S82 + Y81, 0)</f>
        <v>0</v>
      </c>
      <c r="Z82" s="1">
        <f>IF(T82 + Z81 &lt; 0, T82 + Z81, 0)</f>
        <v>0</v>
      </c>
      <c r="AA82" s="1">
        <f>IF(U82 + AA81 &lt; 0, U82 + AA81, 0)</f>
        <v>0</v>
      </c>
      <c r="AB82" s="1">
        <f>IF(AA82 &lt; 0, 1 + AB81, 0)</f>
        <v>0</v>
      </c>
      <c r="AC82" s="1">
        <f>IF(H82&lt;0,1,0)</f>
        <v>0</v>
      </c>
      <c r="AD82" s="1">
        <f>IF(AC82=1,H82,0)</f>
        <v>0</v>
      </c>
      <c r="AE82" s="1">
        <f>IF(H82&gt;0,1,0)</f>
        <v>0</v>
      </c>
      <c r="AF82" s="1">
        <f>IF(AE82=1,H82,0)</f>
        <v>0</v>
      </c>
      <c r="AG82" s="1">
        <f>IF(AD82&lt;-20000000.0/100,1,0)</f>
        <v>0</v>
      </c>
      <c r="AH82" s="1">
        <f>IF(AF82&gt;20000000.0/100,1,0)</f>
        <v>0</v>
      </c>
      <c r="AI82" s="1">
        <f>IF(U82&lt;0,1,0)</f>
        <v>0</v>
      </c>
      <c r="AJ82" s="1">
        <f>IF(AI82=1,U82,0)</f>
        <v>0</v>
      </c>
      <c r="AK82" s="1">
        <f>IF(U82&gt;0,1,0)</f>
        <v>0</v>
      </c>
      <c r="AL82" s="1">
        <f>IF(AK82=1,U82,0)</f>
        <v>0</v>
      </c>
      <c r="AM82" s="1">
        <f>IF(AJ82&lt;-20000000.0/100,1,0)</f>
        <v>0</v>
      </c>
      <c r="AN82" s="1">
        <f>IF(AL82&gt;20000000.0/100,1,0)</f>
        <v>0</v>
      </c>
    </row>
    <row r="83" spans="1:40" s="1" customFormat="1">
      <c r="A83" s="3">
        <v>45414</v>
      </c>
      <c r="B83" s="2" t="s">
        <v>25</v>
      </c>
      <c r="C83" s="1">
        <f>SUM(PL!H83:J83)</f>
        <v>0</v>
      </c>
      <c r="D83" s="1">
        <f>SUM(PL!K83:M83)</f>
        <v>0</v>
      </c>
      <c r="E83" s="1">
        <f>SUM(PL!N83:P83)</f>
        <v>0</v>
      </c>
      <c r="F83" s="1">
        <f>SUM(PL!Q83:S83)</f>
        <v>0</v>
      </c>
      <c r="G83" s="1">
        <f>SUM(PL!T83:V83)</f>
        <v>0</v>
      </c>
      <c r="H83" s="1">
        <f>SUM(C83:G83)</f>
        <v>0</v>
      </c>
      <c r="I83" s="1">
        <f>IF(C83 + I82 &lt; 0, C83 + I82, 0)</f>
        <v>0</v>
      </c>
      <c r="J83" s="1">
        <f>IF(D83 + J82 &lt; 0, D83 + J82, 0)</f>
        <v>0</v>
      </c>
      <c r="K83" s="1">
        <f>IF(E83 + K82 &lt; 0, E83 + K82, 0)</f>
        <v>0</v>
      </c>
      <c r="L83" s="1">
        <f>IF(F83 + L82 &lt; 0, F83 + L82, 0)</f>
        <v>0</v>
      </c>
      <c r="M83" s="1">
        <f>IF(G83 + M82 &lt; 0, G83 + M82, 0)</f>
        <v>0</v>
      </c>
      <c r="N83" s="1">
        <f>IF(H83 + N82 &lt; 0, H83 + N82, 0)</f>
        <v>0</v>
      </c>
      <c r="O83" s="1">
        <f>IF(N83 &lt; 0, 1 + O82, 0)</f>
        <v>0</v>
      </c>
      <c r="P83" s="1">
        <f>C83-((ABS(SUM(PL!H83:J83)))*0.125)</f>
        <v>0</v>
      </c>
      <c r="Q83" s="1">
        <f>D83-((ABS(SUM(PL!K83:M83)))*0.125)</f>
        <v>0</v>
      </c>
      <c r="R83" s="1">
        <f>E83-((ABS(SUM(PL!N83:P83)))*0.125)</f>
        <v>0</v>
      </c>
      <c r="S83" s="1">
        <f>F83-((ABS(SUM(PL!Q83:S83)))*0.125)</f>
        <v>0</v>
      </c>
      <c r="T83" s="1">
        <f>G83-((ABS(SUM(PL!T83:V83)))*0.125)</f>
        <v>0</v>
      </c>
      <c r="U83" s="1">
        <f>P83 + Q83 + R83 + S83 + T83</f>
        <v>0</v>
      </c>
      <c r="V83" s="1">
        <f>IF(P83 + V82 &lt; 0, P83 + V82, 0)</f>
        <v>0</v>
      </c>
      <c r="W83" s="1">
        <f>IF(Q83 + W82 &lt; 0, Q83 + W82, 0)</f>
        <v>0</v>
      </c>
      <c r="X83" s="1">
        <f>IF(R83 + X82 &lt; 0, R83 + X82, 0)</f>
        <v>0</v>
      </c>
      <c r="Y83" s="1">
        <f>IF(S83 + Y82 &lt; 0, S83 + Y82, 0)</f>
        <v>0</v>
      </c>
      <c r="Z83" s="1">
        <f>IF(T83 + Z82 &lt; 0, T83 + Z82, 0)</f>
        <v>0</v>
      </c>
      <c r="AA83" s="1">
        <f>IF(U83 + AA82 &lt; 0, U83 + AA82, 0)</f>
        <v>0</v>
      </c>
      <c r="AB83" s="1">
        <f>IF(AA83 &lt; 0, 1 + AB82, 0)</f>
        <v>0</v>
      </c>
      <c r="AC83" s="1">
        <f>IF(H83&lt;0,1,0)</f>
        <v>0</v>
      </c>
      <c r="AD83" s="1">
        <f>IF(AC83=1,H83,0)</f>
        <v>0</v>
      </c>
      <c r="AE83" s="1">
        <f>IF(H83&gt;0,1,0)</f>
        <v>0</v>
      </c>
      <c r="AF83" s="1">
        <f>IF(AE83=1,H83,0)</f>
        <v>0</v>
      </c>
      <c r="AG83" s="1">
        <f>IF(AD83&lt;-20000000.0/100,1,0)</f>
        <v>0</v>
      </c>
      <c r="AH83" s="1">
        <f>IF(AF83&gt;20000000.0/100,1,0)</f>
        <v>0</v>
      </c>
      <c r="AI83" s="1">
        <f>IF(U83&lt;0,1,0)</f>
        <v>0</v>
      </c>
      <c r="AJ83" s="1">
        <f>IF(AI83=1,U83,0)</f>
        <v>0</v>
      </c>
      <c r="AK83" s="1">
        <f>IF(U83&gt;0,1,0)</f>
        <v>0</v>
      </c>
      <c r="AL83" s="1">
        <f>IF(AK83=1,U83,0)</f>
        <v>0</v>
      </c>
      <c r="AM83" s="1">
        <f>IF(AJ83&lt;-20000000.0/100,1,0)</f>
        <v>0</v>
      </c>
      <c r="AN83" s="1">
        <f>IF(AL83&gt;20000000.0/100,1,0)</f>
        <v>0</v>
      </c>
    </row>
    <row r="84" spans="1:40" s="1" customFormat="1">
      <c r="A84" s="3">
        <v>45415</v>
      </c>
      <c r="B84" s="2" t="s">
        <v>26</v>
      </c>
      <c r="C84" s="1">
        <f>SUM(PL!H84:J84)</f>
        <v>0</v>
      </c>
      <c r="D84" s="1">
        <f>SUM(PL!K84:M84)</f>
        <v>0</v>
      </c>
      <c r="E84" s="1">
        <f>SUM(PL!N84:P84)</f>
        <v>0</v>
      </c>
      <c r="F84" s="1">
        <f>SUM(PL!Q84:S84)</f>
        <v>0</v>
      </c>
      <c r="G84" s="1">
        <f>SUM(PL!T84:V84)</f>
        <v>0</v>
      </c>
      <c r="H84" s="1">
        <f>SUM(C84:G84)</f>
        <v>0</v>
      </c>
      <c r="I84" s="1">
        <f>IF(C84 + I83 &lt; 0, C84 + I83, 0)</f>
        <v>0</v>
      </c>
      <c r="J84" s="1">
        <f>IF(D84 + J83 &lt; 0, D84 + J83, 0)</f>
        <v>0</v>
      </c>
      <c r="K84" s="1">
        <f>IF(E84 + K83 &lt; 0, E84 + K83, 0)</f>
        <v>0</v>
      </c>
      <c r="L84" s="1">
        <f>IF(F84 + L83 &lt; 0, F84 + L83, 0)</f>
        <v>0</v>
      </c>
      <c r="M84" s="1">
        <f>IF(G84 + M83 &lt; 0, G84 + M83, 0)</f>
        <v>0</v>
      </c>
      <c r="N84" s="1">
        <f>IF(H84 + N83 &lt; 0, H84 + N83, 0)</f>
        <v>0</v>
      </c>
      <c r="O84" s="1">
        <f>IF(N84 &lt; 0, 1 + O83, 0)</f>
        <v>0</v>
      </c>
      <c r="P84" s="1">
        <f>C84-((ABS(SUM(PL!H84:J84)))*0.125)</f>
        <v>0</v>
      </c>
      <c r="Q84" s="1">
        <f>D84-((ABS(SUM(PL!K84:M84)))*0.125)</f>
        <v>0</v>
      </c>
      <c r="R84" s="1">
        <f>E84-((ABS(SUM(PL!N84:P84)))*0.125)</f>
        <v>0</v>
      </c>
      <c r="S84" s="1">
        <f>F84-((ABS(SUM(PL!Q84:S84)))*0.125)</f>
        <v>0</v>
      </c>
      <c r="T84" s="1">
        <f>G84-((ABS(SUM(PL!T84:V84)))*0.125)</f>
        <v>0</v>
      </c>
      <c r="U84" s="1">
        <f>P84 + Q84 + R84 + S84 + T84</f>
        <v>0</v>
      </c>
      <c r="V84" s="1">
        <f>IF(P84 + V83 &lt; 0, P84 + V83, 0)</f>
        <v>0</v>
      </c>
      <c r="W84" s="1">
        <f>IF(Q84 + W83 &lt; 0, Q84 + W83, 0)</f>
        <v>0</v>
      </c>
      <c r="X84" s="1">
        <f>IF(R84 + X83 &lt; 0, R84 + X83, 0)</f>
        <v>0</v>
      </c>
      <c r="Y84" s="1">
        <f>IF(S84 + Y83 &lt; 0, S84 + Y83, 0)</f>
        <v>0</v>
      </c>
      <c r="Z84" s="1">
        <f>IF(T84 + Z83 &lt; 0, T84 + Z83, 0)</f>
        <v>0</v>
      </c>
      <c r="AA84" s="1">
        <f>IF(U84 + AA83 &lt; 0, U84 + AA83, 0)</f>
        <v>0</v>
      </c>
      <c r="AB84" s="1">
        <f>IF(AA84 &lt; 0, 1 + AB83, 0)</f>
        <v>0</v>
      </c>
      <c r="AC84" s="1">
        <f>IF(H84&lt;0,1,0)</f>
        <v>0</v>
      </c>
      <c r="AD84" s="1">
        <f>IF(AC84=1,H84,0)</f>
        <v>0</v>
      </c>
      <c r="AE84" s="1">
        <f>IF(H84&gt;0,1,0)</f>
        <v>0</v>
      </c>
      <c r="AF84" s="1">
        <f>IF(AE84=1,H84,0)</f>
        <v>0</v>
      </c>
      <c r="AG84" s="1">
        <f>IF(AD84&lt;-20000000.0/100,1,0)</f>
        <v>0</v>
      </c>
      <c r="AH84" s="1">
        <f>IF(AF84&gt;20000000.0/100,1,0)</f>
        <v>0</v>
      </c>
      <c r="AI84" s="1">
        <f>IF(U84&lt;0,1,0)</f>
        <v>0</v>
      </c>
      <c r="AJ84" s="1">
        <f>IF(AI84=1,U84,0)</f>
        <v>0</v>
      </c>
      <c r="AK84" s="1">
        <f>IF(U84&gt;0,1,0)</f>
        <v>0</v>
      </c>
      <c r="AL84" s="1">
        <f>IF(AK84=1,U84,0)</f>
        <v>0</v>
      </c>
      <c r="AM84" s="1">
        <f>IF(AJ84&lt;-20000000.0/100,1,0)</f>
        <v>0</v>
      </c>
      <c r="AN84" s="1">
        <f>IF(AL84&gt;20000000.0/100,1,0)</f>
        <v>0</v>
      </c>
    </row>
    <row r="85" spans="1:40" s="1" customFormat="1">
      <c r="A85" s="3">
        <v>45418</v>
      </c>
      <c r="B85" s="2" t="s">
        <v>22</v>
      </c>
      <c r="C85" s="1">
        <f>SUM(PL!H85:J85)</f>
        <v>0</v>
      </c>
      <c r="D85" s="1">
        <f>SUM(PL!K85:M85)</f>
        <v>0</v>
      </c>
      <c r="E85" s="1">
        <f>SUM(PL!N85:P85)</f>
        <v>0</v>
      </c>
      <c r="F85" s="1">
        <f>SUM(PL!Q85:S85)</f>
        <v>0</v>
      </c>
      <c r="G85" s="1">
        <f>SUM(PL!T85:V85)</f>
        <v>0</v>
      </c>
      <c r="H85" s="1">
        <f>SUM(C85:G85)</f>
        <v>0</v>
      </c>
      <c r="I85" s="1">
        <f>IF(C85 + I84 &lt; 0, C85 + I84, 0)</f>
        <v>0</v>
      </c>
      <c r="J85" s="1">
        <f>IF(D85 + J84 &lt; 0, D85 + J84, 0)</f>
        <v>0</v>
      </c>
      <c r="K85" s="1">
        <f>IF(E85 + K84 &lt; 0, E85 + K84, 0)</f>
        <v>0</v>
      </c>
      <c r="L85" s="1">
        <f>IF(F85 + L84 &lt; 0, F85 + L84, 0)</f>
        <v>0</v>
      </c>
      <c r="M85" s="1">
        <f>IF(G85 + M84 &lt; 0, G85 + M84, 0)</f>
        <v>0</v>
      </c>
      <c r="N85" s="1">
        <f>IF(H85 + N84 &lt; 0, H85 + N84, 0)</f>
        <v>0</v>
      </c>
      <c r="O85" s="1">
        <f>IF(N85 &lt; 0, 1 + O84, 0)</f>
        <v>0</v>
      </c>
      <c r="P85" s="1">
        <f>C85-((ABS(SUM(PL!H85:J85)))*0.125)</f>
        <v>0</v>
      </c>
      <c r="Q85" s="1">
        <f>D85-((ABS(SUM(PL!K85:M85)))*0.125)</f>
        <v>0</v>
      </c>
      <c r="R85" s="1">
        <f>E85-((ABS(SUM(PL!N85:P85)))*0.125)</f>
        <v>0</v>
      </c>
      <c r="S85" s="1">
        <f>F85-((ABS(SUM(PL!Q85:S85)))*0.125)</f>
        <v>0</v>
      </c>
      <c r="T85" s="1">
        <f>G85-((ABS(SUM(PL!T85:V85)))*0.125)</f>
        <v>0</v>
      </c>
      <c r="U85" s="1">
        <f>P85 + Q85 + R85 + S85 + T85</f>
        <v>0</v>
      </c>
      <c r="V85" s="1">
        <f>IF(P85 + V84 &lt; 0, P85 + V84, 0)</f>
        <v>0</v>
      </c>
      <c r="W85" s="1">
        <f>IF(Q85 + W84 &lt; 0, Q85 + W84, 0)</f>
        <v>0</v>
      </c>
      <c r="X85" s="1">
        <f>IF(R85 + X84 &lt; 0, R85 + X84, 0)</f>
        <v>0</v>
      </c>
      <c r="Y85" s="1">
        <f>IF(S85 + Y84 &lt; 0, S85 + Y84, 0)</f>
        <v>0</v>
      </c>
      <c r="Z85" s="1">
        <f>IF(T85 + Z84 &lt; 0, T85 + Z84, 0)</f>
        <v>0</v>
      </c>
      <c r="AA85" s="1">
        <f>IF(U85 + AA84 &lt; 0, U85 + AA84, 0)</f>
        <v>0</v>
      </c>
      <c r="AB85" s="1">
        <f>IF(AA85 &lt; 0, 1 + AB84, 0)</f>
        <v>0</v>
      </c>
      <c r="AC85" s="1">
        <f>IF(H85&lt;0,1,0)</f>
        <v>0</v>
      </c>
      <c r="AD85" s="1">
        <f>IF(AC85=1,H85,0)</f>
        <v>0</v>
      </c>
      <c r="AE85" s="1">
        <f>IF(H85&gt;0,1,0)</f>
        <v>0</v>
      </c>
      <c r="AF85" s="1">
        <f>IF(AE85=1,H85,0)</f>
        <v>0</v>
      </c>
      <c r="AG85" s="1">
        <f>IF(AD85&lt;-20000000.0/100,1,0)</f>
        <v>0</v>
      </c>
      <c r="AH85" s="1">
        <f>IF(AF85&gt;20000000.0/100,1,0)</f>
        <v>0</v>
      </c>
      <c r="AI85" s="1">
        <f>IF(U85&lt;0,1,0)</f>
        <v>0</v>
      </c>
      <c r="AJ85" s="1">
        <f>IF(AI85=1,U85,0)</f>
        <v>0</v>
      </c>
      <c r="AK85" s="1">
        <f>IF(U85&gt;0,1,0)</f>
        <v>0</v>
      </c>
      <c r="AL85" s="1">
        <f>IF(AK85=1,U85,0)</f>
        <v>0</v>
      </c>
      <c r="AM85" s="1">
        <f>IF(AJ85&lt;-20000000.0/100,1,0)</f>
        <v>0</v>
      </c>
      <c r="AN85" s="1">
        <f>IF(AL85&gt;20000000.0/100,1,0)</f>
        <v>0</v>
      </c>
    </row>
    <row r="86" spans="1:40" s="1" customFormat="1">
      <c r="A86" s="3">
        <v>45419</v>
      </c>
      <c r="B86" s="2" t="s">
        <v>23</v>
      </c>
      <c r="C86" s="1">
        <f>SUM(PL!H86:J86)</f>
        <v>0</v>
      </c>
      <c r="D86" s="1">
        <f>SUM(PL!K86:M86)</f>
        <v>0</v>
      </c>
      <c r="E86" s="1">
        <f>SUM(PL!N86:P86)</f>
        <v>0</v>
      </c>
      <c r="F86" s="1">
        <f>SUM(PL!Q86:S86)</f>
        <v>0</v>
      </c>
      <c r="G86" s="1">
        <f>SUM(PL!T86:V86)</f>
        <v>0</v>
      </c>
      <c r="H86" s="1">
        <f>SUM(C86:G86)</f>
        <v>0</v>
      </c>
      <c r="I86" s="1">
        <f>IF(C86 + I85 &lt; 0, C86 + I85, 0)</f>
        <v>0</v>
      </c>
      <c r="J86" s="1">
        <f>IF(D86 + J85 &lt; 0, D86 + J85, 0)</f>
        <v>0</v>
      </c>
      <c r="K86" s="1">
        <f>IF(E86 + K85 &lt; 0, E86 + K85, 0)</f>
        <v>0</v>
      </c>
      <c r="L86" s="1">
        <f>IF(F86 + L85 &lt; 0, F86 + L85, 0)</f>
        <v>0</v>
      </c>
      <c r="M86" s="1">
        <f>IF(G86 + M85 &lt; 0, G86 + M85, 0)</f>
        <v>0</v>
      </c>
      <c r="N86" s="1">
        <f>IF(H86 + N85 &lt; 0, H86 + N85, 0)</f>
        <v>0</v>
      </c>
      <c r="O86" s="1">
        <f>IF(N86 &lt; 0, 1 + O85, 0)</f>
        <v>0</v>
      </c>
      <c r="P86" s="1">
        <f>C86-((ABS(SUM(PL!H86:J86)))*0.125)</f>
        <v>0</v>
      </c>
      <c r="Q86" s="1">
        <f>D86-((ABS(SUM(PL!K86:M86)))*0.125)</f>
        <v>0</v>
      </c>
      <c r="R86" s="1">
        <f>E86-((ABS(SUM(PL!N86:P86)))*0.125)</f>
        <v>0</v>
      </c>
      <c r="S86" s="1">
        <f>F86-((ABS(SUM(PL!Q86:S86)))*0.125)</f>
        <v>0</v>
      </c>
      <c r="T86" s="1">
        <f>G86-((ABS(SUM(PL!T86:V86)))*0.125)</f>
        <v>0</v>
      </c>
      <c r="U86" s="1">
        <f>P86 + Q86 + R86 + S86 + T86</f>
        <v>0</v>
      </c>
      <c r="V86" s="1">
        <f>IF(P86 + V85 &lt; 0, P86 + V85, 0)</f>
        <v>0</v>
      </c>
      <c r="W86" s="1">
        <f>IF(Q86 + W85 &lt; 0, Q86 + W85, 0)</f>
        <v>0</v>
      </c>
      <c r="X86" s="1">
        <f>IF(R86 + X85 &lt; 0, R86 + X85, 0)</f>
        <v>0</v>
      </c>
      <c r="Y86" s="1">
        <f>IF(S86 + Y85 &lt; 0, S86 + Y85, 0)</f>
        <v>0</v>
      </c>
      <c r="Z86" s="1">
        <f>IF(T86 + Z85 &lt; 0, T86 + Z85, 0)</f>
        <v>0</v>
      </c>
      <c r="AA86" s="1">
        <f>IF(U86 + AA85 &lt; 0, U86 + AA85, 0)</f>
        <v>0</v>
      </c>
      <c r="AB86" s="1">
        <f>IF(AA86 &lt; 0, 1 + AB85, 0)</f>
        <v>0</v>
      </c>
      <c r="AC86" s="1">
        <f>IF(H86&lt;0,1,0)</f>
        <v>0</v>
      </c>
      <c r="AD86" s="1">
        <f>IF(AC86=1,H86,0)</f>
        <v>0</v>
      </c>
      <c r="AE86" s="1">
        <f>IF(H86&gt;0,1,0)</f>
        <v>0</v>
      </c>
      <c r="AF86" s="1">
        <f>IF(AE86=1,H86,0)</f>
        <v>0</v>
      </c>
      <c r="AG86" s="1">
        <f>IF(AD86&lt;-20000000.0/100,1,0)</f>
        <v>0</v>
      </c>
      <c r="AH86" s="1">
        <f>IF(AF86&gt;20000000.0/100,1,0)</f>
        <v>0</v>
      </c>
      <c r="AI86" s="1">
        <f>IF(U86&lt;0,1,0)</f>
        <v>0</v>
      </c>
      <c r="AJ86" s="1">
        <f>IF(AI86=1,U86,0)</f>
        <v>0</v>
      </c>
      <c r="AK86" s="1">
        <f>IF(U86&gt;0,1,0)</f>
        <v>0</v>
      </c>
      <c r="AL86" s="1">
        <f>IF(AK86=1,U86,0)</f>
        <v>0</v>
      </c>
      <c r="AM86" s="1">
        <f>IF(AJ86&lt;-20000000.0/100,1,0)</f>
        <v>0</v>
      </c>
      <c r="AN86" s="1">
        <f>IF(AL86&gt;20000000.0/100,1,0)</f>
        <v>0</v>
      </c>
    </row>
    <row r="87" spans="1:40" s="1" customFormat="1">
      <c r="A87" s="3">
        <v>45420</v>
      </c>
      <c r="B87" s="2" t="s">
        <v>24</v>
      </c>
      <c r="C87" s="1">
        <f>SUM(PL!H87:J87)</f>
        <v>0</v>
      </c>
      <c r="D87" s="1">
        <f>SUM(PL!K87:M87)</f>
        <v>0</v>
      </c>
      <c r="E87" s="1">
        <f>SUM(PL!N87:P87)</f>
        <v>0</v>
      </c>
      <c r="F87" s="1">
        <f>SUM(PL!Q87:S87)</f>
        <v>0</v>
      </c>
      <c r="G87" s="1">
        <f>SUM(PL!T87:V87)</f>
        <v>0</v>
      </c>
      <c r="H87" s="1">
        <f>SUM(C87:G87)</f>
        <v>0</v>
      </c>
      <c r="I87" s="1">
        <f>IF(C87 + I86 &lt; 0, C87 + I86, 0)</f>
        <v>0</v>
      </c>
      <c r="J87" s="1">
        <f>IF(D87 + J86 &lt; 0, D87 + J86, 0)</f>
        <v>0</v>
      </c>
      <c r="K87" s="1">
        <f>IF(E87 + K86 &lt; 0, E87 + K86, 0)</f>
        <v>0</v>
      </c>
      <c r="L87" s="1">
        <f>IF(F87 + L86 &lt; 0, F87 + L86, 0)</f>
        <v>0</v>
      </c>
      <c r="M87" s="1">
        <f>IF(G87 + M86 &lt; 0, G87 + M86, 0)</f>
        <v>0</v>
      </c>
      <c r="N87" s="1">
        <f>IF(H87 + N86 &lt; 0, H87 + N86, 0)</f>
        <v>0</v>
      </c>
      <c r="O87" s="1">
        <f>IF(N87 &lt; 0, 1 + O86, 0)</f>
        <v>0</v>
      </c>
      <c r="P87" s="1">
        <f>C87-((ABS(SUM(PL!H87:J87)))*0.125)</f>
        <v>0</v>
      </c>
      <c r="Q87" s="1">
        <f>D87-((ABS(SUM(PL!K87:M87)))*0.125)</f>
        <v>0</v>
      </c>
      <c r="R87" s="1">
        <f>E87-((ABS(SUM(PL!N87:P87)))*0.125)</f>
        <v>0</v>
      </c>
      <c r="S87" s="1">
        <f>F87-((ABS(SUM(PL!Q87:S87)))*0.125)</f>
        <v>0</v>
      </c>
      <c r="T87" s="1">
        <f>G87-((ABS(SUM(PL!T87:V87)))*0.125)</f>
        <v>0</v>
      </c>
      <c r="U87" s="1">
        <f>P87 + Q87 + R87 + S87 + T87</f>
        <v>0</v>
      </c>
      <c r="V87" s="1">
        <f>IF(P87 + V86 &lt; 0, P87 + V86, 0)</f>
        <v>0</v>
      </c>
      <c r="W87" s="1">
        <f>IF(Q87 + W86 &lt; 0, Q87 + W86, 0)</f>
        <v>0</v>
      </c>
      <c r="X87" s="1">
        <f>IF(R87 + X86 &lt; 0, R87 + X86, 0)</f>
        <v>0</v>
      </c>
      <c r="Y87" s="1">
        <f>IF(S87 + Y86 &lt; 0, S87 + Y86, 0)</f>
        <v>0</v>
      </c>
      <c r="Z87" s="1">
        <f>IF(T87 + Z86 &lt; 0, T87 + Z86, 0)</f>
        <v>0</v>
      </c>
      <c r="AA87" s="1">
        <f>IF(U87 + AA86 &lt; 0, U87 + AA86, 0)</f>
        <v>0</v>
      </c>
      <c r="AB87" s="1">
        <f>IF(AA87 &lt; 0, 1 + AB86, 0)</f>
        <v>0</v>
      </c>
      <c r="AC87" s="1">
        <f>IF(H87&lt;0,1,0)</f>
        <v>0</v>
      </c>
      <c r="AD87" s="1">
        <f>IF(AC87=1,H87,0)</f>
        <v>0</v>
      </c>
      <c r="AE87" s="1">
        <f>IF(H87&gt;0,1,0)</f>
        <v>0</v>
      </c>
      <c r="AF87" s="1">
        <f>IF(AE87=1,H87,0)</f>
        <v>0</v>
      </c>
      <c r="AG87" s="1">
        <f>IF(AD87&lt;-20000000.0/100,1,0)</f>
        <v>0</v>
      </c>
      <c r="AH87" s="1">
        <f>IF(AF87&gt;20000000.0/100,1,0)</f>
        <v>0</v>
      </c>
      <c r="AI87" s="1">
        <f>IF(U87&lt;0,1,0)</f>
        <v>0</v>
      </c>
      <c r="AJ87" s="1">
        <f>IF(AI87=1,U87,0)</f>
        <v>0</v>
      </c>
      <c r="AK87" s="1">
        <f>IF(U87&gt;0,1,0)</f>
        <v>0</v>
      </c>
      <c r="AL87" s="1">
        <f>IF(AK87=1,U87,0)</f>
        <v>0</v>
      </c>
      <c r="AM87" s="1">
        <f>IF(AJ87&lt;-20000000.0/100,1,0)</f>
        <v>0</v>
      </c>
      <c r="AN87" s="1">
        <f>IF(AL87&gt;20000000.0/100,1,0)</f>
        <v>0</v>
      </c>
    </row>
    <row r="88" spans="1:40" s="1" customFormat="1">
      <c r="A88" s="3">
        <v>45421</v>
      </c>
      <c r="B88" s="2" t="s">
        <v>25</v>
      </c>
      <c r="C88" s="1">
        <f>SUM(PL!H88:J88)</f>
        <v>0</v>
      </c>
      <c r="D88" s="1">
        <f>SUM(PL!K88:M88)</f>
        <v>0</v>
      </c>
      <c r="E88" s="1">
        <f>SUM(PL!N88:P88)</f>
        <v>0</v>
      </c>
      <c r="F88" s="1">
        <f>SUM(PL!Q88:S88)</f>
        <v>0</v>
      </c>
      <c r="G88" s="1">
        <f>SUM(PL!T88:V88)</f>
        <v>0</v>
      </c>
      <c r="H88" s="1">
        <f>SUM(C88:G88)</f>
        <v>0</v>
      </c>
      <c r="I88" s="1">
        <f>IF(C88 + I87 &lt; 0, C88 + I87, 0)</f>
        <v>0</v>
      </c>
      <c r="J88" s="1">
        <f>IF(D88 + J87 &lt; 0, D88 + J87, 0)</f>
        <v>0</v>
      </c>
      <c r="K88" s="1">
        <f>IF(E88 + K87 &lt; 0, E88 + K87, 0)</f>
        <v>0</v>
      </c>
      <c r="L88" s="1">
        <f>IF(F88 + L87 &lt; 0, F88 + L87, 0)</f>
        <v>0</v>
      </c>
      <c r="M88" s="1">
        <f>IF(G88 + M87 &lt; 0, G88 + M87, 0)</f>
        <v>0</v>
      </c>
      <c r="N88" s="1">
        <f>IF(H88 + N87 &lt; 0, H88 + N87, 0)</f>
        <v>0</v>
      </c>
      <c r="O88" s="1">
        <f>IF(N88 &lt; 0, 1 + O87, 0)</f>
        <v>0</v>
      </c>
      <c r="P88" s="1">
        <f>C88-((ABS(SUM(PL!H88:J88)))*0.125)</f>
        <v>0</v>
      </c>
      <c r="Q88" s="1">
        <f>D88-((ABS(SUM(PL!K88:M88)))*0.125)</f>
        <v>0</v>
      </c>
      <c r="R88" s="1">
        <f>E88-((ABS(SUM(PL!N88:P88)))*0.125)</f>
        <v>0</v>
      </c>
      <c r="S88" s="1">
        <f>F88-((ABS(SUM(PL!Q88:S88)))*0.125)</f>
        <v>0</v>
      </c>
      <c r="T88" s="1">
        <f>G88-((ABS(SUM(PL!T88:V88)))*0.125)</f>
        <v>0</v>
      </c>
      <c r="U88" s="1">
        <f>P88 + Q88 + R88 + S88 + T88</f>
        <v>0</v>
      </c>
      <c r="V88" s="1">
        <f>IF(P88 + V87 &lt; 0, P88 + V87, 0)</f>
        <v>0</v>
      </c>
      <c r="W88" s="1">
        <f>IF(Q88 + W87 &lt; 0, Q88 + W87, 0)</f>
        <v>0</v>
      </c>
      <c r="X88" s="1">
        <f>IF(R88 + X87 &lt; 0, R88 + X87, 0)</f>
        <v>0</v>
      </c>
      <c r="Y88" s="1">
        <f>IF(S88 + Y87 &lt; 0, S88 + Y87, 0)</f>
        <v>0</v>
      </c>
      <c r="Z88" s="1">
        <f>IF(T88 + Z87 &lt; 0, T88 + Z87, 0)</f>
        <v>0</v>
      </c>
      <c r="AA88" s="1">
        <f>IF(U88 + AA87 &lt; 0, U88 + AA87, 0)</f>
        <v>0</v>
      </c>
      <c r="AB88" s="1">
        <f>IF(AA88 &lt; 0, 1 + AB87, 0)</f>
        <v>0</v>
      </c>
      <c r="AC88" s="1">
        <f>IF(H88&lt;0,1,0)</f>
        <v>0</v>
      </c>
      <c r="AD88" s="1">
        <f>IF(AC88=1,H88,0)</f>
        <v>0</v>
      </c>
      <c r="AE88" s="1">
        <f>IF(H88&gt;0,1,0)</f>
        <v>0</v>
      </c>
      <c r="AF88" s="1">
        <f>IF(AE88=1,H88,0)</f>
        <v>0</v>
      </c>
      <c r="AG88" s="1">
        <f>IF(AD88&lt;-20000000.0/100,1,0)</f>
        <v>0</v>
      </c>
      <c r="AH88" s="1">
        <f>IF(AF88&gt;20000000.0/100,1,0)</f>
        <v>0</v>
      </c>
      <c r="AI88" s="1">
        <f>IF(U88&lt;0,1,0)</f>
        <v>0</v>
      </c>
      <c r="AJ88" s="1">
        <f>IF(AI88=1,U88,0)</f>
        <v>0</v>
      </c>
      <c r="AK88" s="1">
        <f>IF(U88&gt;0,1,0)</f>
        <v>0</v>
      </c>
      <c r="AL88" s="1">
        <f>IF(AK88=1,U88,0)</f>
        <v>0</v>
      </c>
      <c r="AM88" s="1">
        <f>IF(AJ88&lt;-20000000.0/100,1,0)</f>
        <v>0</v>
      </c>
      <c r="AN88" s="1">
        <f>IF(AL88&gt;20000000.0/100,1,0)</f>
        <v>0</v>
      </c>
    </row>
    <row r="89" spans="1:40" s="1" customFormat="1">
      <c r="A89" s="3">
        <v>45422</v>
      </c>
      <c r="B89" s="2" t="s">
        <v>26</v>
      </c>
      <c r="C89" s="1">
        <f>SUM(PL!H89:J89)</f>
        <v>0</v>
      </c>
      <c r="D89" s="1">
        <f>SUM(PL!K89:M89)</f>
        <v>0</v>
      </c>
      <c r="E89" s="1">
        <f>SUM(PL!N89:P89)</f>
        <v>0</v>
      </c>
      <c r="F89" s="1">
        <f>SUM(PL!Q89:S89)</f>
        <v>0</v>
      </c>
      <c r="G89" s="1">
        <f>SUM(PL!T89:V89)</f>
        <v>0</v>
      </c>
      <c r="H89" s="1">
        <f>SUM(C89:G89)</f>
        <v>0</v>
      </c>
      <c r="I89" s="1">
        <f>IF(C89 + I88 &lt; 0, C89 + I88, 0)</f>
        <v>0</v>
      </c>
      <c r="J89" s="1">
        <f>IF(D89 + J88 &lt; 0, D89 + J88, 0)</f>
        <v>0</v>
      </c>
      <c r="K89" s="1">
        <f>IF(E89 + K88 &lt; 0, E89 + K88, 0)</f>
        <v>0</v>
      </c>
      <c r="L89" s="1">
        <f>IF(F89 + L88 &lt; 0, F89 + L88, 0)</f>
        <v>0</v>
      </c>
      <c r="M89" s="1">
        <f>IF(G89 + M88 &lt; 0, G89 + M88, 0)</f>
        <v>0</v>
      </c>
      <c r="N89" s="1">
        <f>IF(H89 + N88 &lt; 0, H89 + N88, 0)</f>
        <v>0</v>
      </c>
      <c r="O89" s="1">
        <f>IF(N89 &lt; 0, 1 + O88, 0)</f>
        <v>0</v>
      </c>
      <c r="P89" s="1">
        <f>C89-((ABS(SUM(PL!H89:J89)))*0.125)</f>
        <v>0</v>
      </c>
      <c r="Q89" s="1">
        <f>D89-((ABS(SUM(PL!K89:M89)))*0.125)</f>
        <v>0</v>
      </c>
      <c r="R89" s="1">
        <f>E89-((ABS(SUM(PL!N89:P89)))*0.125)</f>
        <v>0</v>
      </c>
      <c r="S89" s="1">
        <f>F89-((ABS(SUM(PL!Q89:S89)))*0.125)</f>
        <v>0</v>
      </c>
      <c r="T89" s="1">
        <f>G89-((ABS(SUM(PL!T89:V89)))*0.125)</f>
        <v>0</v>
      </c>
      <c r="U89" s="1">
        <f>P89 + Q89 + R89 + S89 + T89</f>
        <v>0</v>
      </c>
      <c r="V89" s="1">
        <f>IF(P89 + V88 &lt; 0, P89 + V88, 0)</f>
        <v>0</v>
      </c>
      <c r="W89" s="1">
        <f>IF(Q89 + W88 &lt; 0, Q89 + W88, 0)</f>
        <v>0</v>
      </c>
      <c r="X89" s="1">
        <f>IF(R89 + X88 &lt; 0, R89 + X88, 0)</f>
        <v>0</v>
      </c>
      <c r="Y89" s="1">
        <f>IF(S89 + Y88 &lt; 0, S89 + Y88, 0)</f>
        <v>0</v>
      </c>
      <c r="Z89" s="1">
        <f>IF(T89 + Z88 &lt; 0, T89 + Z88, 0)</f>
        <v>0</v>
      </c>
      <c r="AA89" s="1">
        <f>IF(U89 + AA88 &lt; 0, U89 + AA88, 0)</f>
        <v>0</v>
      </c>
      <c r="AB89" s="1">
        <f>IF(AA89 &lt; 0, 1 + AB88, 0)</f>
        <v>0</v>
      </c>
      <c r="AC89" s="1">
        <f>IF(H89&lt;0,1,0)</f>
        <v>0</v>
      </c>
      <c r="AD89" s="1">
        <f>IF(AC89=1,H89,0)</f>
        <v>0</v>
      </c>
      <c r="AE89" s="1">
        <f>IF(H89&gt;0,1,0)</f>
        <v>0</v>
      </c>
      <c r="AF89" s="1">
        <f>IF(AE89=1,H89,0)</f>
        <v>0</v>
      </c>
      <c r="AG89" s="1">
        <f>IF(AD89&lt;-20000000.0/100,1,0)</f>
        <v>0</v>
      </c>
      <c r="AH89" s="1">
        <f>IF(AF89&gt;20000000.0/100,1,0)</f>
        <v>0</v>
      </c>
      <c r="AI89" s="1">
        <f>IF(U89&lt;0,1,0)</f>
        <v>0</v>
      </c>
      <c r="AJ89" s="1">
        <f>IF(AI89=1,U89,0)</f>
        <v>0</v>
      </c>
      <c r="AK89" s="1">
        <f>IF(U89&gt;0,1,0)</f>
        <v>0</v>
      </c>
      <c r="AL89" s="1">
        <f>IF(AK89=1,U89,0)</f>
        <v>0</v>
      </c>
      <c r="AM89" s="1">
        <f>IF(AJ89&lt;-20000000.0/100,1,0)</f>
        <v>0</v>
      </c>
      <c r="AN89" s="1">
        <f>IF(AL89&gt;20000000.0/100,1,0)</f>
        <v>0</v>
      </c>
    </row>
    <row r="90" spans="1:40" s="1" customFormat="1">
      <c r="A90" s="3">
        <v>45425</v>
      </c>
      <c r="B90" s="2" t="s">
        <v>22</v>
      </c>
      <c r="C90" s="1">
        <f>SUM(PL!H90:J90)</f>
        <v>0</v>
      </c>
      <c r="D90" s="1">
        <f>SUM(PL!K90:M90)</f>
        <v>0</v>
      </c>
      <c r="E90" s="1">
        <f>SUM(PL!N90:P90)</f>
        <v>0</v>
      </c>
      <c r="F90" s="1">
        <f>SUM(PL!Q90:S90)</f>
        <v>0</v>
      </c>
      <c r="G90" s="1">
        <f>SUM(PL!T90:V90)</f>
        <v>0</v>
      </c>
      <c r="H90" s="1">
        <f>SUM(C90:G90)</f>
        <v>0</v>
      </c>
      <c r="I90" s="1">
        <f>IF(C90 + I89 &lt; 0, C90 + I89, 0)</f>
        <v>0</v>
      </c>
      <c r="J90" s="1">
        <f>IF(D90 + J89 &lt; 0, D90 + J89, 0)</f>
        <v>0</v>
      </c>
      <c r="K90" s="1">
        <f>IF(E90 + K89 &lt; 0, E90 + K89, 0)</f>
        <v>0</v>
      </c>
      <c r="L90" s="1">
        <f>IF(F90 + L89 &lt; 0, F90 + L89, 0)</f>
        <v>0</v>
      </c>
      <c r="M90" s="1">
        <f>IF(G90 + M89 &lt; 0, G90 + M89, 0)</f>
        <v>0</v>
      </c>
      <c r="N90" s="1">
        <f>IF(H90 + N89 &lt; 0, H90 + N89, 0)</f>
        <v>0</v>
      </c>
      <c r="O90" s="1">
        <f>IF(N90 &lt; 0, 1 + O89, 0)</f>
        <v>0</v>
      </c>
      <c r="P90" s="1">
        <f>C90-((ABS(SUM(PL!H90:J90)))*0.125)</f>
        <v>0</v>
      </c>
      <c r="Q90" s="1">
        <f>D90-((ABS(SUM(PL!K90:M90)))*0.125)</f>
        <v>0</v>
      </c>
      <c r="R90" s="1">
        <f>E90-((ABS(SUM(PL!N90:P90)))*0.125)</f>
        <v>0</v>
      </c>
      <c r="S90" s="1">
        <f>F90-((ABS(SUM(PL!Q90:S90)))*0.125)</f>
        <v>0</v>
      </c>
      <c r="T90" s="1">
        <f>G90-((ABS(SUM(PL!T90:V90)))*0.125)</f>
        <v>0</v>
      </c>
      <c r="U90" s="1">
        <f>P90 + Q90 + R90 + S90 + T90</f>
        <v>0</v>
      </c>
      <c r="V90" s="1">
        <f>IF(P90 + V89 &lt; 0, P90 + V89, 0)</f>
        <v>0</v>
      </c>
      <c r="W90" s="1">
        <f>IF(Q90 + W89 &lt; 0, Q90 + W89, 0)</f>
        <v>0</v>
      </c>
      <c r="X90" s="1">
        <f>IF(R90 + X89 &lt; 0, R90 + X89, 0)</f>
        <v>0</v>
      </c>
      <c r="Y90" s="1">
        <f>IF(S90 + Y89 &lt; 0, S90 + Y89, 0)</f>
        <v>0</v>
      </c>
      <c r="Z90" s="1">
        <f>IF(T90 + Z89 &lt; 0, T90 + Z89, 0)</f>
        <v>0</v>
      </c>
      <c r="AA90" s="1">
        <f>IF(U90 + AA89 &lt; 0, U90 + AA89, 0)</f>
        <v>0</v>
      </c>
      <c r="AB90" s="1">
        <f>IF(AA90 &lt; 0, 1 + AB89, 0)</f>
        <v>0</v>
      </c>
      <c r="AC90" s="1">
        <f>IF(H90&lt;0,1,0)</f>
        <v>0</v>
      </c>
      <c r="AD90" s="1">
        <f>IF(AC90=1,H90,0)</f>
        <v>0</v>
      </c>
      <c r="AE90" s="1">
        <f>IF(H90&gt;0,1,0)</f>
        <v>0</v>
      </c>
      <c r="AF90" s="1">
        <f>IF(AE90=1,H90,0)</f>
        <v>0</v>
      </c>
      <c r="AG90" s="1">
        <f>IF(AD90&lt;-20000000.0/100,1,0)</f>
        <v>0</v>
      </c>
      <c r="AH90" s="1">
        <f>IF(AF90&gt;20000000.0/100,1,0)</f>
        <v>0</v>
      </c>
      <c r="AI90" s="1">
        <f>IF(U90&lt;0,1,0)</f>
        <v>0</v>
      </c>
      <c r="AJ90" s="1">
        <f>IF(AI90=1,U90,0)</f>
        <v>0</v>
      </c>
      <c r="AK90" s="1">
        <f>IF(U90&gt;0,1,0)</f>
        <v>0</v>
      </c>
      <c r="AL90" s="1">
        <f>IF(AK90=1,U90,0)</f>
        <v>0</v>
      </c>
      <c r="AM90" s="1">
        <f>IF(AJ90&lt;-20000000.0/100,1,0)</f>
        <v>0</v>
      </c>
      <c r="AN90" s="1">
        <f>IF(AL90&gt;20000000.0/100,1,0)</f>
        <v>0</v>
      </c>
    </row>
    <row r="91" spans="1:40" s="1" customFormat="1">
      <c r="A91" s="3">
        <v>45426</v>
      </c>
      <c r="B91" s="2" t="s">
        <v>23</v>
      </c>
      <c r="C91" s="1">
        <f>SUM(PL!H91:J91)</f>
        <v>0</v>
      </c>
      <c r="D91" s="1">
        <f>SUM(PL!K91:M91)</f>
        <v>0</v>
      </c>
      <c r="E91" s="1">
        <f>SUM(PL!N91:P91)</f>
        <v>0</v>
      </c>
      <c r="F91" s="1">
        <f>SUM(PL!Q91:S91)</f>
        <v>0</v>
      </c>
      <c r="G91" s="1">
        <f>SUM(PL!T91:V91)</f>
        <v>0</v>
      </c>
      <c r="H91" s="1">
        <f>SUM(C91:G91)</f>
        <v>0</v>
      </c>
      <c r="I91" s="1">
        <f>IF(C91 + I90 &lt; 0, C91 + I90, 0)</f>
        <v>0</v>
      </c>
      <c r="J91" s="1">
        <f>IF(D91 + J90 &lt; 0, D91 + J90, 0)</f>
        <v>0</v>
      </c>
      <c r="K91" s="1">
        <f>IF(E91 + K90 &lt; 0, E91 + K90, 0)</f>
        <v>0</v>
      </c>
      <c r="L91" s="1">
        <f>IF(F91 + L90 &lt; 0, F91 + L90, 0)</f>
        <v>0</v>
      </c>
      <c r="M91" s="1">
        <f>IF(G91 + M90 &lt; 0, G91 + M90, 0)</f>
        <v>0</v>
      </c>
      <c r="N91" s="1">
        <f>IF(H91 + N90 &lt; 0, H91 + N90, 0)</f>
        <v>0</v>
      </c>
      <c r="O91" s="1">
        <f>IF(N91 &lt; 0, 1 + O90, 0)</f>
        <v>0</v>
      </c>
      <c r="P91" s="1">
        <f>C91-((ABS(SUM(PL!H91:J91)))*0.125)</f>
        <v>0</v>
      </c>
      <c r="Q91" s="1">
        <f>D91-((ABS(SUM(PL!K91:M91)))*0.125)</f>
        <v>0</v>
      </c>
      <c r="R91" s="1">
        <f>E91-((ABS(SUM(PL!N91:P91)))*0.125)</f>
        <v>0</v>
      </c>
      <c r="S91" s="1">
        <f>F91-((ABS(SUM(PL!Q91:S91)))*0.125)</f>
        <v>0</v>
      </c>
      <c r="T91" s="1">
        <f>G91-((ABS(SUM(PL!T91:V91)))*0.125)</f>
        <v>0</v>
      </c>
      <c r="U91" s="1">
        <f>P91 + Q91 + R91 + S91 + T91</f>
        <v>0</v>
      </c>
      <c r="V91" s="1">
        <f>IF(P91 + V90 &lt; 0, P91 + V90, 0)</f>
        <v>0</v>
      </c>
      <c r="W91" s="1">
        <f>IF(Q91 + W90 &lt; 0, Q91 + W90, 0)</f>
        <v>0</v>
      </c>
      <c r="X91" s="1">
        <f>IF(R91 + X90 &lt; 0, R91 + X90, 0)</f>
        <v>0</v>
      </c>
      <c r="Y91" s="1">
        <f>IF(S91 + Y90 &lt; 0, S91 + Y90, 0)</f>
        <v>0</v>
      </c>
      <c r="Z91" s="1">
        <f>IF(T91 + Z90 &lt; 0, T91 + Z90, 0)</f>
        <v>0</v>
      </c>
      <c r="AA91" s="1">
        <f>IF(U91 + AA90 &lt; 0, U91 + AA90, 0)</f>
        <v>0</v>
      </c>
      <c r="AB91" s="1">
        <f>IF(AA91 &lt; 0, 1 + AB90, 0)</f>
        <v>0</v>
      </c>
      <c r="AC91" s="1">
        <f>IF(H91&lt;0,1,0)</f>
        <v>0</v>
      </c>
      <c r="AD91" s="1">
        <f>IF(AC91=1,H91,0)</f>
        <v>0</v>
      </c>
      <c r="AE91" s="1">
        <f>IF(H91&gt;0,1,0)</f>
        <v>0</v>
      </c>
      <c r="AF91" s="1">
        <f>IF(AE91=1,H91,0)</f>
        <v>0</v>
      </c>
      <c r="AG91" s="1">
        <f>IF(AD91&lt;-20000000.0/100,1,0)</f>
        <v>0</v>
      </c>
      <c r="AH91" s="1">
        <f>IF(AF91&gt;20000000.0/100,1,0)</f>
        <v>0</v>
      </c>
      <c r="AI91" s="1">
        <f>IF(U91&lt;0,1,0)</f>
        <v>0</v>
      </c>
      <c r="AJ91" s="1">
        <f>IF(AI91=1,U91,0)</f>
        <v>0</v>
      </c>
      <c r="AK91" s="1">
        <f>IF(U91&gt;0,1,0)</f>
        <v>0</v>
      </c>
      <c r="AL91" s="1">
        <f>IF(AK91=1,U91,0)</f>
        <v>0</v>
      </c>
      <c r="AM91" s="1">
        <f>IF(AJ91&lt;-20000000.0/100,1,0)</f>
        <v>0</v>
      </c>
      <c r="AN91" s="1">
        <f>IF(AL91&gt;20000000.0/100,1,0)</f>
        <v>0</v>
      </c>
    </row>
    <row r="92" spans="1:40" s="1" customFormat="1">
      <c r="A92" s="3">
        <v>45427</v>
      </c>
      <c r="B92" s="2" t="s">
        <v>24</v>
      </c>
      <c r="C92" s="1">
        <f>SUM(PL!H92:J92)</f>
        <v>0</v>
      </c>
      <c r="D92" s="1">
        <f>SUM(PL!K92:M92)</f>
        <v>0</v>
      </c>
      <c r="E92" s="1">
        <f>SUM(PL!N92:P92)</f>
        <v>0</v>
      </c>
      <c r="F92" s="1">
        <f>SUM(PL!Q92:S92)</f>
        <v>0</v>
      </c>
      <c r="G92" s="1">
        <f>SUM(PL!T92:V92)</f>
        <v>0</v>
      </c>
      <c r="H92" s="1">
        <f>SUM(C92:G92)</f>
        <v>0</v>
      </c>
      <c r="I92" s="1">
        <f>IF(C92 + I91 &lt; 0, C92 + I91, 0)</f>
        <v>0</v>
      </c>
      <c r="J92" s="1">
        <f>IF(D92 + J91 &lt; 0, D92 + J91, 0)</f>
        <v>0</v>
      </c>
      <c r="K92" s="1">
        <f>IF(E92 + K91 &lt; 0, E92 + K91, 0)</f>
        <v>0</v>
      </c>
      <c r="L92" s="1">
        <f>IF(F92 + L91 &lt; 0, F92 + L91, 0)</f>
        <v>0</v>
      </c>
      <c r="M92" s="1">
        <f>IF(G92 + M91 &lt; 0, G92 + M91, 0)</f>
        <v>0</v>
      </c>
      <c r="N92" s="1">
        <f>IF(H92 + N91 &lt; 0, H92 + N91, 0)</f>
        <v>0</v>
      </c>
      <c r="O92" s="1">
        <f>IF(N92 &lt; 0, 1 + O91, 0)</f>
        <v>0</v>
      </c>
      <c r="P92" s="1">
        <f>C92-((ABS(SUM(PL!H92:J92)))*0.125)</f>
        <v>0</v>
      </c>
      <c r="Q92" s="1">
        <f>D92-((ABS(SUM(PL!K92:M92)))*0.125)</f>
        <v>0</v>
      </c>
      <c r="R92" s="1">
        <f>E92-((ABS(SUM(PL!N92:P92)))*0.125)</f>
        <v>0</v>
      </c>
      <c r="S92" s="1">
        <f>F92-((ABS(SUM(PL!Q92:S92)))*0.125)</f>
        <v>0</v>
      </c>
      <c r="T92" s="1">
        <f>G92-((ABS(SUM(PL!T92:V92)))*0.125)</f>
        <v>0</v>
      </c>
      <c r="U92" s="1">
        <f>P92 + Q92 + R92 + S92 + T92</f>
        <v>0</v>
      </c>
      <c r="V92" s="1">
        <f>IF(P92 + V91 &lt; 0, P92 + V91, 0)</f>
        <v>0</v>
      </c>
      <c r="W92" s="1">
        <f>IF(Q92 + W91 &lt; 0, Q92 + W91, 0)</f>
        <v>0</v>
      </c>
      <c r="X92" s="1">
        <f>IF(R92 + X91 &lt; 0, R92 + X91, 0)</f>
        <v>0</v>
      </c>
      <c r="Y92" s="1">
        <f>IF(S92 + Y91 &lt; 0, S92 + Y91, 0)</f>
        <v>0</v>
      </c>
      <c r="Z92" s="1">
        <f>IF(T92 + Z91 &lt; 0, T92 + Z91, 0)</f>
        <v>0</v>
      </c>
      <c r="AA92" s="1">
        <f>IF(U92 + AA91 &lt; 0, U92 + AA91, 0)</f>
        <v>0</v>
      </c>
      <c r="AB92" s="1">
        <f>IF(AA92 &lt; 0, 1 + AB91, 0)</f>
        <v>0</v>
      </c>
      <c r="AC92" s="1">
        <f>IF(H92&lt;0,1,0)</f>
        <v>0</v>
      </c>
      <c r="AD92" s="1">
        <f>IF(AC92=1,H92,0)</f>
        <v>0</v>
      </c>
      <c r="AE92" s="1">
        <f>IF(H92&gt;0,1,0)</f>
        <v>0</v>
      </c>
      <c r="AF92" s="1">
        <f>IF(AE92=1,H92,0)</f>
        <v>0</v>
      </c>
      <c r="AG92" s="1">
        <f>IF(AD92&lt;-20000000.0/100,1,0)</f>
        <v>0</v>
      </c>
      <c r="AH92" s="1">
        <f>IF(AF92&gt;20000000.0/100,1,0)</f>
        <v>0</v>
      </c>
      <c r="AI92" s="1">
        <f>IF(U92&lt;0,1,0)</f>
        <v>0</v>
      </c>
      <c r="AJ92" s="1">
        <f>IF(AI92=1,U92,0)</f>
        <v>0</v>
      </c>
      <c r="AK92" s="1">
        <f>IF(U92&gt;0,1,0)</f>
        <v>0</v>
      </c>
      <c r="AL92" s="1">
        <f>IF(AK92=1,U92,0)</f>
        <v>0</v>
      </c>
      <c r="AM92" s="1">
        <f>IF(AJ92&lt;-20000000.0/100,1,0)</f>
        <v>0</v>
      </c>
      <c r="AN92" s="1">
        <f>IF(AL92&gt;20000000.0/100,1,0)</f>
        <v>0</v>
      </c>
    </row>
    <row r="93" spans="1:40" s="1" customFormat="1">
      <c r="A93" s="3">
        <v>45428</v>
      </c>
      <c r="B93" s="2" t="s">
        <v>25</v>
      </c>
      <c r="C93" s="1">
        <f>SUM(PL!H93:J93)</f>
        <v>0</v>
      </c>
      <c r="D93" s="1">
        <f>SUM(PL!K93:M93)</f>
        <v>0</v>
      </c>
      <c r="E93" s="1">
        <f>SUM(PL!N93:P93)</f>
        <v>0</v>
      </c>
      <c r="F93" s="1">
        <f>SUM(PL!Q93:S93)</f>
        <v>0</v>
      </c>
      <c r="G93" s="1">
        <f>SUM(PL!T93:V93)</f>
        <v>0</v>
      </c>
      <c r="H93" s="1">
        <f>SUM(C93:G93)</f>
        <v>0</v>
      </c>
      <c r="I93" s="1">
        <f>IF(C93 + I92 &lt; 0, C93 + I92, 0)</f>
        <v>0</v>
      </c>
      <c r="J93" s="1">
        <f>IF(D93 + J92 &lt; 0, D93 + J92, 0)</f>
        <v>0</v>
      </c>
      <c r="K93" s="1">
        <f>IF(E93 + K92 &lt; 0, E93 + K92, 0)</f>
        <v>0</v>
      </c>
      <c r="L93" s="1">
        <f>IF(F93 + L92 &lt; 0, F93 + L92, 0)</f>
        <v>0</v>
      </c>
      <c r="M93" s="1">
        <f>IF(G93 + M92 &lt; 0, G93 + M92, 0)</f>
        <v>0</v>
      </c>
      <c r="N93" s="1">
        <f>IF(H93 + N92 &lt; 0, H93 + N92, 0)</f>
        <v>0</v>
      </c>
      <c r="O93" s="1">
        <f>IF(N93 &lt; 0, 1 + O92, 0)</f>
        <v>0</v>
      </c>
      <c r="P93" s="1">
        <f>C93-((ABS(SUM(PL!H93:J93)))*0.125)</f>
        <v>0</v>
      </c>
      <c r="Q93" s="1">
        <f>D93-((ABS(SUM(PL!K93:M93)))*0.125)</f>
        <v>0</v>
      </c>
      <c r="R93" s="1">
        <f>E93-((ABS(SUM(PL!N93:P93)))*0.125)</f>
        <v>0</v>
      </c>
      <c r="S93" s="1">
        <f>F93-((ABS(SUM(PL!Q93:S93)))*0.125)</f>
        <v>0</v>
      </c>
      <c r="T93" s="1">
        <f>G93-((ABS(SUM(PL!T93:V93)))*0.125)</f>
        <v>0</v>
      </c>
      <c r="U93" s="1">
        <f>P93 + Q93 + R93 + S93 + T93</f>
        <v>0</v>
      </c>
      <c r="V93" s="1">
        <f>IF(P93 + V92 &lt; 0, P93 + V92, 0)</f>
        <v>0</v>
      </c>
      <c r="W93" s="1">
        <f>IF(Q93 + W92 &lt; 0, Q93 + W92, 0)</f>
        <v>0</v>
      </c>
      <c r="X93" s="1">
        <f>IF(R93 + X92 &lt; 0, R93 + X92, 0)</f>
        <v>0</v>
      </c>
      <c r="Y93" s="1">
        <f>IF(S93 + Y92 &lt; 0, S93 + Y92, 0)</f>
        <v>0</v>
      </c>
      <c r="Z93" s="1">
        <f>IF(T93 + Z92 &lt; 0, T93 + Z92, 0)</f>
        <v>0</v>
      </c>
      <c r="AA93" s="1">
        <f>IF(U93 + AA92 &lt; 0, U93 + AA92, 0)</f>
        <v>0</v>
      </c>
      <c r="AB93" s="1">
        <f>IF(AA93 &lt; 0, 1 + AB92, 0)</f>
        <v>0</v>
      </c>
      <c r="AC93" s="1">
        <f>IF(H93&lt;0,1,0)</f>
        <v>0</v>
      </c>
      <c r="AD93" s="1">
        <f>IF(AC93=1,H93,0)</f>
        <v>0</v>
      </c>
      <c r="AE93" s="1">
        <f>IF(H93&gt;0,1,0)</f>
        <v>0</v>
      </c>
      <c r="AF93" s="1">
        <f>IF(AE93=1,H93,0)</f>
        <v>0</v>
      </c>
      <c r="AG93" s="1">
        <f>IF(AD93&lt;-20000000.0/100,1,0)</f>
        <v>0</v>
      </c>
      <c r="AH93" s="1">
        <f>IF(AF93&gt;20000000.0/100,1,0)</f>
        <v>0</v>
      </c>
      <c r="AI93" s="1">
        <f>IF(U93&lt;0,1,0)</f>
        <v>0</v>
      </c>
      <c r="AJ93" s="1">
        <f>IF(AI93=1,U93,0)</f>
        <v>0</v>
      </c>
      <c r="AK93" s="1">
        <f>IF(U93&gt;0,1,0)</f>
        <v>0</v>
      </c>
      <c r="AL93" s="1">
        <f>IF(AK93=1,U93,0)</f>
        <v>0</v>
      </c>
      <c r="AM93" s="1">
        <f>IF(AJ93&lt;-20000000.0/100,1,0)</f>
        <v>0</v>
      </c>
      <c r="AN93" s="1">
        <f>IF(AL93&gt;20000000.0/100,1,0)</f>
        <v>0</v>
      </c>
    </row>
    <row r="94" spans="1:40" s="1" customFormat="1">
      <c r="A94" s="3">
        <v>45429</v>
      </c>
      <c r="B94" s="2" t="s">
        <v>26</v>
      </c>
      <c r="C94" s="1">
        <f>SUM(PL!H94:J94)</f>
        <v>0</v>
      </c>
      <c r="D94" s="1">
        <f>SUM(PL!K94:M94)</f>
        <v>0</v>
      </c>
      <c r="E94" s="1">
        <f>SUM(PL!N94:P94)</f>
        <v>0</v>
      </c>
      <c r="F94" s="1">
        <f>SUM(PL!Q94:S94)</f>
        <v>0</v>
      </c>
      <c r="G94" s="1">
        <f>SUM(PL!T94:V94)</f>
        <v>0</v>
      </c>
      <c r="H94" s="1">
        <f>SUM(C94:G94)</f>
        <v>0</v>
      </c>
      <c r="I94" s="1">
        <f>IF(C94 + I93 &lt; 0, C94 + I93, 0)</f>
        <v>0</v>
      </c>
      <c r="J94" s="1">
        <f>IF(D94 + J93 &lt; 0, D94 + J93, 0)</f>
        <v>0</v>
      </c>
      <c r="K94" s="1">
        <f>IF(E94 + K93 &lt; 0, E94 + K93, 0)</f>
        <v>0</v>
      </c>
      <c r="L94" s="1">
        <f>IF(F94 + L93 &lt; 0, F94 + L93, 0)</f>
        <v>0</v>
      </c>
      <c r="M94" s="1">
        <f>IF(G94 + M93 &lt; 0, G94 + M93, 0)</f>
        <v>0</v>
      </c>
      <c r="N94" s="1">
        <f>IF(H94 + N93 &lt; 0, H94 + N93, 0)</f>
        <v>0</v>
      </c>
      <c r="O94" s="1">
        <f>IF(N94 &lt; 0, 1 + O93, 0)</f>
        <v>0</v>
      </c>
      <c r="P94" s="1">
        <f>C94-((ABS(SUM(PL!H94:J94)))*0.125)</f>
        <v>0</v>
      </c>
      <c r="Q94" s="1">
        <f>D94-((ABS(SUM(PL!K94:M94)))*0.125)</f>
        <v>0</v>
      </c>
      <c r="R94" s="1">
        <f>E94-((ABS(SUM(PL!N94:P94)))*0.125)</f>
        <v>0</v>
      </c>
      <c r="S94" s="1">
        <f>F94-((ABS(SUM(PL!Q94:S94)))*0.125)</f>
        <v>0</v>
      </c>
      <c r="T94" s="1">
        <f>G94-((ABS(SUM(PL!T94:V94)))*0.125)</f>
        <v>0</v>
      </c>
      <c r="U94" s="1">
        <f>P94 + Q94 + R94 + S94 + T94</f>
        <v>0</v>
      </c>
      <c r="V94" s="1">
        <f>IF(P94 + V93 &lt; 0, P94 + V93, 0)</f>
        <v>0</v>
      </c>
      <c r="W94" s="1">
        <f>IF(Q94 + W93 &lt; 0, Q94 + W93, 0)</f>
        <v>0</v>
      </c>
      <c r="X94" s="1">
        <f>IF(R94 + X93 &lt; 0, R94 + X93, 0)</f>
        <v>0</v>
      </c>
      <c r="Y94" s="1">
        <f>IF(S94 + Y93 &lt; 0, S94 + Y93, 0)</f>
        <v>0</v>
      </c>
      <c r="Z94" s="1">
        <f>IF(T94 + Z93 &lt; 0, T94 + Z93, 0)</f>
        <v>0</v>
      </c>
      <c r="AA94" s="1">
        <f>IF(U94 + AA93 &lt; 0, U94 + AA93, 0)</f>
        <v>0</v>
      </c>
      <c r="AB94" s="1">
        <f>IF(AA94 &lt; 0, 1 + AB93, 0)</f>
        <v>0</v>
      </c>
      <c r="AC94" s="1">
        <f>IF(H94&lt;0,1,0)</f>
        <v>0</v>
      </c>
      <c r="AD94" s="1">
        <f>IF(AC94=1,H94,0)</f>
        <v>0</v>
      </c>
      <c r="AE94" s="1">
        <f>IF(H94&gt;0,1,0)</f>
        <v>0</v>
      </c>
      <c r="AF94" s="1">
        <f>IF(AE94=1,H94,0)</f>
        <v>0</v>
      </c>
      <c r="AG94" s="1">
        <f>IF(AD94&lt;-20000000.0/100,1,0)</f>
        <v>0</v>
      </c>
      <c r="AH94" s="1">
        <f>IF(AF94&gt;20000000.0/100,1,0)</f>
        <v>0</v>
      </c>
      <c r="AI94" s="1">
        <f>IF(U94&lt;0,1,0)</f>
        <v>0</v>
      </c>
      <c r="AJ94" s="1">
        <f>IF(AI94=1,U94,0)</f>
        <v>0</v>
      </c>
      <c r="AK94" s="1">
        <f>IF(U94&gt;0,1,0)</f>
        <v>0</v>
      </c>
      <c r="AL94" s="1">
        <f>IF(AK94=1,U94,0)</f>
        <v>0</v>
      </c>
      <c r="AM94" s="1">
        <f>IF(AJ94&lt;-20000000.0/100,1,0)</f>
        <v>0</v>
      </c>
      <c r="AN94" s="1">
        <f>IF(AL94&gt;20000000.0/100,1,0)</f>
        <v>0</v>
      </c>
    </row>
    <row r="95" spans="1:40" s="1" customFormat="1">
      <c r="A95" s="3">
        <v>45433</v>
      </c>
      <c r="B95" s="2" t="s">
        <v>23</v>
      </c>
      <c r="C95" s="1">
        <f>SUM(PL!H95:J95)</f>
        <v>0</v>
      </c>
      <c r="D95" s="1">
        <f>SUM(PL!K95:M95)</f>
        <v>0</v>
      </c>
      <c r="E95" s="1">
        <f>SUM(PL!N95:P95)</f>
        <v>0</v>
      </c>
      <c r="F95" s="1">
        <f>SUM(PL!Q95:S95)</f>
        <v>0</v>
      </c>
      <c r="G95" s="1">
        <f>SUM(PL!T95:V95)</f>
        <v>0</v>
      </c>
      <c r="H95" s="1">
        <f>SUM(C95:G95)</f>
        <v>0</v>
      </c>
      <c r="I95" s="1">
        <f>IF(C95 + I94 &lt; 0, C95 + I94, 0)</f>
        <v>0</v>
      </c>
      <c r="J95" s="1">
        <f>IF(D95 + J94 &lt; 0, D95 + J94, 0)</f>
        <v>0</v>
      </c>
      <c r="K95" s="1">
        <f>IF(E95 + K94 &lt; 0, E95 + K94, 0)</f>
        <v>0</v>
      </c>
      <c r="L95" s="1">
        <f>IF(F95 + L94 &lt; 0, F95 + L94, 0)</f>
        <v>0</v>
      </c>
      <c r="M95" s="1">
        <f>IF(G95 + M94 &lt; 0, G95 + M94, 0)</f>
        <v>0</v>
      </c>
      <c r="N95" s="1">
        <f>IF(H95 + N94 &lt; 0, H95 + N94, 0)</f>
        <v>0</v>
      </c>
      <c r="O95" s="1">
        <f>IF(N95 &lt; 0, 1 + O94, 0)</f>
        <v>0</v>
      </c>
      <c r="P95" s="1">
        <f>C95-((ABS(SUM(PL!H95:J95)))*0.125)</f>
        <v>0</v>
      </c>
      <c r="Q95" s="1">
        <f>D95-((ABS(SUM(PL!K95:M95)))*0.125)</f>
        <v>0</v>
      </c>
      <c r="R95" s="1">
        <f>E95-((ABS(SUM(PL!N95:P95)))*0.125)</f>
        <v>0</v>
      </c>
      <c r="S95" s="1">
        <f>F95-((ABS(SUM(PL!Q95:S95)))*0.125)</f>
        <v>0</v>
      </c>
      <c r="T95" s="1">
        <f>G95-((ABS(SUM(PL!T95:V95)))*0.125)</f>
        <v>0</v>
      </c>
      <c r="U95" s="1">
        <f>P95 + Q95 + R95 + S95 + T95</f>
        <v>0</v>
      </c>
      <c r="V95" s="1">
        <f>IF(P95 + V94 &lt; 0, P95 + V94, 0)</f>
        <v>0</v>
      </c>
      <c r="W95" s="1">
        <f>IF(Q95 + W94 &lt; 0, Q95 + W94, 0)</f>
        <v>0</v>
      </c>
      <c r="X95" s="1">
        <f>IF(R95 + X94 &lt; 0, R95 + X94, 0)</f>
        <v>0</v>
      </c>
      <c r="Y95" s="1">
        <f>IF(S95 + Y94 &lt; 0, S95 + Y94, 0)</f>
        <v>0</v>
      </c>
      <c r="Z95" s="1">
        <f>IF(T95 + Z94 &lt; 0, T95 + Z94, 0)</f>
        <v>0</v>
      </c>
      <c r="AA95" s="1">
        <f>IF(U95 + AA94 &lt; 0, U95 + AA94, 0)</f>
        <v>0</v>
      </c>
      <c r="AB95" s="1">
        <f>IF(AA95 &lt; 0, 1 + AB94, 0)</f>
        <v>0</v>
      </c>
      <c r="AC95" s="1">
        <f>IF(H95&lt;0,1,0)</f>
        <v>0</v>
      </c>
      <c r="AD95" s="1">
        <f>IF(AC95=1,H95,0)</f>
        <v>0</v>
      </c>
      <c r="AE95" s="1">
        <f>IF(H95&gt;0,1,0)</f>
        <v>0</v>
      </c>
      <c r="AF95" s="1">
        <f>IF(AE95=1,H95,0)</f>
        <v>0</v>
      </c>
      <c r="AG95" s="1">
        <f>IF(AD95&lt;-20000000.0/100,1,0)</f>
        <v>0</v>
      </c>
      <c r="AH95" s="1">
        <f>IF(AF95&gt;20000000.0/100,1,0)</f>
        <v>0</v>
      </c>
      <c r="AI95" s="1">
        <f>IF(U95&lt;0,1,0)</f>
        <v>0</v>
      </c>
      <c r="AJ95" s="1">
        <f>IF(AI95=1,U95,0)</f>
        <v>0</v>
      </c>
      <c r="AK95" s="1">
        <f>IF(U95&gt;0,1,0)</f>
        <v>0</v>
      </c>
      <c r="AL95" s="1">
        <f>IF(AK95=1,U95,0)</f>
        <v>0</v>
      </c>
      <c r="AM95" s="1">
        <f>IF(AJ95&lt;-20000000.0/100,1,0)</f>
        <v>0</v>
      </c>
      <c r="AN95" s="1">
        <f>IF(AL95&gt;20000000.0/100,1,0)</f>
        <v>0</v>
      </c>
    </row>
    <row r="96" spans="1:40" s="1" customFormat="1">
      <c r="A96" s="3">
        <v>45434</v>
      </c>
      <c r="B96" s="2" t="s">
        <v>24</v>
      </c>
      <c r="C96" s="1">
        <f>SUM(PL!H96:J96)</f>
        <v>0</v>
      </c>
      <c r="D96" s="1">
        <f>SUM(PL!K96:M96)</f>
        <v>0</v>
      </c>
      <c r="E96" s="1">
        <f>SUM(PL!N96:P96)</f>
        <v>0</v>
      </c>
      <c r="F96" s="1">
        <f>SUM(PL!Q96:S96)</f>
        <v>0</v>
      </c>
      <c r="G96" s="1">
        <f>SUM(PL!T96:V96)</f>
        <v>0</v>
      </c>
      <c r="H96" s="1">
        <f>SUM(C96:G96)</f>
        <v>0</v>
      </c>
      <c r="I96" s="1">
        <f>IF(C96 + I95 &lt; 0, C96 + I95, 0)</f>
        <v>0</v>
      </c>
      <c r="J96" s="1">
        <f>IF(D96 + J95 &lt; 0, D96 + J95, 0)</f>
        <v>0</v>
      </c>
      <c r="K96" s="1">
        <f>IF(E96 + K95 &lt; 0, E96 + K95, 0)</f>
        <v>0</v>
      </c>
      <c r="L96" s="1">
        <f>IF(F96 + L95 &lt; 0, F96 + L95, 0)</f>
        <v>0</v>
      </c>
      <c r="M96" s="1">
        <f>IF(G96 + M95 &lt; 0, G96 + M95, 0)</f>
        <v>0</v>
      </c>
      <c r="N96" s="1">
        <f>IF(H96 + N95 &lt; 0, H96 + N95, 0)</f>
        <v>0</v>
      </c>
      <c r="O96" s="1">
        <f>IF(N96 &lt; 0, 1 + O95, 0)</f>
        <v>0</v>
      </c>
      <c r="P96" s="1">
        <f>C96-((ABS(SUM(PL!H96:J96)))*0.125)</f>
        <v>0</v>
      </c>
      <c r="Q96" s="1">
        <f>D96-((ABS(SUM(PL!K96:M96)))*0.125)</f>
        <v>0</v>
      </c>
      <c r="R96" s="1">
        <f>E96-((ABS(SUM(PL!N96:P96)))*0.125)</f>
        <v>0</v>
      </c>
      <c r="S96" s="1">
        <f>F96-((ABS(SUM(PL!Q96:S96)))*0.125)</f>
        <v>0</v>
      </c>
      <c r="T96" s="1">
        <f>G96-((ABS(SUM(PL!T96:V96)))*0.125)</f>
        <v>0</v>
      </c>
      <c r="U96" s="1">
        <f>P96 + Q96 + R96 + S96 + T96</f>
        <v>0</v>
      </c>
      <c r="V96" s="1">
        <f>IF(P96 + V95 &lt; 0, P96 + V95, 0)</f>
        <v>0</v>
      </c>
      <c r="W96" s="1">
        <f>IF(Q96 + W95 &lt; 0, Q96 + W95, 0)</f>
        <v>0</v>
      </c>
      <c r="X96" s="1">
        <f>IF(R96 + X95 &lt; 0, R96 + X95, 0)</f>
        <v>0</v>
      </c>
      <c r="Y96" s="1">
        <f>IF(S96 + Y95 &lt; 0, S96 + Y95, 0)</f>
        <v>0</v>
      </c>
      <c r="Z96" s="1">
        <f>IF(T96 + Z95 &lt; 0, T96 + Z95, 0)</f>
        <v>0</v>
      </c>
      <c r="AA96" s="1">
        <f>IF(U96 + AA95 &lt; 0, U96 + AA95, 0)</f>
        <v>0</v>
      </c>
      <c r="AB96" s="1">
        <f>IF(AA96 &lt; 0, 1 + AB95, 0)</f>
        <v>0</v>
      </c>
      <c r="AC96" s="1">
        <f>IF(H96&lt;0,1,0)</f>
        <v>0</v>
      </c>
      <c r="AD96" s="1">
        <f>IF(AC96=1,H96,0)</f>
        <v>0</v>
      </c>
      <c r="AE96" s="1">
        <f>IF(H96&gt;0,1,0)</f>
        <v>0</v>
      </c>
      <c r="AF96" s="1">
        <f>IF(AE96=1,H96,0)</f>
        <v>0</v>
      </c>
      <c r="AG96" s="1">
        <f>IF(AD96&lt;-20000000.0/100,1,0)</f>
        <v>0</v>
      </c>
      <c r="AH96" s="1">
        <f>IF(AF96&gt;20000000.0/100,1,0)</f>
        <v>0</v>
      </c>
      <c r="AI96" s="1">
        <f>IF(U96&lt;0,1,0)</f>
        <v>0</v>
      </c>
      <c r="AJ96" s="1">
        <f>IF(AI96=1,U96,0)</f>
        <v>0</v>
      </c>
      <c r="AK96" s="1">
        <f>IF(U96&gt;0,1,0)</f>
        <v>0</v>
      </c>
      <c r="AL96" s="1">
        <f>IF(AK96=1,U96,0)</f>
        <v>0</v>
      </c>
      <c r="AM96" s="1">
        <f>IF(AJ96&lt;-20000000.0/100,1,0)</f>
        <v>0</v>
      </c>
      <c r="AN96" s="1">
        <f>IF(AL96&gt;20000000.0/100,1,0)</f>
        <v>0</v>
      </c>
    </row>
    <row r="97" spans="1:40" s="1" customFormat="1">
      <c r="A97" s="3">
        <v>45435</v>
      </c>
      <c r="B97" s="2" t="s">
        <v>25</v>
      </c>
      <c r="C97" s="1">
        <f>SUM(PL!H97:J97)</f>
        <v>0</v>
      </c>
      <c r="D97" s="1">
        <f>SUM(PL!K97:M97)</f>
        <v>0</v>
      </c>
      <c r="E97" s="1">
        <f>SUM(PL!N97:P97)</f>
        <v>0</v>
      </c>
      <c r="F97" s="1">
        <f>SUM(PL!Q97:S97)</f>
        <v>0</v>
      </c>
      <c r="G97" s="1">
        <f>SUM(PL!T97:V97)</f>
        <v>0</v>
      </c>
      <c r="H97" s="1">
        <f>SUM(C97:G97)</f>
        <v>0</v>
      </c>
      <c r="I97" s="1">
        <f>IF(C97 + I96 &lt; 0, C97 + I96, 0)</f>
        <v>0</v>
      </c>
      <c r="J97" s="1">
        <f>IF(D97 + J96 &lt; 0, D97 + J96, 0)</f>
        <v>0</v>
      </c>
      <c r="K97" s="1">
        <f>IF(E97 + K96 &lt; 0, E97 + K96, 0)</f>
        <v>0</v>
      </c>
      <c r="L97" s="1">
        <f>IF(F97 + L96 &lt; 0, F97 + L96, 0)</f>
        <v>0</v>
      </c>
      <c r="M97" s="1">
        <f>IF(G97 + M96 &lt; 0, G97 + M96, 0)</f>
        <v>0</v>
      </c>
      <c r="N97" s="1">
        <f>IF(H97 + N96 &lt; 0, H97 + N96, 0)</f>
        <v>0</v>
      </c>
      <c r="O97" s="1">
        <f>IF(N97 &lt; 0, 1 + O96, 0)</f>
        <v>0</v>
      </c>
      <c r="P97" s="1">
        <f>C97-((ABS(SUM(PL!H97:J97)))*0.125)</f>
        <v>0</v>
      </c>
      <c r="Q97" s="1">
        <f>D97-((ABS(SUM(PL!K97:M97)))*0.125)</f>
        <v>0</v>
      </c>
      <c r="R97" s="1">
        <f>E97-((ABS(SUM(PL!N97:P97)))*0.125)</f>
        <v>0</v>
      </c>
      <c r="S97" s="1">
        <f>F97-((ABS(SUM(PL!Q97:S97)))*0.125)</f>
        <v>0</v>
      </c>
      <c r="T97" s="1">
        <f>G97-((ABS(SUM(PL!T97:V97)))*0.125)</f>
        <v>0</v>
      </c>
      <c r="U97" s="1">
        <f>P97 + Q97 + R97 + S97 + T97</f>
        <v>0</v>
      </c>
      <c r="V97" s="1">
        <f>IF(P97 + V96 &lt; 0, P97 + V96, 0)</f>
        <v>0</v>
      </c>
      <c r="W97" s="1">
        <f>IF(Q97 + W96 &lt; 0, Q97 + W96, 0)</f>
        <v>0</v>
      </c>
      <c r="X97" s="1">
        <f>IF(R97 + X96 &lt; 0, R97 + X96, 0)</f>
        <v>0</v>
      </c>
      <c r="Y97" s="1">
        <f>IF(S97 + Y96 &lt; 0, S97 + Y96, 0)</f>
        <v>0</v>
      </c>
      <c r="Z97" s="1">
        <f>IF(T97 + Z96 &lt; 0, T97 + Z96, 0)</f>
        <v>0</v>
      </c>
      <c r="AA97" s="1">
        <f>IF(U97 + AA96 &lt; 0, U97 + AA96, 0)</f>
        <v>0</v>
      </c>
      <c r="AB97" s="1">
        <f>IF(AA97 &lt; 0, 1 + AB96, 0)</f>
        <v>0</v>
      </c>
      <c r="AC97" s="1">
        <f>IF(H97&lt;0,1,0)</f>
        <v>0</v>
      </c>
      <c r="AD97" s="1">
        <f>IF(AC97=1,H97,0)</f>
        <v>0</v>
      </c>
      <c r="AE97" s="1">
        <f>IF(H97&gt;0,1,0)</f>
        <v>0</v>
      </c>
      <c r="AF97" s="1">
        <f>IF(AE97=1,H97,0)</f>
        <v>0</v>
      </c>
      <c r="AG97" s="1">
        <f>IF(AD97&lt;-20000000.0/100,1,0)</f>
        <v>0</v>
      </c>
      <c r="AH97" s="1">
        <f>IF(AF97&gt;20000000.0/100,1,0)</f>
        <v>0</v>
      </c>
      <c r="AI97" s="1">
        <f>IF(U97&lt;0,1,0)</f>
        <v>0</v>
      </c>
      <c r="AJ97" s="1">
        <f>IF(AI97=1,U97,0)</f>
        <v>0</v>
      </c>
      <c r="AK97" s="1">
        <f>IF(U97&gt;0,1,0)</f>
        <v>0</v>
      </c>
      <c r="AL97" s="1">
        <f>IF(AK97=1,U97,0)</f>
        <v>0</v>
      </c>
      <c r="AM97" s="1">
        <f>IF(AJ97&lt;-20000000.0/100,1,0)</f>
        <v>0</v>
      </c>
      <c r="AN97" s="1">
        <f>IF(AL97&gt;20000000.0/100,1,0)</f>
        <v>0</v>
      </c>
    </row>
    <row r="98" spans="1:40" s="1" customFormat="1">
      <c r="A98" s="3">
        <v>45436</v>
      </c>
      <c r="B98" s="2" t="s">
        <v>26</v>
      </c>
      <c r="C98" s="1">
        <f>SUM(PL!H98:J98)</f>
        <v>0</v>
      </c>
      <c r="D98" s="1">
        <f>SUM(PL!K98:M98)</f>
        <v>0</v>
      </c>
      <c r="E98" s="1">
        <f>SUM(PL!N98:P98)</f>
        <v>0</v>
      </c>
      <c r="F98" s="1">
        <f>SUM(PL!Q98:S98)</f>
        <v>0</v>
      </c>
      <c r="G98" s="1">
        <f>SUM(PL!T98:V98)</f>
        <v>0</v>
      </c>
      <c r="H98" s="1">
        <f>SUM(C98:G98)</f>
        <v>0</v>
      </c>
      <c r="I98" s="1">
        <f>IF(C98 + I97 &lt; 0, C98 + I97, 0)</f>
        <v>0</v>
      </c>
      <c r="J98" s="1">
        <f>IF(D98 + J97 &lt; 0, D98 + J97, 0)</f>
        <v>0</v>
      </c>
      <c r="K98" s="1">
        <f>IF(E98 + K97 &lt; 0, E98 + K97, 0)</f>
        <v>0</v>
      </c>
      <c r="L98" s="1">
        <f>IF(F98 + L97 &lt; 0, F98 + L97, 0)</f>
        <v>0</v>
      </c>
      <c r="M98" s="1">
        <f>IF(G98 + M97 &lt; 0, G98 + M97, 0)</f>
        <v>0</v>
      </c>
      <c r="N98" s="1">
        <f>IF(H98 + N97 &lt; 0, H98 + N97, 0)</f>
        <v>0</v>
      </c>
      <c r="O98" s="1">
        <f>IF(N98 &lt; 0, 1 + O97, 0)</f>
        <v>0</v>
      </c>
      <c r="P98" s="1">
        <f>C98-((ABS(SUM(PL!H98:J98)))*0.125)</f>
        <v>0</v>
      </c>
      <c r="Q98" s="1">
        <f>D98-((ABS(SUM(PL!K98:M98)))*0.125)</f>
        <v>0</v>
      </c>
      <c r="R98" s="1">
        <f>E98-((ABS(SUM(PL!N98:P98)))*0.125)</f>
        <v>0</v>
      </c>
      <c r="S98" s="1">
        <f>F98-((ABS(SUM(PL!Q98:S98)))*0.125)</f>
        <v>0</v>
      </c>
      <c r="T98" s="1">
        <f>G98-((ABS(SUM(PL!T98:V98)))*0.125)</f>
        <v>0</v>
      </c>
      <c r="U98" s="1">
        <f>P98 + Q98 + R98 + S98 + T98</f>
        <v>0</v>
      </c>
      <c r="V98" s="1">
        <f>IF(P98 + V97 &lt; 0, P98 + V97, 0)</f>
        <v>0</v>
      </c>
      <c r="W98" s="1">
        <f>IF(Q98 + W97 &lt; 0, Q98 + W97, 0)</f>
        <v>0</v>
      </c>
      <c r="X98" s="1">
        <f>IF(R98 + X97 &lt; 0, R98 + X97, 0)</f>
        <v>0</v>
      </c>
      <c r="Y98" s="1">
        <f>IF(S98 + Y97 &lt; 0, S98 + Y97, 0)</f>
        <v>0</v>
      </c>
      <c r="Z98" s="1">
        <f>IF(T98 + Z97 &lt; 0, T98 + Z97, 0)</f>
        <v>0</v>
      </c>
      <c r="AA98" s="1">
        <f>IF(U98 + AA97 &lt; 0, U98 + AA97, 0)</f>
        <v>0</v>
      </c>
      <c r="AB98" s="1">
        <f>IF(AA98 &lt; 0, 1 + AB97, 0)</f>
        <v>0</v>
      </c>
      <c r="AC98" s="1">
        <f>IF(H98&lt;0,1,0)</f>
        <v>0</v>
      </c>
      <c r="AD98" s="1">
        <f>IF(AC98=1,H98,0)</f>
        <v>0</v>
      </c>
      <c r="AE98" s="1">
        <f>IF(H98&gt;0,1,0)</f>
        <v>0</v>
      </c>
      <c r="AF98" s="1">
        <f>IF(AE98=1,H98,0)</f>
        <v>0</v>
      </c>
      <c r="AG98" s="1">
        <f>IF(AD98&lt;-20000000.0/100,1,0)</f>
        <v>0</v>
      </c>
      <c r="AH98" s="1">
        <f>IF(AF98&gt;20000000.0/100,1,0)</f>
        <v>0</v>
      </c>
      <c r="AI98" s="1">
        <f>IF(U98&lt;0,1,0)</f>
        <v>0</v>
      </c>
      <c r="AJ98" s="1">
        <f>IF(AI98=1,U98,0)</f>
        <v>0</v>
      </c>
      <c r="AK98" s="1">
        <f>IF(U98&gt;0,1,0)</f>
        <v>0</v>
      </c>
      <c r="AL98" s="1">
        <f>IF(AK98=1,U98,0)</f>
        <v>0</v>
      </c>
      <c r="AM98" s="1">
        <f>IF(AJ98&lt;-20000000.0/100,1,0)</f>
        <v>0</v>
      </c>
      <c r="AN98" s="1">
        <f>IF(AL98&gt;20000000.0/100,1,0)</f>
        <v>0</v>
      </c>
    </row>
    <row r="99" spans="1:40" s="1" customFormat="1">
      <c r="A99" s="3">
        <v>45439</v>
      </c>
      <c r="B99" s="2" t="s">
        <v>22</v>
      </c>
      <c r="C99" s="1">
        <f>SUM(PL!H99:J99)</f>
        <v>0</v>
      </c>
      <c r="D99" s="1">
        <f>SUM(PL!K99:M99)</f>
        <v>0</v>
      </c>
      <c r="E99" s="1">
        <f>SUM(PL!N99:P99)</f>
        <v>0</v>
      </c>
      <c r="F99" s="1">
        <f>SUM(PL!Q99:S99)</f>
        <v>0</v>
      </c>
      <c r="G99" s="1">
        <f>SUM(PL!T99:V99)</f>
        <v>0</v>
      </c>
      <c r="H99" s="1">
        <f>SUM(C99:G99)</f>
        <v>0</v>
      </c>
      <c r="I99" s="1">
        <f>IF(C99 + I98 &lt; 0, C99 + I98, 0)</f>
        <v>0</v>
      </c>
      <c r="J99" s="1">
        <f>IF(D99 + J98 &lt; 0, D99 + J98, 0)</f>
        <v>0</v>
      </c>
      <c r="K99" s="1">
        <f>IF(E99 + K98 &lt; 0, E99 + K98, 0)</f>
        <v>0</v>
      </c>
      <c r="L99" s="1">
        <f>IF(F99 + L98 &lt; 0, F99 + L98, 0)</f>
        <v>0</v>
      </c>
      <c r="M99" s="1">
        <f>IF(G99 + M98 &lt; 0, G99 + M98, 0)</f>
        <v>0</v>
      </c>
      <c r="N99" s="1">
        <f>IF(H99 + N98 &lt; 0, H99 + N98, 0)</f>
        <v>0</v>
      </c>
      <c r="O99" s="1">
        <f>IF(N99 &lt; 0, 1 + O98, 0)</f>
        <v>0</v>
      </c>
      <c r="P99" s="1">
        <f>C99-((ABS(SUM(PL!H99:J99)))*0.125)</f>
        <v>0</v>
      </c>
      <c r="Q99" s="1">
        <f>D99-((ABS(SUM(PL!K99:M99)))*0.125)</f>
        <v>0</v>
      </c>
      <c r="R99" s="1">
        <f>E99-((ABS(SUM(PL!N99:P99)))*0.125)</f>
        <v>0</v>
      </c>
      <c r="S99" s="1">
        <f>F99-((ABS(SUM(PL!Q99:S99)))*0.125)</f>
        <v>0</v>
      </c>
      <c r="T99" s="1">
        <f>G99-((ABS(SUM(PL!T99:V99)))*0.125)</f>
        <v>0</v>
      </c>
      <c r="U99" s="1">
        <f>P99 + Q99 + R99 + S99 + T99</f>
        <v>0</v>
      </c>
      <c r="V99" s="1">
        <f>IF(P99 + V98 &lt; 0, P99 + V98, 0)</f>
        <v>0</v>
      </c>
      <c r="W99" s="1">
        <f>IF(Q99 + W98 &lt; 0, Q99 + W98, 0)</f>
        <v>0</v>
      </c>
      <c r="X99" s="1">
        <f>IF(R99 + X98 &lt; 0, R99 + X98, 0)</f>
        <v>0</v>
      </c>
      <c r="Y99" s="1">
        <f>IF(S99 + Y98 &lt; 0, S99 + Y98, 0)</f>
        <v>0</v>
      </c>
      <c r="Z99" s="1">
        <f>IF(T99 + Z98 &lt; 0, T99 + Z98, 0)</f>
        <v>0</v>
      </c>
      <c r="AA99" s="1">
        <f>IF(U99 + AA98 &lt; 0, U99 + AA98, 0)</f>
        <v>0</v>
      </c>
      <c r="AB99" s="1">
        <f>IF(AA99 &lt; 0, 1 + AB98, 0)</f>
        <v>0</v>
      </c>
      <c r="AC99" s="1">
        <f>IF(H99&lt;0,1,0)</f>
        <v>0</v>
      </c>
      <c r="AD99" s="1">
        <f>IF(AC99=1,H99,0)</f>
        <v>0</v>
      </c>
      <c r="AE99" s="1">
        <f>IF(H99&gt;0,1,0)</f>
        <v>0</v>
      </c>
      <c r="AF99" s="1">
        <f>IF(AE99=1,H99,0)</f>
        <v>0</v>
      </c>
      <c r="AG99" s="1">
        <f>IF(AD99&lt;-20000000.0/100,1,0)</f>
        <v>0</v>
      </c>
      <c r="AH99" s="1">
        <f>IF(AF99&gt;20000000.0/100,1,0)</f>
        <v>0</v>
      </c>
      <c r="AI99" s="1">
        <f>IF(U99&lt;0,1,0)</f>
        <v>0</v>
      </c>
      <c r="AJ99" s="1">
        <f>IF(AI99=1,U99,0)</f>
        <v>0</v>
      </c>
      <c r="AK99" s="1">
        <f>IF(U99&gt;0,1,0)</f>
        <v>0</v>
      </c>
      <c r="AL99" s="1">
        <f>IF(AK99=1,U99,0)</f>
        <v>0</v>
      </c>
      <c r="AM99" s="1">
        <f>IF(AJ99&lt;-20000000.0/100,1,0)</f>
        <v>0</v>
      </c>
      <c r="AN99" s="1">
        <f>IF(AL99&gt;20000000.0/100,1,0)</f>
        <v>0</v>
      </c>
    </row>
    <row r="100" spans="1:40" s="1" customFormat="1">
      <c r="A100" s="3">
        <v>45440</v>
      </c>
      <c r="B100" s="2" t="s">
        <v>23</v>
      </c>
      <c r="C100" s="1">
        <f>SUM(PL!H100:J100)</f>
        <v>0</v>
      </c>
      <c r="D100" s="1">
        <f>SUM(PL!K100:M100)</f>
        <v>0</v>
      </c>
      <c r="E100" s="1">
        <f>SUM(PL!N100:P100)</f>
        <v>0</v>
      </c>
      <c r="F100" s="1">
        <f>SUM(PL!Q100:S100)</f>
        <v>0</v>
      </c>
      <c r="G100" s="1">
        <f>SUM(PL!T100:V100)</f>
        <v>0</v>
      </c>
      <c r="H100" s="1">
        <f>SUM(C100:G100)</f>
        <v>0</v>
      </c>
      <c r="I100" s="1">
        <f>IF(C100 + I99 &lt; 0, C100 + I99, 0)</f>
        <v>0</v>
      </c>
      <c r="J100" s="1">
        <f>IF(D100 + J99 &lt; 0, D100 + J99, 0)</f>
        <v>0</v>
      </c>
      <c r="K100" s="1">
        <f>IF(E100 + K99 &lt; 0, E100 + K99, 0)</f>
        <v>0</v>
      </c>
      <c r="L100" s="1">
        <f>IF(F100 + L99 &lt; 0, F100 + L99, 0)</f>
        <v>0</v>
      </c>
      <c r="M100" s="1">
        <f>IF(G100 + M99 &lt; 0, G100 + M99, 0)</f>
        <v>0</v>
      </c>
      <c r="N100" s="1">
        <f>IF(H100 + N99 &lt; 0, H100 + N99, 0)</f>
        <v>0</v>
      </c>
      <c r="O100" s="1">
        <f>IF(N100 &lt; 0, 1 + O99, 0)</f>
        <v>0</v>
      </c>
      <c r="P100" s="1">
        <f>C100-((ABS(SUM(PL!H100:J100)))*0.125)</f>
        <v>0</v>
      </c>
      <c r="Q100" s="1">
        <f>D100-((ABS(SUM(PL!K100:M100)))*0.125)</f>
        <v>0</v>
      </c>
      <c r="R100" s="1">
        <f>E100-((ABS(SUM(PL!N100:P100)))*0.125)</f>
        <v>0</v>
      </c>
      <c r="S100" s="1">
        <f>F100-((ABS(SUM(PL!Q100:S100)))*0.125)</f>
        <v>0</v>
      </c>
      <c r="T100" s="1">
        <f>G100-((ABS(SUM(PL!T100:V100)))*0.125)</f>
        <v>0</v>
      </c>
      <c r="U100" s="1">
        <f>P100 + Q100 + R100 + S100 + T100</f>
        <v>0</v>
      </c>
      <c r="V100" s="1">
        <f>IF(P100 + V99 &lt; 0, P100 + V99, 0)</f>
        <v>0</v>
      </c>
      <c r="W100" s="1">
        <f>IF(Q100 + W99 &lt; 0, Q100 + W99, 0)</f>
        <v>0</v>
      </c>
      <c r="X100" s="1">
        <f>IF(R100 + X99 &lt; 0, R100 + X99, 0)</f>
        <v>0</v>
      </c>
      <c r="Y100" s="1">
        <f>IF(S100 + Y99 &lt; 0, S100 + Y99, 0)</f>
        <v>0</v>
      </c>
      <c r="Z100" s="1">
        <f>IF(T100 + Z99 &lt; 0, T100 + Z99, 0)</f>
        <v>0</v>
      </c>
      <c r="AA100" s="1">
        <f>IF(U100 + AA99 &lt; 0, U100 + AA99, 0)</f>
        <v>0</v>
      </c>
      <c r="AB100" s="1">
        <f>IF(AA100 &lt; 0, 1 + AB99, 0)</f>
        <v>0</v>
      </c>
      <c r="AC100" s="1">
        <f>IF(H100&lt;0,1,0)</f>
        <v>0</v>
      </c>
      <c r="AD100" s="1">
        <f>IF(AC100=1,H100,0)</f>
        <v>0</v>
      </c>
      <c r="AE100" s="1">
        <f>IF(H100&gt;0,1,0)</f>
        <v>0</v>
      </c>
      <c r="AF100" s="1">
        <f>IF(AE100=1,H100,0)</f>
        <v>0</v>
      </c>
      <c r="AG100" s="1">
        <f>IF(AD100&lt;-20000000.0/100,1,0)</f>
        <v>0</v>
      </c>
      <c r="AH100" s="1">
        <f>IF(AF100&gt;20000000.0/100,1,0)</f>
        <v>0</v>
      </c>
      <c r="AI100" s="1">
        <f>IF(U100&lt;0,1,0)</f>
        <v>0</v>
      </c>
      <c r="AJ100" s="1">
        <f>IF(AI100=1,U100,0)</f>
        <v>0</v>
      </c>
      <c r="AK100" s="1">
        <f>IF(U100&gt;0,1,0)</f>
        <v>0</v>
      </c>
      <c r="AL100" s="1">
        <f>IF(AK100=1,U100,0)</f>
        <v>0</v>
      </c>
      <c r="AM100" s="1">
        <f>IF(AJ100&lt;-20000000.0/100,1,0)</f>
        <v>0</v>
      </c>
      <c r="AN100" s="1">
        <f>IF(AL100&gt;20000000.0/100,1,0)</f>
        <v>0</v>
      </c>
    </row>
    <row r="101" spans="1:40" s="1" customFormat="1">
      <c r="A101" s="3">
        <v>45441</v>
      </c>
      <c r="B101" s="2" t="s">
        <v>24</v>
      </c>
      <c r="C101" s="1">
        <f>SUM(PL!H101:J101)</f>
        <v>0</v>
      </c>
      <c r="D101" s="1">
        <f>SUM(PL!K101:M101)</f>
        <v>0</v>
      </c>
      <c r="E101" s="1">
        <f>SUM(PL!N101:P101)</f>
        <v>0</v>
      </c>
      <c r="F101" s="1">
        <f>SUM(PL!Q101:S101)</f>
        <v>0</v>
      </c>
      <c r="G101" s="1">
        <f>SUM(PL!T101:V101)</f>
        <v>0</v>
      </c>
      <c r="H101" s="1">
        <f>SUM(C101:G101)</f>
        <v>0</v>
      </c>
      <c r="I101" s="1">
        <f>IF(C101 + I100 &lt; 0, C101 + I100, 0)</f>
        <v>0</v>
      </c>
      <c r="J101" s="1">
        <f>IF(D101 + J100 &lt; 0, D101 + J100, 0)</f>
        <v>0</v>
      </c>
      <c r="K101" s="1">
        <f>IF(E101 + K100 &lt; 0, E101 + K100, 0)</f>
        <v>0</v>
      </c>
      <c r="L101" s="1">
        <f>IF(F101 + L100 &lt; 0, F101 + L100, 0)</f>
        <v>0</v>
      </c>
      <c r="M101" s="1">
        <f>IF(G101 + M100 &lt; 0, G101 + M100, 0)</f>
        <v>0</v>
      </c>
      <c r="N101" s="1">
        <f>IF(H101 + N100 &lt; 0, H101 + N100, 0)</f>
        <v>0</v>
      </c>
      <c r="O101" s="1">
        <f>IF(N101 &lt; 0, 1 + O100, 0)</f>
        <v>0</v>
      </c>
      <c r="P101" s="1">
        <f>C101-((ABS(SUM(PL!H101:J101)))*0.125)</f>
        <v>0</v>
      </c>
      <c r="Q101" s="1">
        <f>D101-((ABS(SUM(PL!K101:M101)))*0.125)</f>
        <v>0</v>
      </c>
      <c r="R101" s="1">
        <f>E101-((ABS(SUM(PL!N101:P101)))*0.125)</f>
        <v>0</v>
      </c>
      <c r="S101" s="1">
        <f>F101-((ABS(SUM(PL!Q101:S101)))*0.125)</f>
        <v>0</v>
      </c>
      <c r="T101" s="1">
        <f>G101-((ABS(SUM(PL!T101:V101)))*0.125)</f>
        <v>0</v>
      </c>
      <c r="U101" s="1">
        <f>P101 + Q101 + R101 + S101 + T101</f>
        <v>0</v>
      </c>
      <c r="V101" s="1">
        <f>IF(P101 + V100 &lt; 0, P101 + V100, 0)</f>
        <v>0</v>
      </c>
      <c r="W101" s="1">
        <f>IF(Q101 + W100 &lt; 0, Q101 + W100, 0)</f>
        <v>0</v>
      </c>
      <c r="X101" s="1">
        <f>IF(R101 + X100 &lt; 0, R101 + X100, 0)</f>
        <v>0</v>
      </c>
      <c r="Y101" s="1">
        <f>IF(S101 + Y100 &lt; 0, S101 + Y100, 0)</f>
        <v>0</v>
      </c>
      <c r="Z101" s="1">
        <f>IF(T101 + Z100 &lt; 0, T101 + Z100, 0)</f>
        <v>0</v>
      </c>
      <c r="AA101" s="1">
        <f>IF(U101 + AA100 &lt; 0, U101 + AA100, 0)</f>
        <v>0</v>
      </c>
      <c r="AB101" s="1">
        <f>IF(AA101 &lt; 0, 1 + AB100, 0)</f>
        <v>0</v>
      </c>
      <c r="AC101" s="1">
        <f>IF(H101&lt;0,1,0)</f>
        <v>0</v>
      </c>
      <c r="AD101" s="1">
        <f>IF(AC101=1,H101,0)</f>
        <v>0</v>
      </c>
      <c r="AE101" s="1">
        <f>IF(H101&gt;0,1,0)</f>
        <v>0</v>
      </c>
      <c r="AF101" s="1">
        <f>IF(AE101=1,H101,0)</f>
        <v>0</v>
      </c>
      <c r="AG101" s="1">
        <f>IF(AD101&lt;-20000000.0/100,1,0)</f>
        <v>0</v>
      </c>
      <c r="AH101" s="1">
        <f>IF(AF101&gt;20000000.0/100,1,0)</f>
        <v>0</v>
      </c>
      <c r="AI101" s="1">
        <f>IF(U101&lt;0,1,0)</f>
        <v>0</v>
      </c>
      <c r="AJ101" s="1">
        <f>IF(AI101=1,U101,0)</f>
        <v>0</v>
      </c>
      <c r="AK101" s="1">
        <f>IF(U101&gt;0,1,0)</f>
        <v>0</v>
      </c>
      <c r="AL101" s="1">
        <f>IF(AK101=1,U101,0)</f>
        <v>0</v>
      </c>
      <c r="AM101" s="1">
        <f>IF(AJ101&lt;-20000000.0/100,1,0)</f>
        <v>0</v>
      </c>
      <c r="AN101" s="1">
        <f>IF(AL101&gt;20000000.0/100,1,0)</f>
        <v>0</v>
      </c>
    </row>
    <row r="102" spans="1:40" s="1" customFormat="1">
      <c r="A102" s="3">
        <v>45442</v>
      </c>
      <c r="B102" s="2" t="s">
        <v>25</v>
      </c>
      <c r="C102" s="1">
        <f>SUM(PL!H102:J102)</f>
        <v>0</v>
      </c>
      <c r="D102" s="1">
        <f>SUM(PL!K102:M102)</f>
        <v>0</v>
      </c>
      <c r="E102" s="1">
        <f>SUM(PL!N102:P102)</f>
        <v>0</v>
      </c>
      <c r="F102" s="1">
        <f>SUM(PL!Q102:S102)</f>
        <v>0</v>
      </c>
      <c r="G102" s="1">
        <f>SUM(PL!T102:V102)</f>
        <v>0</v>
      </c>
      <c r="H102" s="1">
        <f>SUM(C102:G102)</f>
        <v>0</v>
      </c>
      <c r="I102" s="1">
        <f>IF(C102 + I101 &lt; 0, C102 + I101, 0)</f>
        <v>0</v>
      </c>
      <c r="J102" s="1">
        <f>IF(D102 + J101 &lt; 0, D102 + J101, 0)</f>
        <v>0</v>
      </c>
      <c r="K102" s="1">
        <f>IF(E102 + K101 &lt; 0, E102 + K101, 0)</f>
        <v>0</v>
      </c>
      <c r="L102" s="1">
        <f>IF(F102 + L101 &lt; 0, F102 + L101, 0)</f>
        <v>0</v>
      </c>
      <c r="M102" s="1">
        <f>IF(G102 + M101 &lt; 0, G102 + M101, 0)</f>
        <v>0</v>
      </c>
      <c r="N102" s="1">
        <f>IF(H102 + N101 &lt; 0, H102 + N101, 0)</f>
        <v>0</v>
      </c>
      <c r="O102" s="1">
        <f>IF(N102 &lt; 0, 1 + O101, 0)</f>
        <v>0</v>
      </c>
      <c r="P102" s="1">
        <f>C102-((ABS(SUM(PL!H102:J102)))*0.125)</f>
        <v>0</v>
      </c>
      <c r="Q102" s="1">
        <f>D102-((ABS(SUM(PL!K102:M102)))*0.125)</f>
        <v>0</v>
      </c>
      <c r="R102" s="1">
        <f>E102-((ABS(SUM(PL!N102:P102)))*0.125)</f>
        <v>0</v>
      </c>
      <c r="S102" s="1">
        <f>F102-((ABS(SUM(PL!Q102:S102)))*0.125)</f>
        <v>0</v>
      </c>
      <c r="T102" s="1">
        <f>G102-((ABS(SUM(PL!T102:V102)))*0.125)</f>
        <v>0</v>
      </c>
      <c r="U102" s="1">
        <f>P102 + Q102 + R102 + S102 + T102</f>
        <v>0</v>
      </c>
      <c r="V102" s="1">
        <f>IF(P102 + V101 &lt; 0, P102 + V101, 0)</f>
        <v>0</v>
      </c>
      <c r="W102" s="1">
        <f>IF(Q102 + W101 &lt; 0, Q102 + W101, 0)</f>
        <v>0</v>
      </c>
      <c r="X102" s="1">
        <f>IF(R102 + X101 &lt; 0, R102 + X101, 0)</f>
        <v>0</v>
      </c>
      <c r="Y102" s="1">
        <f>IF(S102 + Y101 &lt; 0, S102 + Y101, 0)</f>
        <v>0</v>
      </c>
      <c r="Z102" s="1">
        <f>IF(T102 + Z101 &lt; 0, T102 + Z101, 0)</f>
        <v>0</v>
      </c>
      <c r="AA102" s="1">
        <f>IF(U102 + AA101 &lt; 0, U102 + AA101, 0)</f>
        <v>0</v>
      </c>
      <c r="AB102" s="1">
        <f>IF(AA102 &lt; 0, 1 + AB101, 0)</f>
        <v>0</v>
      </c>
      <c r="AC102" s="1">
        <f>IF(H102&lt;0,1,0)</f>
        <v>0</v>
      </c>
      <c r="AD102" s="1">
        <f>IF(AC102=1,H102,0)</f>
        <v>0</v>
      </c>
      <c r="AE102" s="1">
        <f>IF(H102&gt;0,1,0)</f>
        <v>0</v>
      </c>
      <c r="AF102" s="1">
        <f>IF(AE102=1,H102,0)</f>
        <v>0</v>
      </c>
      <c r="AG102" s="1">
        <f>IF(AD102&lt;-20000000.0/100,1,0)</f>
        <v>0</v>
      </c>
      <c r="AH102" s="1">
        <f>IF(AF102&gt;20000000.0/100,1,0)</f>
        <v>0</v>
      </c>
      <c r="AI102" s="1">
        <f>IF(U102&lt;0,1,0)</f>
        <v>0</v>
      </c>
      <c r="AJ102" s="1">
        <f>IF(AI102=1,U102,0)</f>
        <v>0</v>
      </c>
      <c r="AK102" s="1">
        <f>IF(U102&gt;0,1,0)</f>
        <v>0</v>
      </c>
      <c r="AL102" s="1">
        <f>IF(AK102=1,U102,0)</f>
        <v>0</v>
      </c>
      <c r="AM102" s="1">
        <f>IF(AJ102&lt;-20000000.0/100,1,0)</f>
        <v>0</v>
      </c>
      <c r="AN102" s="1">
        <f>IF(AL102&gt;20000000.0/100,1,0)</f>
        <v>0</v>
      </c>
    </row>
    <row r="103" spans="1:40" s="1" customFormat="1">
      <c r="A103" s="3">
        <v>45443</v>
      </c>
      <c r="B103" s="2" t="s">
        <v>26</v>
      </c>
      <c r="C103" s="1">
        <f>SUM(PL!H103:J103)</f>
        <v>0</v>
      </c>
      <c r="D103" s="1">
        <f>SUM(PL!K103:M103)</f>
        <v>0</v>
      </c>
      <c r="E103" s="1">
        <f>SUM(PL!N103:P103)</f>
        <v>0</v>
      </c>
      <c r="F103" s="1">
        <f>SUM(PL!Q103:S103)</f>
        <v>0</v>
      </c>
      <c r="G103" s="1">
        <f>SUM(PL!T103:V103)</f>
        <v>0</v>
      </c>
      <c r="H103" s="1">
        <f>SUM(C103:G103)</f>
        <v>0</v>
      </c>
      <c r="I103" s="1">
        <f>IF(C103 + I102 &lt; 0, C103 + I102, 0)</f>
        <v>0</v>
      </c>
      <c r="J103" s="1">
        <f>IF(D103 + J102 &lt; 0, D103 + J102, 0)</f>
        <v>0</v>
      </c>
      <c r="K103" s="1">
        <f>IF(E103 + K102 &lt; 0, E103 + K102, 0)</f>
        <v>0</v>
      </c>
      <c r="L103" s="1">
        <f>IF(F103 + L102 &lt; 0, F103 + L102, 0)</f>
        <v>0</v>
      </c>
      <c r="M103" s="1">
        <f>IF(G103 + M102 &lt; 0, G103 + M102, 0)</f>
        <v>0</v>
      </c>
      <c r="N103" s="1">
        <f>IF(H103 + N102 &lt; 0, H103 + N102, 0)</f>
        <v>0</v>
      </c>
      <c r="O103" s="1">
        <f>IF(N103 &lt; 0, 1 + O102, 0)</f>
        <v>0</v>
      </c>
      <c r="P103" s="1">
        <f>C103-((ABS(SUM(PL!H103:J103)))*0.125)</f>
        <v>0</v>
      </c>
      <c r="Q103" s="1">
        <f>D103-((ABS(SUM(PL!K103:M103)))*0.125)</f>
        <v>0</v>
      </c>
      <c r="R103" s="1">
        <f>E103-((ABS(SUM(PL!N103:P103)))*0.125)</f>
        <v>0</v>
      </c>
      <c r="S103" s="1">
        <f>F103-((ABS(SUM(PL!Q103:S103)))*0.125)</f>
        <v>0</v>
      </c>
      <c r="T103" s="1">
        <f>G103-((ABS(SUM(PL!T103:V103)))*0.125)</f>
        <v>0</v>
      </c>
      <c r="U103" s="1">
        <f>P103 + Q103 + R103 + S103 + T103</f>
        <v>0</v>
      </c>
      <c r="V103" s="1">
        <f>IF(P103 + V102 &lt; 0, P103 + V102, 0)</f>
        <v>0</v>
      </c>
      <c r="W103" s="1">
        <f>IF(Q103 + W102 &lt; 0, Q103 + W102, 0)</f>
        <v>0</v>
      </c>
      <c r="X103" s="1">
        <f>IF(R103 + X102 &lt; 0, R103 + X102, 0)</f>
        <v>0</v>
      </c>
      <c r="Y103" s="1">
        <f>IF(S103 + Y102 &lt; 0, S103 + Y102, 0)</f>
        <v>0</v>
      </c>
      <c r="Z103" s="1">
        <f>IF(T103 + Z102 &lt; 0, T103 + Z102, 0)</f>
        <v>0</v>
      </c>
      <c r="AA103" s="1">
        <f>IF(U103 + AA102 &lt; 0, U103 + AA102, 0)</f>
        <v>0</v>
      </c>
      <c r="AB103" s="1">
        <f>IF(AA103 &lt; 0, 1 + AB102, 0)</f>
        <v>0</v>
      </c>
      <c r="AC103" s="1">
        <f>IF(H103&lt;0,1,0)</f>
        <v>0</v>
      </c>
      <c r="AD103" s="1">
        <f>IF(AC103=1,H103,0)</f>
        <v>0</v>
      </c>
      <c r="AE103" s="1">
        <f>IF(H103&gt;0,1,0)</f>
        <v>0</v>
      </c>
      <c r="AF103" s="1">
        <f>IF(AE103=1,H103,0)</f>
        <v>0</v>
      </c>
      <c r="AG103" s="1">
        <f>IF(AD103&lt;-20000000.0/100,1,0)</f>
        <v>0</v>
      </c>
      <c r="AH103" s="1">
        <f>IF(AF103&gt;20000000.0/100,1,0)</f>
        <v>0</v>
      </c>
      <c r="AI103" s="1">
        <f>IF(U103&lt;0,1,0)</f>
        <v>0</v>
      </c>
      <c r="AJ103" s="1">
        <f>IF(AI103=1,U103,0)</f>
        <v>0</v>
      </c>
      <c r="AK103" s="1">
        <f>IF(U103&gt;0,1,0)</f>
        <v>0</v>
      </c>
      <c r="AL103" s="1">
        <f>IF(AK103=1,U103,0)</f>
        <v>0</v>
      </c>
      <c r="AM103" s="1">
        <f>IF(AJ103&lt;-20000000.0/100,1,0)</f>
        <v>0</v>
      </c>
      <c r="AN103" s="1">
        <f>IF(AL103&gt;20000000.0/100,1,0)</f>
        <v>0</v>
      </c>
    </row>
    <row r="104" spans="1:40" s="1" customFormat="1">
      <c r="A104" s="3">
        <v>45446</v>
      </c>
      <c r="B104" s="2" t="s">
        <v>22</v>
      </c>
      <c r="C104" s="1">
        <f>SUM(PL!H104:J104)</f>
        <v>0</v>
      </c>
      <c r="D104" s="1">
        <f>SUM(PL!K104:M104)</f>
        <v>0</v>
      </c>
      <c r="E104" s="1">
        <f>SUM(PL!N104:P104)</f>
        <v>0</v>
      </c>
      <c r="F104" s="1">
        <f>SUM(PL!Q104:S104)</f>
        <v>0</v>
      </c>
      <c r="G104" s="1">
        <f>SUM(PL!T104:V104)</f>
        <v>0</v>
      </c>
      <c r="H104" s="1">
        <f>SUM(C104:G104)</f>
        <v>0</v>
      </c>
      <c r="I104" s="1">
        <f>IF(C104 + I103 &lt; 0, C104 + I103, 0)</f>
        <v>0</v>
      </c>
      <c r="J104" s="1">
        <f>IF(D104 + J103 &lt; 0, D104 + J103, 0)</f>
        <v>0</v>
      </c>
      <c r="K104" s="1">
        <f>IF(E104 + K103 &lt; 0, E104 + K103, 0)</f>
        <v>0</v>
      </c>
      <c r="L104" s="1">
        <f>IF(F104 + L103 &lt; 0, F104 + L103, 0)</f>
        <v>0</v>
      </c>
      <c r="M104" s="1">
        <f>IF(G104 + M103 &lt; 0, G104 + M103, 0)</f>
        <v>0</v>
      </c>
      <c r="N104" s="1">
        <f>IF(H104 + N103 &lt; 0, H104 + N103, 0)</f>
        <v>0</v>
      </c>
      <c r="O104" s="1">
        <f>IF(N104 &lt; 0, 1 + O103, 0)</f>
        <v>0</v>
      </c>
      <c r="P104" s="1">
        <f>C104-((ABS(SUM(PL!H104:J104)))*0.125)</f>
        <v>0</v>
      </c>
      <c r="Q104" s="1">
        <f>D104-((ABS(SUM(PL!K104:M104)))*0.125)</f>
        <v>0</v>
      </c>
      <c r="R104" s="1">
        <f>E104-((ABS(SUM(PL!N104:P104)))*0.125)</f>
        <v>0</v>
      </c>
      <c r="S104" s="1">
        <f>F104-((ABS(SUM(PL!Q104:S104)))*0.125)</f>
        <v>0</v>
      </c>
      <c r="T104" s="1">
        <f>G104-((ABS(SUM(PL!T104:V104)))*0.125)</f>
        <v>0</v>
      </c>
      <c r="U104" s="1">
        <f>P104 + Q104 + R104 + S104 + T104</f>
        <v>0</v>
      </c>
      <c r="V104" s="1">
        <f>IF(P104 + V103 &lt; 0, P104 + V103, 0)</f>
        <v>0</v>
      </c>
      <c r="W104" s="1">
        <f>IF(Q104 + W103 &lt; 0, Q104 + W103, 0)</f>
        <v>0</v>
      </c>
      <c r="X104" s="1">
        <f>IF(R104 + X103 &lt; 0, R104 + X103, 0)</f>
        <v>0</v>
      </c>
      <c r="Y104" s="1">
        <f>IF(S104 + Y103 &lt; 0, S104 + Y103, 0)</f>
        <v>0</v>
      </c>
      <c r="Z104" s="1">
        <f>IF(T104 + Z103 &lt; 0, T104 + Z103, 0)</f>
        <v>0</v>
      </c>
      <c r="AA104" s="1">
        <f>IF(U104 + AA103 &lt; 0, U104 + AA103, 0)</f>
        <v>0</v>
      </c>
      <c r="AB104" s="1">
        <f>IF(AA104 &lt; 0, 1 + AB103, 0)</f>
        <v>0</v>
      </c>
      <c r="AC104" s="1">
        <f>IF(H104&lt;0,1,0)</f>
        <v>0</v>
      </c>
      <c r="AD104" s="1">
        <f>IF(AC104=1,H104,0)</f>
        <v>0</v>
      </c>
      <c r="AE104" s="1">
        <f>IF(H104&gt;0,1,0)</f>
        <v>0</v>
      </c>
      <c r="AF104" s="1">
        <f>IF(AE104=1,H104,0)</f>
        <v>0</v>
      </c>
      <c r="AG104" s="1">
        <f>IF(AD104&lt;-20000000.0/100,1,0)</f>
        <v>0</v>
      </c>
      <c r="AH104" s="1">
        <f>IF(AF104&gt;20000000.0/100,1,0)</f>
        <v>0</v>
      </c>
      <c r="AI104" s="1">
        <f>IF(U104&lt;0,1,0)</f>
        <v>0</v>
      </c>
      <c r="AJ104" s="1">
        <f>IF(AI104=1,U104,0)</f>
        <v>0</v>
      </c>
      <c r="AK104" s="1">
        <f>IF(U104&gt;0,1,0)</f>
        <v>0</v>
      </c>
      <c r="AL104" s="1">
        <f>IF(AK104=1,U104,0)</f>
        <v>0</v>
      </c>
      <c r="AM104" s="1">
        <f>IF(AJ104&lt;-20000000.0/100,1,0)</f>
        <v>0</v>
      </c>
      <c r="AN104" s="1">
        <f>IF(AL104&gt;20000000.0/100,1,0)</f>
        <v>0</v>
      </c>
    </row>
    <row r="105" spans="1:40" s="1" customFormat="1">
      <c r="A105" s="3">
        <v>45447</v>
      </c>
      <c r="B105" s="2" t="s">
        <v>23</v>
      </c>
      <c r="C105" s="1">
        <f>SUM(PL!H105:J105)</f>
        <v>0</v>
      </c>
      <c r="D105" s="1">
        <f>SUM(PL!K105:M105)</f>
        <v>0</v>
      </c>
      <c r="E105" s="1">
        <f>SUM(PL!N105:P105)</f>
        <v>0</v>
      </c>
      <c r="F105" s="1">
        <f>SUM(PL!Q105:S105)</f>
        <v>0</v>
      </c>
      <c r="G105" s="1">
        <f>SUM(PL!T105:V105)</f>
        <v>0</v>
      </c>
      <c r="H105" s="1">
        <f>SUM(C105:G105)</f>
        <v>0</v>
      </c>
      <c r="I105" s="1">
        <f>IF(C105 + I104 &lt; 0, C105 + I104, 0)</f>
        <v>0</v>
      </c>
      <c r="J105" s="1">
        <f>IF(D105 + J104 &lt; 0, D105 + J104, 0)</f>
        <v>0</v>
      </c>
      <c r="K105" s="1">
        <f>IF(E105 + K104 &lt; 0, E105 + K104, 0)</f>
        <v>0</v>
      </c>
      <c r="L105" s="1">
        <f>IF(F105 + L104 &lt; 0, F105 + L104, 0)</f>
        <v>0</v>
      </c>
      <c r="M105" s="1">
        <f>IF(G105 + M104 &lt; 0, G105 + M104, 0)</f>
        <v>0</v>
      </c>
      <c r="N105" s="1">
        <f>IF(H105 + N104 &lt; 0, H105 + N104, 0)</f>
        <v>0</v>
      </c>
      <c r="O105" s="1">
        <f>IF(N105 &lt; 0, 1 + O104, 0)</f>
        <v>0</v>
      </c>
      <c r="P105" s="1">
        <f>C105-((ABS(SUM(PL!H105:J105)))*0.125)</f>
        <v>0</v>
      </c>
      <c r="Q105" s="1">
        <f>D105-((ABS(SUM(PL!K105:M105)))*0.125)</f>
        <v>0</v>
      </c>
      <c r="R105" s="1">
        <f>E105-((ABS(SUM(PL!N105:P105)))*0.125)</f>
        <v>0</v>
      </c>
      <c r="S105" s="1">
        <f>F105-((ABS(SUM(PL!Q105:S105)))*0.125)</f>
        <v>0</v>
      </c>
      <c r="T105" s="1">
        <f>G105-((ABS(SUM(PL!T105:V105)))*0.125)</f>
        <v>0</v>
      </c>
      <c r="U105" s="1">
        <f>P105 + Q105 + R105 + S105 + T105</f>
        <v>0</v>
      </c>
      <c r="V105" s="1">
        <f>IF(P105 + V104 &lt; 0, P105 + V104, 0)</f>
        <v>0</v>
      </c>
      <c r="W105" s="1">
        <f>IF(Q105 + W104 &lt; 0, Q105 + W104, 0)</f>
        <v>0</v>
      </c>
      <c r="X105" s="1">
        <f>IF(R105 + X104 &lt; 0, R105 + X104, 0)</f>
        <v>0</v>
      </c>
      <c r="Y105" s="1">
        <f>IF(S105 + Y104 &lt; 0, S105 + Y104, 0)</f>
        <v>0</v>
      </c>
      <c r="Z105" s="1">
        <f>IF(T105 + Z104 &lt; 0, T105 + Z104, 0)</f>
        <v>0</v>
      </c>
      <c r="AA105" s="1">
        <f>IF(U105 + AA104 &lt; 0, U105 + AA104, 0)</f>
        <v>0</v>
      </c>
      <c r="AB105" s="1">
        <f>IF(AA105 &lt; 0, 1 + AB104, 0)</f>
        <v>0</v>
      </c>
      <c r="AC105" s="1">
        <f>IF(H105&lt;0,1,0)</f>
        <v>0</v>
      </c>
      <c r="AD105" s="1">
        <f>IF(AC105=1,H105,0)</f>
        <v>0</v>
      </c>
      <c r="AE105" s="1">
        <f>IF(H105&gt;0,1,0)</f>
        <v>0</v>
      </c>
      <c r="AF105" s="1">
        <f>IF(AE105=1,H105,0)</f>
        <v>0</v>
      </c>
      <c r="AG105" s="1">
        <f>IF(AD105&lt;-20000000.0/100,1,0)</f>
        <v>0</v>
      </c>
      <c r="AH105" s="1">
        <f>IF(AF105&gt;20000000.0/100,1,0)</f>
        <v>0</v>
      </c>
      <c r="AI105" s="1">
        <f>IF(U105&lt;0,1,0)</f>
        <v>0</v>
      </c>
      <c r="AJ105" s="1">
        <f>IF(AI105=1,U105,0)</f>
        <v>0</v>
      </c>
      <c r="AK105" s="1">
        <f>IF(U105&gt;0,1,0)</f>
        <v>0</v>
      </c>
      <c r="AL105" s="1">
        <f>IF(AK105=1,U105,0)</f>
        <v>0</v>
      </c>
      <c r="AM105" s="1">
        <f>IF(AJ105&lt;-20000000.0/100,1,0)</f>
        <v>0</v>
      </c>
      <c r="AN105" s="1">
        <f>IF(AL105&gt;20000000.0/100,1,0)</f>
        <v>0</v>
      </c>
    </row>
    <row r="106" spans="1:40" s="1" customFormat="1">
      <c r="A106" s="3">
        <v>45448</v>
      </c>
      <c r="B106" s="2" t="s">
        <v>24</v>
      </c>
      <c r="C106" s="1">
        <f>SUM(PL!H106:J106)</f>
        <v>0</v>
      </c>
      <c r="D106" s="1">
        <f>SUM(PL!K106:M106)</f>
        <v>0</v>
      </c>
      <c r="E106" s="1">
        <f>SUM(PL!N106:P106)</f>
        <v>0</v>
      </c>
      <c r="F106" s="1">
        <f>SUM(PL!Q106:S106)</f>
        <v>0</v>
      </c>
      <c r="G106" s="1">
        <f>SUM(PL!T106:V106)</f>
        <v>0</v>
      </c>
      <c r="H106" s="1">
        <f>SUM(C106:G106)</f>
        <v>0</v>
      </c>
      <c r="I106" s="1">
        <f>IF(C106 + I105 &lt; 0, C106 + I105, 0)</f>
        <v>0</v>
      </c>
      <c r="J106" s="1">
        <f>IF(D106 + J105 &lt; 0, D106 + J105, 0)</f>
        <v>0</v>
      </c>
      <c r="K106" s="1">
        <f>IF(E106 + K105 &lt; 0, E106 + K105, 0)</f>
        <v>0</v>
      </c>
      <c r="L106" s="1">
        <f>IF(F106 + L105 &lt; 0, F106 + L105, 0)</f>
        <v>0</v>
      </c>
      <c r="M106" s="1">
        <f>IF(G106 + M105 &lt; 0, G106 + M105, 0)</f>
        <v>0</v>
      </c>
      <c r="N106" s="1">
        <f>IF(H106 + N105 &lt; 0, H106 + N105, 0)</f>
        <v>0</v>
      </c>
      <c r="O106" s="1">
        <f>IF(N106 &lt; 0, 1 + O105, 0)</f>
        <v>0</v>
      </c>
      <c r="P106" s="1">
        <f>C106-((ABS(SUM(PL!H106:J106)))*0.125)</f>
        <v>0</v>
      </c>
      <c r="Q106" s="1">
        <f>D106-((ABS(SUM(PL!K106:M106)))*0.125)</f>
        <v>0</v>
      </c>
      <c r="R106" s="1">
        <f>E106-((ABS(SUM(PL!N106:P106)))*0.125)</f>
        <v>0</v>
      </c>
      <c r="S106" s="1">
        <f>F106-((ABS(SUM(PL!Q106:S106)))*0.125)</f>
        <v>0</v>
      </c>
      <c r="T106" s="1">
        <f>G106-((ABS(SUM(PL!T106:V106)))*0.125)</f>
        <v>0</v>
      </c>
      <c r="U106" s="1">
        <f>P106 + Q106 + R106 + S106 + T106</f>
        <v>0</v>
      </c>
      <c r="V106" s="1">
        <f>IF(P106 + V105 &lt; 0, P106 + V105, 0)</f>
        <v>0</v>
      </c>
      <c r="W106" s="1">
        <f>IF(Q106 + W105 &lt; 0, Q106 + W105, 0)</f>
        <v>0</v>
      </c>
      <c r="X106" s="1">
        <f>IF(R106 + X105 &lt; 0, R106 + X105, 0)</f>
        <v>0</v>
      </c>
      <c r="Y106" s="1">
        <f>IF(S106 + Y105 &lt; 0, S106 + Y105, 0)</f>
        <v>0</v>
      </c>
      <c r="Z106" s="1">
        <f>IF(T106 + Z105 &lt; 0, T106 + Z105, 0)</f>
        <v>0</v>
      </c>
      <c r="AA106" s="1">
        <f>IF(U106 + AA105 &lt; 0, U106 + AA105, 0)</f>
        <v>0</v>
      </c>
      <c r="AB106" s="1">
        <f>IF(AA106 &lt; 0, 1 + AB105, 0)</f>
        <v>0</v>
      </c>
      <c r="AC106" s="1">
        <f>IF(H106&lt;0,1,0)</f>
        <v>0</v>
      </c>
      <c r="AD106" s="1">
        <f>IF(AC106=1,H106,0)</f>
        <v>0</v>
      </c>
      <c r="AE106" s="1">
        <f>IF(H106&gt;0,1,0)</f>
        <v>0</v>
      </c>
      <c r="AF106" s="1">
        <f>IF(AE106=1,H106,0)</f>
        <v>0</v>
      </c>
      <c r="AG106" s="1">
        <f>IF(AD106&lt;-20000000.0/100,1,0)</f>
        <v>0</v>
      </c>
      <c r="AH106" s="1">
        <f>IF(AF106&gt;20000000.0/100,1,0)</f>
        <v>0</v>
      </c>
      <c r="AI106" s="1">
        <f>IF(U106&lt;0,1,0)</f>
        <v>0</v>
      </c>
      <c r="AJ106" s="1">
        <f>IF(AI106=1,U106,0)</f>
        <v>0</v>
      </c>
      <c r="AK106" s="1">
        <f>IF(U106&gt;0,1,0)</f>
        <v>0</v>
      </c>
      <c r="AL106" s="1">
        <f>IF(AK106=1,U106,0)</f>
        <v>0</v>
      </c>
      <c r="AM106" s="1">
        <f>IF(AJ106&lt;-20000000.0/100,1,0)</f>
        <v>0</v>
      </c>
      <c r="AN106" s="1">
        <f>IF(AL106&gt;20000000.0/100,1,0)</f>
        <v>0</v>
      </c>
    </row>
    <row r="107" spans="1:40" s="1" customFormat="1">
      <c r="A107" s="3">
        <v>45449</v>
      </c>
      <c r="B107" s="2" t="s">
        <v>25</v>
      </c>
      <c r="C107" s="1">
        <f>SUM(PL!H107:J107)</f>
        <v>0</v>
      </c>
      <c r="D107" s="1">
        <f>SUM(PL!K107:M107)</f>
        <v>0</v>
      </c>
      <c r="E107" s="1">
        <f>SUM(PL!N107:P107)</f>
        <v>0</v>
      </c>
      <c r="F107" s="1">
        <f>SUM(PL!Q107:S107)</f>
        <v>0</v>
      </c>
      <c r="G107" s="1">
        <f>SUM(PL!T107:V107)</f>
        <v>0</v>
      </c>
      <c r="H107" s="1">
        <f>SUM(C107:G107)</f>
        <v>0</v>
      </c>
      <c r="I107" s="1">
        <f>IF(C107 + I106 &lt; 0, C107 + I106, 0)</f>
        <v>0</v>
      </c>
      <c r="J107" s="1">
        <f>IF(D107 + J106 &lt; 0, D107 + J106, 0)</f>
        <v>0</v>
      </c>
      <c r="K107" s="1">
        <f>IF(E107 + K106 &lt; 0, E107 + K106, 0)</f>
        <v>0</v>
      </c>
      <c r="L107" s="1">
        <f>IF(F107 + L106 &lt; 0, F107 + L106, 0)</f>
        <v>0</v>
      </c>
      <c r="M107" s="1">
        <f>IF(G107 + M106 &lt; 0, G107 + M106, 0)</f>
        <v>0</v>
      </c>
      <c r="N107" s="1">
        <f>IF(H107 + N106 &lt; 0, H107 + N106, 0)</f>
        <v>0</v>
      </c>
      <c r="O107" s="1">
        <f>IF(N107 &lt; 0, 1 + O106, 0)</f>
        <v>0</v>
      </c>
      <c r="P107" s="1">
        <f>C107-((ABS(SUM(PL!H107:J107)))*0.125)</f>
        <v>0</v>
      </c>
      <c r="Q107" s="1">
        <f>D107-((ABS(SUM(PL!K107:M107)))*0.125)</f>
        <v>0</v>
      </c>
      <c r="R107" s="1">
        <f>E107-((ABS(SUM(PL!N107:P107)))*0.125)</f>
        <v>0</v>
      </c>
      <c r="S107" s="1">
        <f>F107-((ABS(SUM(PL!Q107:S107)))*0.125)</f>
        <v>0</v>
      </c>
      <c r="T107" s="1">
        <f>G107-((ABS(SUM(PL!T107:V107)))*0.125)</f>
        <v>0</v>
      </c>
      <c r="U107" s="1">
        <f>P107 + Q107 + R107 + S107 + T107</f>
        <v>0</v>
      </c>
      <c r="V107" s="1">
        <f>IF(P107 + V106 &lt; 0, P107 + V106, 0)</f>
        <v>0</v>
      </c>
      <c r="W107" s="1">
        <f>IF(Q107 + W106 &lt; 0, Q107 + W106, 0)</f>
        <v>0</v>
      </c>
      <c r="X107" s="1">
        <f>IF(R107 + X106 &lt; 0, R107 + X106, 0)</f>
        <v>0</v>
      </c>
      <c r="Y107" s="1">
        <f>IF(S107 + Y106 &lt; 0, S107 + Y106, 0)</f>
        <v>0</v>
      </c>
      <c r="Z107" s="1">
        <f>IF(T107 + Z106 &lt; 0, T107 + Z106, 0)</f>
        <v>0</v>
      </c>
      <c r="AA107" s="1">
        <f>IF(U107 + AA106 &lt; 0, U107 + AA106, 0)</f>
        <v>0</v>
      </c>
      <c r="AB107" s="1">
        <f>IF(AA107 &lt; 0, 1 + AB106, 0)</f>
        <v>0</v>
      </c>
      <c r="AC107" s="1">
        <f>IF(H107&lt;0,1,0)</f>
        <v>0</v>
      </c>
      <c r="AD107" s="1">
        <f>IF(AC107=1,H107,0)</f>
        <v>0</v>
      </c>
      <c r="AE107" s="1">
        <f>IF(H107&gt;0,1,0)</f>
        <v>0</v>
      </c>
      <c r="AF107" s="1">
        <f>IF(AE107=1,H107,0)</f>
        <v>0</v>
      </c>
      <c r="AG107" s="1">
        <f>IF(AD107&lt;-20000000.0/100,1,0)</f>
        <v>0</v>
      </c>
      <c r="AH107" s="1">
        <f>IF(AF107&gt;20000000.0/100,1,0)</f>
        <v>0</v>
      </c>
      <c r="AI107" s="1">
        <f>IF(U107&lt;0,1,0)</f>
        <v>0</v>
      </c>
      <c r="AJ107" s="1">
        <f>IF(AI107=1,U107,0)</f>
        <v>0</v>
      </c>
      <c r="AK107" s="1">
        <f>IF(U107&gt;0,1,0)</f>
        <v>0</v>
      </c>
      <c r="AL107" s="1">
        <f>IF(AK107=1,U107,0)</f>
        <v>0</v>
      </c>
      <c r="AM107" s="1">
        <f>IF(AJ107&lt;-20000000.0/100,1,0)</f>
        <v>0</v>
      </c>
      <c r="AN107" s="1">
        <f>IF(AL107&gt;20000000.0/100,1,0)</f>
        <v>0</v>
      </c>
    </row>
    <row r="108" spans="1:40" s="1" customFormat="1">
      <c r="A108" s="3">
        <v>45450</v>
      </c>
      <c r="B108" s="2" t="s">
        <v>26</v>
      </c>
      <c r="C108" s="1">
        <f>SUM(PL!H108:J108)</f>
        <v>0</v>
      </c>
      <c r="D108" s="1">
        <f>SUM(PL!K108:M108)</f>
        <v>0</v>
      </c>
      <c r="E108" s="1">
        <f>SUM(PL!N108:P108)</f>
        <v>0</v>
      </c>
      <c r="F108" s="1">
        <f>SUM(PL!Q108:S108)</f>
        <v>0</v>
      </c>
      <c r="G108" s="1">
        <f>SUM(PL!T108:V108)</f>
        <v>0</v>
      </c>
      <c r="H108" s="1">
        <f>SUM(C108:G108)</f>
        <v>0</v>
      </c>
      <c r="I108" s="1">
        <f>IF(C108 + I107 &lt; 0, C108 + I107, 0)</f>
        <v>0</v>
      </c>
      <c r="J108" s="1">
        <f>IF(D108 + J107 &lt; 0, D108 + J107, 0)</f>
        <v>0</v>
      </c>
      <c r="K108" s="1">
        <f>IF(E108 + K107 &lt; 0, E108 + K107, 0)</f>
        <v>0</v>
      </c>
      <c r="L108" s="1">
        <f>IF(F108 + L107 &lt; 0, F108 + L107, 0)</f>
        <v>0</v>
      </c>
      <c r="M108" s="1">
        <f>IF(G108 + M107 &lt; 0, G108 + M107, 0)</f>
        <v>0</v>
      </c>
      <c r="N108" s="1">
        <f>IF(H108 + N107 &lt; 0, H108 + N107, 0)</f>
        <v>0</v>
      </c>
      <c r="O108" s="1">
        <f>IF(N108 &lt; 0, 1 + O107, 0)</f>
        <v>0</v>
      </c>
      <c r="P108" s="1">
        <f>C108-((ABS(SUM(PL!H108:J108)))*0.125)</f>
        <v>0</v>
      </c>
      <c r="Q108" s="1">
        <f>D108-((ABS(SUM(PL!K108:M108)))*0.125)</f>
        <v>0</v>
      </c>
      <c r="R108" s="1">
        <f>E108-((ABS(SUM(PL!N108:P108)))*0.125)</f>
        <v>0</v>
      </c>
      <c r="S108" s="1">
        <f>F108-((ABS(SUM(PL!Q108:S108)))*0.125)</f>
        <v>0</v>
      </c>
      <c r="T108" s="1">
        <f>G108-((ABS(SUM(PL!T108:V108)))*0.125)</f>
        <v>0</v>
      </c>
      <c r="U108" s="1">
        <f>P108 + Q108 + R108 + S108 + T108</f>
        <v>0</v>
      </c>
      <c r="V108" s="1">
        <f>IF(P108 + V107 &lt; 0, P108 + V107, 0)</f>
        <v>0</v>
      </c>
      <c r="W108" s="1">
        <f>IF(Q108 + W107 &lt; 0, Q108 + W107, 0)</f>
        <v>0</v>
      </c>
      <c r="X108" s="1">
        <f>IF(R108 + X107 &lt; 0, R108 + X107, 0)</f>
        <v>0</v>
      </c>
      <c r="Y108" s="1">
        <f>IF(S108 + Y107 &lt; 0, S108 + Y107, 0)</f>
        <v>0</v>
      </c>
      <c r="Z108" s="1">
        <f>IF(T108 + Z107 &lt; 0, T108 + Z107, 0)</f>
        <v>0</v>
      </c>
      <c r="AA108" s="1">
        <f>IF(U108 + AA107 &lt; 0, U108 + AA107, 0)</f>
        <v>0</v>
      </c>
      <c r="AB108" s="1">
        <f>IF(AA108 &lt; 0, 1 + AB107, 0)</f>
        <v>0</v>
      </c>
      <c r="AC108" s="1">
        <f>IF(H108&lt;0,1,0)</f>
        <v>0</v>
      </c>
      <c r="AD108" s="1">
        <f>IF(AC108=1,H108,0)</f>
        <v>0</v>
      </c>
      <c r="AE108" s="1">
        <f>IF(H108&gt;0,1,0)</f>
        <v>0</v>
      </c>
      <c r="AF108" s="1">
        <f>IF(AE108=1,H108,0)</f>
        <v>0</v>
      </c>
      <c r="AG108" s="1">
        <f>IF(AD108&lt;-20000000.0/100,1,0)</f>
        <v>0</v>
      </c>
      <c r="AH108" s="1">
        <f>IF(AF108&gt;20000000.0/100,1,0)</f>
        <v>0</v>
      </c>
      <c r="AI108" s="1">
        <f>IF(U108&lt;0,1,0)</f>
        <v>0</v>
      </c>
      <c r="AJ108" s="1">
        <f>IF(AI108=1,U108,0)</f>
        <v>0</v>
      </c>
      <c r="AK108" s="1">
        <f>IF(U108&gt;0,1,0)</f>
        <v>0</v>
      </c>
      <c r="AL108" s="1">
        <f>IF(AK108=1,U108,0)</f>
        <v>0</v>
      </c>
      <c r="AM108" s="1">
        <f>IF(AJ108&lt;-20000000.0/100,1,0)</f>
        <v>0</v>
      </c>
      <c r="AN108" s="1">
        <f>IF(AL108&gt;20000000.0/100,1,0)</f>
        <v>0</v>
      </c>
    </row>
    <row r="109" spans="1:40" s="1" customFormat="1">
      <c r="A109" s="3">
        <v>45453</v>
      </c>
      <c r="B109" s="2" t="s">
        <v>22</v>
      </c>
      <c r="C109" s="1">
        <f>SUM(PL!H109:J109)</f>
        <v>0</v>
      </c>
      <c r="D109" s="1">
        <f>SUM(PL!K109:M109)</f>
        <v>0</v>
      </c>
      <c r="E109" s="1">
        <f>SUM(PL!N109:P109)</f>
        <v>0</v>
      </c>
      <c r="F109" s="1">
        <f>SUM(PL!Q109:S109)</f>
        <v>0</v>
      </c>
      <c r="G109" s="1">
        <f>SUM(PL!T109:V109)</f>
        <v>0</v>
      </c>
      <c r="H109" s="1">
        <f>SUM(C109:G109)</f>
        <v>0</v>
      </c>
      <c r="I109" s="1">
        <f>IF(C109 + I108 &lt; 0, C109 + I108, 0)</f>
        <v>0</v>
      </c>
      <c r="J109" s="1">
        <f>IF(D109 + J108 &lt; 0, D109 + J108, 0)</f>
        <v>0</v>
      </c>
      <c r="K109" s="1">
        <f>IF(E109 + K108 &lt; 0, E109 + K108, 0)</f>
        <v>0</v>
      </c>
      <c r="L109" s="1">
        <f>IF(F109 + L108 &lt; 0, F109 + L108, 0)</f>
        <v>0</v>
      </c>
      <c r="M109" s="1">
        <f>IF(G109 + M108 &lt; 0, G109 + M108, 0)</f>
        <v>0</v>
      </c>
      <c r="N109" s="1">
        <f>IF(H109 + N108 &lt; 0, H109 + N108, 0)</f>
        <v>0</v>
      </c>
      <c r="O109" s="1">
        <f>IF(N109 &lt; 0, 1 + O108, 0)</f>
        <v>0</v>
      </c>
      <c r="P109" s="1">
        <f>C109-((ABS(SUM(PL!H109:J109)))*0.125)</f>
        <v>0</v>
      </c>
      <c r="Q109" s="1">
        <f>D109-((ABS(SUM(PL!K109:M109)))*0.125)</f>
        <v>0</v>
      </c>
      <c r="R109" s="1">
        <f>E109-((ABS(SUM(PL!N109:P109)))*0.125)</f>
        <v>0</v>
      </c>
      <c r="S109" s="1">
        <f>F109-((ABS(SUM(PL!Q109:S109)))*0.125)</f>
        <v>0</v>
      </c>
      <c r="T109" s="1">
        <f>G109-((ABS(SUM(PL!T109:V109)))*0.125)</f>
        <v>0</v>
      </c>
      <c r="U109" s="1">
        <f>P109 + Q109 + R109 + S109 + T109</f>
        <v>0</v>
      </c>
      <c r="V109" s="1">
        <f>IF(P109 + V108 &lt; 0, P109 + V108, 0)</f>
        <v>0</v>
      </c>
      <c r="W109" s="1">
        <f>IF(Q109 + W108 &lt; 0, Q109 + W108, 0)</f>
        <v>0</v>
      </c>
      <c r="X109" s="1">
        <f>IF(R109 + X108 &lt; 0, R109 + X108, 0)</f>
        <v>0</v>
      </c>
      <c r="Y109" s="1">
        <f>IF(S109 + Y108 &lt; 0, S109 + Y108, 0)</f>
        <v>0</v>
      </c>
      <c r="Z109" s="1">
        <f>IF(T109 + Z108 &lt; 0, T109 + Z108, 0)</f>
        <v>0</v>
      </c>
      <c r="AA109" s="1">
        <f>IF(U109 + AA108 &lt; 0, U109 + AA108, 0)</f>
        <v>0</v>
      </c>
      <c r="AB109" s="1">
        <f>IF(AA109 &lt; 0, 1 + AB108, 0)</f>
        <v>0</v>
      </c>
      <c r="AC109" s="1">
        <f>IF(H109&lt;0,1,0)</f>
        <v>0</v>
      </c>
      <c r="AD109" s="1">
        <f>IF(AC109=1,H109,0)</f>
        <v>0</v>
      </c>
      <c r="AE109" s="1">
        <f>IF(H109&gt;0,1,0)</f>
        <v>0</v>
      </c>
      <c r="AF109" s="1">
        <f>IF(AE109=1,H109,0)</f>
        <v>0</v>
      </c>
      <c r="AG109" s="1">
        <f>IF(AD109&lt;-20000000.0/100,1,0)</f>
        <v>0</v>
      </c>
      <c r="AH109" s="1">
        <f>IF(AF109&gt;20000000.0/100,1,0)</f>
        <v>0</v>
      </c>
      <c r="AI109" s="1">
        <f>IF(U109&lt;0,1,0)</f>
        <v>0</v>
      </c>
      <c r="AJ109" s="1">
        <f>IF(AI109=1,U109,0)</f>
        <v>0</v>
      </c>
      <c r="AK109" s="1">
        <f>IF(U109&gt;0,1,0)</f>
        <v>0</v>
      </c>
      <c r="AL109" s="1">
        <f>IF(AK109=1,U109,0)</f>
        <v>0</v>
      </c>
      <c r="AM109" s="1">
        <f>IF(AJ109&lt;-20000000.0/100,1,0)</f>
        <v>0</v>
      </c>
      <c r="AN109" s="1">
        <f>IF(AL109&gt;20000000.0/100,1,0)</f>
        <v>0</v>
      </c>
    </row>
    <row r="110" spans="1:40" s="1" customFormat="1">
      <c r="A110" s="3">
        <v>45454</v>
      </c>
      <c r="B110" s="2" t="s">
        <v>23</v>
      </c>
      <c r="C110" s="1">
        <f>SUM(PL!H110:J110)</f>
        <v>0</v>
      </c>
      <c r="D110" s="1">
        <f>SUM(PL!K110:M110)</f>
        <v>0</v>
      </c>
      <c r="E110" s="1">
        <f>SUM(PL!N110:P110)</f>
        <v>0</v>
      </c>
      <c r="F110" s="1">
        <f>SUM(PL!Q110:S110)</f>
        <v>0</v>
      </c>
      <c r="G110" s="1">
        <f>SUM(PL!T110:V110)</f>
        <v>0</v>
      </c>
      <c r="H110" s="1">
        <f>SUM(C110:G110)</f>
        <v>0</v>
      </c>
      <c r="I110" s="1">
        <f>IF(C110 + I109 &lt; 0, C110 + I109, 0)</f>
        <v>0</v>
      </c>
      <c r="J110" s="1">
        <f>IF(D110 + J109 &lt; 0, D110 + J109, 0)</f>
        <v>0</v>
      </c>
      <c r="K110" s="1">
        <f>IF(E110 + K109 &lt; 0, E110 + K109, 0)</f>
        <v>0</v>
      </c>
      <c r="L110" s="1">
        <f>IF(F110 + L109 &lt; 0, F110 + L109, 0)</f>
        <v>0</v>
      </c>
      <c r="M110" s="1">
        <f>IF(G110 + M109 &lt; 0, G110 + M109, 0)</f>
        <v>0</v>
      </c>
      <c r="N110" s="1">
        <f>IF(H110 + N109 &lt; 0, H110 + N109, 0)</f>
        <v>0</v>
      </c>
      <c r="O110" s="1">
        <f>IF(N110 &lt; 0, 1 + O109, 0)</f>
        <v>0</v>
      </c>
      <c r="P110" s="1">
        <f>C110-((ABS(SUM(PL!H110:J110)))*0.125)</f>
        <v>0</v>
      </c>
      <c r="Q110" s="1">
        <f>D110-((ABS(SUM(PL!K110:M110)))*0.125)</f>
        <v>0</v>
      </c>
      <c r="R110" s="1">
        <f>E110-((ABS(SUM(PL!N110:P110)))*0.125)</f>
        <v>0</v>
      </c>
      <c r="S110" s="1">
        <f>F110-((ABS(SUM(PL!Q110:S110)))*0.125)</f>
        <v>0</v>
      </c>
      <c r="T110" s="1">
        <f>G110-((ABS(SUM(PL!T110:V110)))*0.125)</f>
        <v>0</v>
      </c>
      <c r="U110" s="1">
        <f>P110 + Q110 + R110 + S110 + T110</f>
        <v>0</v>
      </c>
      <c r="V110" s="1">
        <f>IF(P110 + V109 &lt; 0, P110 + V109, 0)</f>
        <v>0</v>
      </c>
      <c r="W110" s="1">
        <f>IF(Q110 + W109 &lt; 0, Q110 + W109, 0)</f>
        <v>0</v>
      </c>
      <c r="X110" s="1">
        <f>IF(R110 + X109 &lt; 0, R110 + X109, 0)</f>
        <v>0</v>
      </c>
      <c r="Y110" s="1">
        <f>IF(S110 + Y109 &lt; 0, S110 + Y109, 0)</f>
        <v>0</v>
      </c>
      <c r="Z110" s="1">
        <f>IF(T110 + Z109 &lt; 0, T110 + Z109, 0)</f>
        <v>0</v>
      </c>
      <c r="AA110" s="1">
        <f>IF(U110 + AA109 &lt; 0, U110 + AA109, 0)</f>
        <v>0</v>
      </c>
      <c r="AB110" s="1">
        <f>IF(AA110 &lt; 0, 1 + AB109, 0)</f>
        <v>0</v>
      </c>
      <c r="AC110" s="1">
        <f>IF(H110&lt;0,1,0)</f>
        <v>0</v>
      </c>
      <c r="AD110" s="1">
        <f>IF(AC110=1,H110,0)</f>
        <v>0</v>
      </c>
      <c r="AE110" s="1">
        <f>IF(H110&gt;0,1,0)</f>
        <v>0</v>
      </c>
      <c r="AF110" s="1">
        <f>IF(AE110=1,H110,0)</f>
        <v>0</v>
      </c>
      <c r="AG110" s="1">
        <f>IF(AD110&lt;-20000000.0/100,1,0)</f>
        <v>0</v>
      </c>
      <c r="AH110" s="1">
        <f>IF(AF110&gt;20000000.0/100,1,0)</f>
        <v>0</v>
      </c>
      <c r="AI110" s="1">
        <f>IF(U110&lt;0,1,0)</f>
        <v>0</v>
      </c>
      <c r="AJ110" s="1">
        <f>IF(AI110=1,U110,0)</f>
        <v>0</v>
      </c>
      <c r="AK110" s="1">
        <f>IF(U110&gt;0,1,0)</f>
        <v>0</v>
      </c>
      <c r="AL110" s="1">
        <f>IF(AK110=1,U110,0)</f>
        <v>0</v>
      </c>
      <c r="AM110" s="1">
        <f>IF(AJ110&lt;-20000000.0/100,1,0)</f>
        <v>0</v>
      </c>
      <c r="AN110" s="1">
        <f>IF(AL110&gt;20000000.0/100,1,0)</f>
        <v>0</v>
      </c>
    </row>
    <row r="111" spans="1:40" s="1" customFormat="1">
      <c r="A111" s="3">
        <v>45455</v>
      </c>
      <c r="B111" s="2" t="s">
        <v>24</v>
      </c>
      <c r="C111" s="1">
        <f>SUM(PL!H111:J111)</f>
        <v>0</v>
      </c>
      <c r="D111" s="1">
        <f>SUM(PL!K111:M111)</f>
        <v>0</v>
      </c>
      <c r="E111" s="1">
        <f>SUM(PL!N111:P111)</f>
        <v>0</v>
      </c>
      <c r="F111" s="1">
        <f>SUM(PL!Q111:S111)</f>
        <v>0</v>
      </c>
      <c r="G111" s="1">
        <f>SUM(PL!T111:V111)</f>
        <v>0</v>
      </c>
      <c r="H111" s="1">
        <f>SUM(C111:G111)</f>
        <v>0</v>
      </c>
      <c r="I111" s="1">
        <f>IF(C111 + I110 &lt; 0, C111 + I110, 0)</f>
        <v>0</v>
      </c>
      <c r="J111" s="1">
        <f>IF(D111 + J110 &lt; 0, D111 + J110, 0)</f>
        <v>0</v>
      </c>
      <c r="K111" s="1">
        <f>IF(E111 + K110 &lt; 0, E111 + K110, 0)</f>
        <v>0</v>
      </c>
      <c r="L111" s="1">
        <f>IF(F111 + L110 &lt; 0, F111 + L110, 0)</f>
        <v>0</v>
      </c>
      <c r="M111" s="1">
        <f>IF(G111 + M110 &lt; 0, G111 + M110, 0)</f>
        <v>0</v>
      </c>
      <c r="N111" s="1">
        <f>IF(H111 + N110 &lt; 0, H111 + N110, 0)</f>
        <v>0</v>
      </c>
      <c r="O111" s="1">
        <f>IF(N111 &lt; 0, 1 + O110, 0)</f>
        <v>0</v>
      </c>
      <c r="P111" s="1">
        <f>C111-((ABS(SUM(PL!H111:J111)))*0.125)</f>
        <v>0</v>
      </c>
      <c r="Q111" s="1">
        <f>D111-((ABS(SUM(PL!K111:M111)))*0.125)</f>
        <v>0</v>
      </c>
      <c r="R111" s="1">
        <f>E111-((ABS(SUM(PL!N111:P111)))*0.125)</f>
        <v>0</v>
      </c>
      <c r="S111" s="1">
        <f>F111-((ABS(SUM(PL!Q111:S111)))*0.125)</f>
        <v>0</v>
      </c>
      <c r="T111" s="1">
        <f>G111-((ABS(SUM(PL!T111:V111)))*0.125)</f>
        <v>0</v>
      </c>
      <c r="U111" s="1">
        <f>P111 + Q111 + R111 + S111 + T111</f>
        <v>0</v>
      </c>
      <c r="V111" s="1">
        <f>IF(P111 + V110 &lt; 0, P111 + V110, 0)</f>
        <v>0</v>
      </c>
      <c r="W111" s="1">
        <f>IF(Q111 + W110 &lt; 0, Q111 + W110, 0)</f>
        <v>0</v>
      </c>
      <c r="X111" s="1">
        <f>IF(R111 + X110 &lt; 0, R111 + X110, 0)</f>
        <v>0</v>
      </c>
      <c r="Y111" s="1">
        <f>IF(S111 + Y110 &lt; 0, S111 + Y110, 0)</f>
        <v>0</v>
      </c>
      <c r="Z111" s="1">
        <f>IF(T111 + Z110 &lt; 0, T111 + Z110, 0)</f>
        <v>0</v>
      </c>
      <c r="AA111" s="1">
        <f>IF(U111 + AA110 &lt; 0, U111 + AA110, 0)</f>
        <v>0</v>
      </c>
      <c r="AB111" s="1">
        <f>IF(AA111 &lt; 0, 1 + AB110, 0)</f>
        <v>0</v>
      </c>
      <c r="AC111" s="1">
        <f>IF(H111&lt;0,1,0)</f>
        <v>0</v>
      </c>
      <c r="AD111" s="1">
        <f>IF(AC111=1,H111,0)</f>
        <v>0</v>
      </c>
      <c r="AE111" s="1">
        <f>IF(H111&gt;0,1,0)</f>
        <v>0</v>
      </c>
      <c r="AF111" s="1">
        <f>IF(AE111=1,H111,0)</f>
        <v>0</v>
      </c>
      <c r="AG111" s="1">
        <f>IF(AD111&lt;-20000000.0/100,1,0)</f>
        <v>0</v>
      </c>
      <c r="AH111" s="1">
        <f>IF(AF111&gt;20000000.0/100,1,0)</f>
        <v>0</v>
      </c>
      <c r="AI111" s="1">
        <f>IF(U111&lt;0,1,0)</f>
        <v>0</v>
      </c>
      <c r="AJ111" s="1">
        <f>IF(AI111=1,U111,0)</f>
        <v>0</v>
      </c>
      <c r="AK111" s="1">
        <f>IF(U111&gt;0,1,0)</f>
        <v>0</v>
      </c>
      <c r="AL111" s="1">
        <f>IF(AK111=1,U111,0)</f>
        <v>0</v>
      </c>
      <c r="AM111" s="1">
        <f>IF(AJ111&lt;-20000000.0/100,1,0)</f>
        <v>0</v>
      </c>
      <c r="AN111" s="1">
        <f>IF(AL111&gt;20000000.0/100,1,0)</f>
        <v>0</v>
      </c>
    </row>
    <row r="112" spans="1:40" s="1" customFormat="1">
      <c r="A112" s="3">
        <v>45456</v>
      </c>
      <c r="B112" s="2" t="s">
        <v>25</v>
      </c>
      <c r="C112" s="1">
        <f>SUM(PL!H112:J112)</f>
        <v>0</v>
      </c>
      <c r="D112" s="1">
        <f>SUM(PL!K112:M112)</f>
        <v>0</v>
      </c>
      <c r="E112" s="1">
        <f>SUM(PL!N112:P112)</f>
        <v>0</v>
      </c>
      <c r="F112" s="1">
        <f>SUM(PL!Q112:S112)</f>
        <v>0</v>
      </c>
      <c r="G112" s="1">
        <f>SUM(PL!T112:V112)</f>
        <v>0</v>
      </c>
      <c r="H112" s="1">
        <f>SUM(C112:G112)</f>
        <v>0</v>
      </c>
      <c r="I112" s="1">
        <f>IF(C112 + I111 &lt; 0, C112 + I111, 0)</f>
        <v>0</v>
      </c>
      <c r="J112" s="1">
        <f>IF(D112 + J111 &lt; 0, D112 + J111, 0)</f>
        <v>0</v>
      </c>
      <c r="K112" s="1">
        <f>IF(E112 + K111 &lt; 0, E112 + K111, 0)</f>
        <v>0</v>
      </c>
      <c r="L112" s="1">
        <f>IF(F112 + L111 &lt; 0, F112 + L111, 0)</f>
        <v>0</v>
      </c>
      <c r="M112" s="1">
        <f>IF(G112 + M111 &lt; 0, G112 + M111, 0)</f>
        <v>0</v>
      </c>
      <c r="N112" s="1">
        <f>IF(H112 + N111 &lt; 0, H112 + N111, 0)</f>
        <v>0</v>
      </c>
      <c r="O112" s="1">
        <f>IF(N112 &lt; 0, 1 + O111, 0)</f>
        <v>0</v>
      </c>
      <c r="P112" s="1">
        <f>C112-((ABS(SUM(PL!H112:J112)))*0.125)</f>
        <v>0</v>
      </c>
      <c r="Q112" s="1">
        <f>D112-((ABS(SUM(PL!K112:M112)))*0.125)</f>
        <v>0</v>
      </c>
      <c r="R112" s="1">
        <f>E112-((ABS(SUM(PL!N112:P112)))*0.125)</f>
        <v>0</v>
      </c>
      <c r="S112" s="1">
        <f>F112-((ABS(SUM(PL!Q112:S112)))*0.125)</f>
        <v>0</v>
      </c>
      <c r="T112" s="1">
        <f>G112-((ABS(SUM(PL!T112:V112)))*0.125)</f>
        <v>0</v>
      </c>
      <c r="U112" s="1">
        <f>P112 + Q112 + R112 + S112 + T112</f>
        <v>0</v>
      </c>
      <c r="V112" s="1">
        <f>IF(P112 + V111 &lt; 0, P112 + V111, 0)</f>
        <v>0</v>
      </c>
      <c r="W112" s="1">
        <f>IF(Q112 + W111 &lt; 0, Q112 + W111, 0)</f>
        <v>0</v>
      </c>
      <c r="X112" s="1">
        <f>IF(R112 + X111 &lt; 0, R112 + X111, 0)</f>
        <v>0</v>
      </c>
      <c r="Y112" s="1">
        <f>IF(S112 + Y111 &lt; 0, S112 + Y111, 0)</f>
        <v>0</v>
      </c>
      <c r="Z112" s="1">
        <f>IF(T112 + Z111 &lt; 0, T112 + Z111, 0)</f>
        <v>0</v>
      </c>
      <c r="AA112" s="1">
        <f>IF(U112 + AA111 &lt; 0, U112 + AA111, 0)</f>
        <v>0</v>
      </c>
      <c r="AB112" s="1">
        <f>IF(AA112 &lt; 0, 1 + AB111, 0)</f>
        <v>0</v>
      </c>
      <c r="AC112" s="1">
        <f>IF(H112&lt;0,1,0)</f>
        <v>0</v>
      </c>
      <c r="AD112" s="1">
        <f>IF(AC112=1,H112,0)</f>
        <v>0</v>
      </c>
      <c r="AE112" s="1">
        <f>IF(H112&gt;0,1,0)</f>
        <v>0</v>
      </c>
      <c r="AF112" s="1">
        <f>IF(AE112=1,H112,0)</f>
        <v>0</v>
      </c>
      <c r="AG112" s="1">
        <f>IF(AD112&lt;-20000000.0/100,1,0)</f>
        <v>0</v>
      </c>
      <c r="AH112" s="1">
        <f>IF(AF112&gt;20000000.0/100,1,0)</f>
        <v>0</v>
      </c>
      <c r="AI112" s="1">
        <f>IF(U112&lt;0,1,0)</f>
        <v>0</v>
      </c>
      <c r="AJ112" s="1">
        <f>IF(AI112=1,U112,0)</f>
        <v>0</v>
      </c>
      <c r="AK112" s="1">
        <f>IF(U112&gt;0,1,0)</f>
        <v>0</v>
      </c>
      <c r="AL112" s="1">
        <f>IF(AK112=1,U112,0)</f>
        <v>0</v>
      </c>
      <c r="AM112" s="1">
        <f>IF(AJ112&lt;-20000000.0/100,1,0)</f>
        <v>0</v>
      </c>
      <c r="AN112" s="1">
        <f>IF(AL112&gt;20000000.0/100,1,0)</f>
        <v>0</v>
      </c>
    </row>
    <row r="113" spans="1:40" s="1" customFormat="1">
      <c r="A113" s="3">
        <v>45457</v>
      </c>
      <c r="B113" s="2" t="s">
        <v>26</v>
      </c>
      <c r="C113" s="1">
        <f>SUM(PL!H113:J113)</f>
        <v>0</v>
      </c>
      <c r="D113" s="1">
        <f>SUM(PL!K113:M113)</f>
        <v>0</v>
      </c>
      <c r="E113" s="1">
        <f>SUM(PL!N113:P113)</f>
        <v>0</v>
      </c>
      <c r="F113" s="1">
        <f>SUM(PL!Q113:S113)</f>
        <v>0</v>
      </c>
      <c r="G113" s="1">
        <f>SUM(PL!T113:V113)</f>
        <v>0</v>
      </c>
      <c r="H113" s="1">
        <f>SUM(C113:G113)</f>
        <v>0</v>
      </c>
      <c r="I113" s="1">
        <f>IF(C113 + I112 &lt; 0, C113 + I112, 0)</f>
        <v>0</v>
      </c>
      <c r="J113" s="1">
        <f>IF(D113 + J112 &lt; 0, D113 + J112, 0)</f>
        <v>0</v>
      </c>
      <c r="K113" s="1">
        <f>IF(E113 + K112 &lt; 0, E113 + K112, 0)</f>
        <v>0</v>
      </c>
      <c r="L113" s="1">
        <f>IF(F113 + L112 &lt; 0, F113 + L112, 0)</f>
        <v>0</v>
      </c>
      <c r="M113" s="1">
        <f>IF(G113 + M112 &lt; 0, G113 + M112, 0)</f>
        <v>0</v>
      </c>
      <c r="N113" s="1">
        <f>IF(H113 + N112 &lt; 0, H113 + N112, 0)</f>
        <v>0</v>
      </c>
      <c r="O113" s="1">
        <f>IF(N113 &lt; 0, 1 + O112, 0)</f>
        <v>0</v>
      </c>
      <c r="P113" s="1">
        <f>C113-((ABS(SUM(PL!H113:J113)))*0.125)</f>
        <v>0</v>
      </c>
      <c r="Q113" s="1">
        <f>D113-((ABS(SUM(PL!K113:M113)))*0.125)</f>
        <v>0</v>
      </c>
      <c r="R113" s="1">
        <f>E113-((ABS(SUM(PL!N113:P113)))*0.125)</f>
        <v>0</v>
      </c>
      <c r="S113" s="1">
        <f>F113-((ABS(SUM(PL!Q113:S113)))*0.125)</f>
        <v>0</v>
      </c>
      <c r="T113" s="1">
        <f>G113-((ABS(SUM(PL!T113:V113)))*0.125)</f>
        <v>0</v>
      </c>
      <c r="U113" s="1">
        <f>P113 + Q113 + R113 + S113 + T113</f>
        <v>0</v>
      </c>
      <c r="V113" s="1">
        <f>IF(P113 + V112 &lt; 0, P113 + V112, 0)</f>
        <v>0</v>
      </c>
      <c r="W113" s="1">
        <f>IF(Q113 + W112 &lt; 0, Q113 + W112, 0)</f>
        <v>0</v>
      </c>
      <c r="X113" s="1">
        <f>IF(R113 + X112 &lt; 0, R113 + X112, 0)</f>
        <v>0</v>
      </c>
      <c r="Y113" s="1">
        <f>IF(S113 + Y112 &lt; 0, S113 + Y112, 0)</f>
        <v>0</v>
      </c>
      <c r="Z113" s="1">
        <f>IF(T113 + Z112 &lt; 0, T113 + Z112, 0)</f>
        <v>0</v>
      </c>
      <c r="AA113" s="1">
        <f>IF(U113 + AA112 &lt; 0, U113 + AA112, 0)</f>
        <v>0</v>
      </c>
      <c r="AB113" s="1">
        <f>IF(AA113 &lt; 0, 1 + AB112, 0)</f>
        <v>0</v>
      </c>
      <c r="AC113" s="1">
        <f>IF(H113&lt;0,1,0)</f>
        <v>0</v>
      </c>
      <c r="AD113" s="1">
        <f>IF(AC113=1,H113,0)</f>
        <v>0</v>
      </c>
      <c r="AE113" s="1">
        <f>IF(H113&gt;0,1,0)</f>
        <v>0</v>
      </c>
      <c r="AF113" s="1">
        <f>IF(AE113=1,H113,0)</f>
        <v>0</v>
      </c>
      <c r="AG113" s="1">
        <f>IF(AD113&lt;-20000000.0/100,1,0)</f>
        <v>0</v>
      </c>
      <c r="AH113" s="1">
        <f>IF(AF113&gt;20000000.0/100,1,0)</f>
        <v>0</v>
      </c>
      <c r="AI113" s="1">
        <f>IF(U113&lt;0,1,0)</f>
        <v>0</v>
      </c>
      <c r="AJ113" s="1">
        <f>IF(AI113=1,U113,0)</f>
        <v>0</v>
      </c>
      <c r="AK113" s="1">
        <f>IF(U113&gt;0,1,0)</f>
        <v>0</v>
      </c>
      <c r="AL113" s="1">
        <f>IF(AK113=1,U113,0)</f>
        <v>0</v>
      </c>
      <c r="AM113" s="1">
        <f>IF(AJ113&lt;-20000000.0/100,1,0)</f>
        <v>0</v>
      </c>
      <c r="AN113" s="1">
        <f>IF(AL113&gt;20000000.0/100,1,0)</f>
        <v>0</v>
      </c>
    </row>
    <row r="114" spans="1:40" s="1" customFormat="1">
      <c r="A114" s="3">
        <v>45461</v>
      </c>
      <c r="B114" s="2" t="s">
        <v>23</v>
      </c>
      <c r="C114" s="1">
        <f>SUM(PL!H114:J114)</f>
        <v>0</v>
      </c>
      <c r="D114" s="1">
        <f>SUM(PL!K114:M114)</f>
        <v>0</v>
      </c>
      <c r="E114" s="1">
        <f>SUM(PL!N114:P114)</f>
        <v>0</v>
      </c>
      <c r="F114" s="1">
        <f>SUM(PL!Q114:S114)</f>
        <v>0</v>
      </c>
      <c r="G114" s="1">
        <f>SUM(PL!T114:V114)</f>
        <v>0</v>
      </c>
      <c r="H114" s="1">
        <f>SUM(C114:G114)</f>
        <v>0</v>
      </c>
      <c r="I114" s="1">
        <f>IF(C114 + I113 &lt; 0, C114 + I113, 0)</f>
        <v>0</v>
      </c>
      <c r="J114" s="1">
        <f>IF(D114 + J113 &lt; 0, D114 + J113, 0)</f>
        <v>0</v>
      </c>
      <c r="K114" s="1">
        <f>IF(E114 + K113 &lt; 0, E114 + K113, 0)</f>
        <v>0</v>
      </c>
      <c r="L114" s="1">
        <f>IF(F114 + L113 &lt; 0, F114 + L113, 0)</f>
        <v>0</v>
      </c>
      <c r="M114" s="1">
        <f>IF(G114 + M113 &lt; 0, G114 + M113, 0)</f>
        <v>0</v>
      </c>
      <c r="N114" s="1">
        <f>IF(H114 + N113 &lt; 0, H114 + N113, 0)</f>
        <v>0</v>
      </c>
      <c r="O114" s="1">
        <f>IF(N114 &lt; 0, 1 + O113, 0)</f>
        <v>0</v>
      </c>
      <c r="P114" s="1">
        <f>C114-((ABS(SUM(PL!H114:J114)))*0.125)</f>
        <v>0</v>
      </c>
      <c r="Q114" s="1">
        <f>D114-((ABS(SUM(PL!K114:M114)))*0.125)</f>
        <v>0</v>
      </c>
      <c r="R114" s="1">
        <f>E114-((ABS(SUM(PL!N114:P114)))*0.125)</f>
        <v>0</v>
      </c>
      <c r="S114" s="1">
        <f>F114-((ABS(SUM(PL!Q114:S114)))*0.125)</f>
        <v>0</v>
      </c>
      <c r="T114" s="1">
        <f>G114-((ABS(SUM(PL!T114:V114)))*0.125)</f>
        <v>0</v>
      </c>
      <c r="U114" s="1">
        <f>P114 + Q114 + R114 + S114 + T114</f>
        <v>0</v>
      </c>
      <c r="V114" s="1">
        <f>IF(P114 + V113 &lt; 0, P114 + V113, 0)</f>
        <v>0</v>
      </c>
      <c r="W114" s="1">
        <f>IF(Q114 + W113 &lt; 0, Q114 + W113, 0)</f>
        <v>0</v>
      </c>
      <c r="X114" s="1">
        <f>IF(R114 + X113 &lt; 0, R114 + X113, 0)</f>
        <v>0</v>
      </c>
      <c r="Y114" s="1">
        <f>IF(S114 + Y113 &lt; 0, S114 + Y113, 0)</f>
        <v>0</v>
      </c>
      <c r="Z114" s="1">
        <f>IF(T114 + Z113 &lt; 0, T114 + Z113, 0)</f>
        <v>0</v>
      </c>
      <c r="AA114" s="1">
        <f>IF(U114 + AA113 &lt; 0, U114 + AA113, 0)</f>
        <v>0</v>
      </c>
      <c r="AB114" s="1">
        <f>IF(AA114 &lt; 0, 1 + AB113, 0)</f>
        <v>0</v>
      </c>
      <c r="AC114" s="1">
        <f>IF(H114&lt;0,1,0)</f>
        <v>0</v>
      </c>
      <c r="AD114" s="1">
        <f>IF(AC114=1,H114,0)</f>
        <v>0</v>
      </c>
      <c r="AE114" s="1">
        <f>IF(H114&gt;0,1,0)</f>
        <v>0</v>
      </c>
      <c r="AF114" s="1">
        <f>IF(AE114=1,H114,0)</f>
        <v>0</v>
      </c>
      <c r="AG114" s="1">
        <f>IF(AD114&lt;-20000000.0/100,1,0)</f>
        <v>0</v>
      </c>
      <c r="AH114" s="1">
        <f>IF(AF114&gt;20000000.0/100,1,0)</f>
        <v>0</v>
      </c>
      <c r="AI114" s="1">
        <f>IF(U114&lt;0,1,0)</f>
        <v>0</v>
      </c>
      <c r="AJ114" s="1">
        <f>IF(AI114=1,U114,0)</f>
        <v>0</v>
      </c>
      <c r="AK114" s="1">
        <f>IF(U114&gt;0,1,0)</f>
        <v>0</v>
      </c>
      <c r="AL114" s="1">
        <f>IF(AK114=1,U114,0)</f>
        <v>0</v>
      </c>
      <c r="AM114" s="1">
        <f>IF(AJ114&lt;-20000000.0/100,1,0)</f>
        <v>0</v>
      </c>
      <c r="AN114" s="1">
        <f>IF(AL114&gt;20000000.0/100,1,0)</f>
        <v>0</v>
      </c>
    </row>
    <row r="115" spans="1:40" s="1" customFormat="1">
      <c r="A115" s="3">
        <v>45462</v>
      </c>
      <c r="B115" s="2" t="s">
        <v>24</v>
      </c>
      <c r="C115" s="1">
        <f>SUM(PL!H115:J115)</f>
        <v>0</v>
      </c>
      <c r="D115" s="1">
        <f>SUM(PL!K115:M115)</f>
        <v>0</v>
      </c>
      <c r="E115" s="1">
        <f>SUM(PL!N115:P115)</f>
        <v>0</v>
      </c>
      <c r="F115" s="1">
        <f>SUM(PL!Q115:S115)</f>
        <v>0</v>
      </c>
      <c r="G115" s="1">
        <f>SUM(PL!T115:V115)</f>
        <v>0</v>
      </c>
      <c r="H115" s="1">
        <f>SUM(C115:G115)</f>
        <v>0</v>
      </c>
      <c r="I115" s="1">
        <f>IF(C115 + I114 &lt; 0, C115 + I114, 0)</f>
        <v>0</v>
      </c>
      <c r="J115" s="1">
        <f>IF(D115 + J114 &lt; 0, D115 + J114, 0)</f>
        <v>0</v>
      </c>
      <c r="K115" s="1">
        <f>IF(E115 + K114 &lt; 0, E115 + K114, 0)</f>
        <v>0</v>
      </c>
      <c r="L115" s="1">
        <f>IF(F115 + L114 &lt; 0, F115 + L114, 0)</f>
        <v>0</v>
      </c>
      <c r="M115" s="1">
        <f>IF(G115 + M114 &lt; 0, G115 + M114, 0)</f>
        <v>0</v>
      </c>
      <c r="N115" s="1">
        <f>IF(H115 + N114 &lt; 0, H115 + N114, 0)</f>
        <v>0</v>
      </c>
      <c r="O115" s="1">
        <f>IF(N115 &lt; 0, 1 + O114, 0)</f>
        <v>0</v>
      </c>
      <c r="P115" s="1">
        <f>C115-((ABS(SUM(PL!H115:J115)))*0.125)</f>
        <v>0</v>
      </c>
      <c r="Q115" s="1">
        <f>D115-((ABS(SUM(PL!K115:M115)))*0.125)</f>
        <v>0</v>
      </c>
      <c r="R115" s="1">
        <f>E115-((ABS(SUM(PL!N115:P115)))*0.125)</f>
        <v>0</v>
      </c>
      <c r="S115" s="1">
        <f>F115-((ABS(SUM(PL!Q115:S115)))*0.125)</f>
        <v>0</v>
      </c>
      <c r="T115" s="1">
        <f>G115-((ABS(SUM(PL!T115:V115)))*0.125)</f>
        <v>0</v>
      </c>
      <c r="U115" s="1">
        <f>P115 + Q115 + R115 + S115 + T115</f>
        <v>0</v>
      </c>
      <c r="V115" s="1">
        <f>IF(P115 + V114 &lt; 0, P115 + V114, 0)</f>
        <v>0</v>
      </c>
      <c r="W115" s="1">
        <f>IF(Q115 + W114 &lt; 0, Q115 + W114, 0)</f>
        <v>0</v>
      </c>
      <c r="X115" s="1">
        <f>IF(R115 + X114 &lt; 0, R115 + X114, 0)</f>
        <v>0</v>
      </c>
      <c r="Y115" s="1">
        <f>IF(S115 + Y114 &lt; 0, S115 + Y114, 0)</f>
        <v>0</v>
      </c>
      <c r="Z115" s="1">
        <f>IF(T115 + Z114 &lt; 0, T115 + Z114, 0)</f>
        <v>0</v>
      </c>
      <c r="AA115" s="1">
        <f>IF(U115 + AA114 &lt; 0, U115 + AA114, 0)</f>
        <v>0</v>
      </c>
      <c r="AB115" s="1">
        <f>IF(AA115 &lt; 0, 1 + AB114, 0)</f>
        <v>0</v>
      </c>
      <c r="AC115" s="1">
        <f>IF(H115&lt;0,1,0)</f>
        <v>0</v>
      </c>
      <c r="AD115" s="1">
        <f>IF(AC115=1,H115,0)</f>
        <v>0</v>
      </c>
      <c r="AE115" s="1">
        <f>IF(H115&gt;0,1,0)</f>
        <v>0</v>
      </c>
      <c r="AF115" s="1">
        <f>IF(AE115=1,H115,0)</f>
        <v>0</v>
      </c>
      <c r="AG115" s="1">
        <f>IF(AD115&lt;-20000000.0/100,1,0)</f>
        <v>0</v>
      </c>
      <c r="AH115" s="1">
        <f>IF(AF115&gt;20000000.0/100,1,0)</f>
        <v>0</v>
      </c>
      <c r="AI115" s="1">
        <f>IF(U115&lt;0,1,0)</f>
        <v>0</v>
      </c>
      <c r="AJ115" s="1">
        <f>IF(AI115=1,U115,0)</f>
        <v>0</v>
      </c>
      <c r="AK115" s="1">
        <f>IF(U115&gt;0,1,0)</f>
        <v>0</v>
      </c>
      <c r="AL115" s="1">
        <f>IF(AK115=1,U115,0)</f>
        <v>0</v>
      </c>
      <c r="AM115" s="1">
        <f>IF(AJ115&lt;-20000000.0/100,1,0)</f>
        <v>0</v>
      </c>
      <c r="AN115" s="1">
        <f>IF(AL115&gt;20000000.0/100,1,0)</f>
        <v>0</v>
      </c>
    </row>
    <row r="116" spans="1:40" s="1" customFormat="1">
      <c r="A116" s="3">
        <v>45463</v>
      </c>
      <c r="B116" s="2" t="s">
        <v>25</v>
      </c>
      <c r="C116" s="1">
        <f>SUM(PL!H116:J116)</f>
        <v>0</v>
      </c>
      <c r="D116" s="1">
        <f>SUM(PL!K116:M116)</f>
        <v>0</v>
      </c>
      <c r="E116" s="1">
        <f>SUM(PL!N116:P116)</f>
        <v>0</v>
      </c>
      <c r="F116" s="1">
        <f>SUM(PL!Q116:S116)</f>
        <v>0</v>
      </c>
      <c r="G116" s="1">
        <f>SUM(PL!T116:V116)</f>
        <v>0</v>
      </c>
      <c r="H116" s="1">
        <f>SUM(C116:G116)</f>
        <v>0</v>
      </c>
      <c r="I116" s="1">
        <f>IF(C116 + I115 &lt; 0, C116 + I115, 0)</f>
        <v>0</v>
      </c>
      <c r="J116" s="1">
        <f>IF(D116 + J115 &lt; 0, D116 + J115, 0)</f>
        <v>0</v>
      </c>
      <c r="K116" s="1">
        <f>IF(E116 + K115 &lt; 0, E116 + K115, 0)</f>
        <v>0</v>
      </c>
      <c r="L116" s="1">
        <f>IF(F116 + L115 &lt; 0, F116 + L115, 0)</f>
        <v>0</v>
      </c>
      <c r="M116" s="1">
        <f>IF(G116 + M115 &lt; 0, G116 + M115, 0)</f>
        <v>0</v>
      </c>
      <c r="N116" s="1">
        <f>IF(H116 + N115 &lt; 0, H116 + N115, 0)</f>
        <v>0</v>
      </c>
      <c r="O116" s="1">
        <f>IF(N116 &lt; 0, 1 + O115, 0)</f>
        <v>0</v>
      </c>
      <c r="P116" s="1">
        <f>C116-((ABS(SUM(PL!H116:J116)))*0.125)</f>
        <v>0</v>
      </c>
      <c r="Q116" s="1">
        <f>D116-((ABS(SUM(PL!K116:M116)))*0.125)</f>
        <v>0</v>
      </c>
      <c r="R116" s="1">
        <f>E116-((ABS(SUM(PL!N116:P116)))*0.125)</f>
        <v>0</v>
      </c>
      <c r="S116" s="1">
        <f>F116-((ABS(SUM(PL!Q116:S116)))*0.125)</f>
        <v>0</v>
      </c>
      <c r="T116" s="1">
        <f>G116-((ABS(SUM(PL!T116:V116)))*0.125)</f>
        <v>0</v>
      </c>
      <c r="U116" s="1">
        <f>P116 + Q116 + R116 + S116 + T116</f>
        <v>0</v>
      </c>
      <c r="V116" s="1">
        <f>IF(P116 + V115 &lt; 0, P116 + V115, 0)</f>
        <v>0</v>
      </c>
      <c r="W116" s="1">
        <f>IF(Q116 + W115 &lt; 0, Q116 + W115, 0)</f>
        <v>0</v>
      </c>
      <c r="X116" s="1">
        <f>IF(R116 + X115 &lt; 0, R116 + X115, 0)</f>
        <v>0</v>
      </c>
      <c r="Y116" s="1">
        <f>IF(S116 + Y115 &lt; 0, S116 + Y115, 0)</f>
        <v>0</v>
      </c>
      <c r="Z116" s="1">
        <f>IF(T116 + Z115 &lt; 0, T116 + Z115, 0)</f>
        <v>0</v>
      </c>
      <c r="AA116" s="1">
        <f>IF(U116 + AA115 &lt; 0, U116 + AA115, 0)</f>
        <v>0</v>
      </c>
      <c r="AB116" s="1">
        <f>IF(AA116 &lt; 0, 1 + AB115, 0)</f>
        <v>0</v>
      </c>
      <c r="AC116" s="1">
        <f>IF(H116&lt;0,1,0)</f>
        <v>0</v>
      </c>
      <c r="AD116" s="1">
        <f>IF(AC116=1,H116,0)</f>
        <v>0</v>
      </c>
      <c r="AE116" s="1">
        <f>IF(H116&gt;0,1,0)</f>
        <v>0</v>
      </c>
      <c r="AF116" s="1">
        <f>IF(AE116=1,H116,0)</f>
        <v>0</v>
      </c>
      <c r="AG116" s="1">
        <f>IF(AD116&lt;-20000000.0/100,1,0)</f>
        <v>0</v>
      </c>
      <c r="AH116" s="1">
        <f>IF(AF116&gt;20000000.0/100,1,0)</f>
        <v>0</v>
      </c>
      <c r="AI116" s="1">
        <f>IF(U116&lt;0,1,0)</f>
        <v>0</v>
      </c>
      <c r="AJ116" s="1">
        <f>IF(AI116=1,U116,0)</f>
        <v>0</v>
      </c>
      <c r="AK116" s="1">
        <f>IF(U116&gt;0,1,0)</f>
        <v>0</v>
      </c>
      <c r="AL116" s="1">
        <f>IF(AK116=1,U116,0)</f>
        <v>0</v>
      </c>
      <c r="AM116" s="1">
        <f>IF(AJ116&lt;-20000000.0/100,1,0)</f>
        <v>0</v>
      </c>
      <c r="AN116" s="1">
        <f>IF(AL116&gt;20000000.0/100,1,0)</f>
        <v>0</v>
      </c>
    </row>
    <row r="117" spans="1:40" s="1" customFormat="1">
      <c r="A117" s="3">
        <v>45464</v>
      </c>
      <c r="B117" s="2" t="s">
        <v>26</v>
      </c>
      <c r="C117" s="1">
        <f>SUM(PL!H117:J117)</f>
        <v>0</v>
      </c>
      <c r="D117" s="1">
        <f>SUM(PL!K117:M117)</f>
        <v>0</v>
      </c>
      <c r="E117" s="1">
        <f>SUM(PL!N117:P117)</f>
        <v>0</v>
      </c>
      <c r="F117" s="1">
        <f>SUM(PL!Q117:S117)</f>
        <v>0</v>
      </c>
      <c r="G117" s="1">
        <f>SUM(PL!T117:V117)</f>
        <v>0</v>
      </c>
      <c r="H117" s="1">
        <f>SUM(C117:G117)</f>
        <v>0</v>
      </c>
      <c r="I117" s="1">
        <f>IF(C117 + I116 &lt; 0, C117 + I116, 0)</f>
        <v>0</v>
      </c>
      <c r="J117" s="1">
        <f>IF(D117 + J116 &lt; 0, D117 + J116, 0)</f>
        <v>0</v>
      </c>
      <c r="K117" s="1">
        <f>IF(E117 + K116 &lt; 0, E117 + K116, 0)</f>
        <v>0</v>
      </c>
      <c r="L117" s="1">
        <f>IF(F117 + L116 &lt; 0, F117 + L116, 0)</f>
        <v>0</v>
      </c>
      <c r="M117" s="1">
        <f>IF(G117 + M116 &lt; 0, G117 + M116, 0)</f>
        <v>0</v>
      </c>
      <c r="N117" s="1">
        <f>IF(H117 + N116 &lt; 0, H117 + N116, 0)</f>
        <v>0</v>
      </c>
      <c r="O117" s="1">
        <f>IF(N117 &lt; 0, 1 + O116, 0)</f>
        <v>0</v>
      </c>
      <c r="P117" s="1">
        <f>C117-((ABS(SUM(PL!H117:J117)))*0.125)</f>
        <v>0</v>
      </c>
      <c r="Q117" s="1">
        <f>D117-((ABS(SUM(PL!K117:M117)))*0.125)</f>
        <v>0</v>
      </c>
      <c r="R117" s="1">
        <f>E117-((ABS(SUM(PL!N117:P117)))*0.125)</f>
        <v>0</v>
      </c>
      <c r="S117" s="1">
        <f>F117-((ABS(SUM(PL!Q117:S117)))*0.125)</f>
        <v>0</v>
      </c>
      <c r="T117" s="1">
        <f>G117-((ABS(SUM(PL!T117:V117)))*0.125)</f>
        <v>0</v>
      </c>
      <c r="U117" s="1">
        <f>P117 + Q117 + R117 + S117 + T117</f>
        <v>0</v>
      </c>
      <c r="V117" s="1">
        <f>IF(P117 + V116 &lt; 0, P117 + V116, 0)</f>
        <v>0</v>
      </c>
      <c r="W117" s="1">
        <f>IF(Q117 + W116 &lt; 0, Q117 + W116, 0)</f>
        <v>0</v>
      </c>
      <c r="X117" s="1">
        <f>IF(R117 + X116 &lt; 0, R117 + X116, 0)</f>
        <v>0</v>
      </c>
      <c r="Y117" s="1">
        <f>IF(S117 + Y116 &lt; 0, S117 + Y116, 0)</f>
        <v>0</v>
      </c>
      <c r="Z117" s="1">
        <f>IF(T117 + Z116 &lt; 0, T117 + Z116, 0)</f>
        <v>0</v>
      </c>
      <c r="AA117" s="1">
        <f>IF(U117 + AA116 &lt; 0, U117 + AA116, 0)</f>
        <v>0</v>
      </c>
      <c r="AB117" s="1">
        <f>IF(AA117 &lt; 0, 1 + AB116, 0)</f>
        <v>0</v>
      </c>
      <c r="AC117" s="1">
        <f>IF(H117&lt;0,1,0)</f>
        <v>0</v>
      </c>
      <c r="AD117" s="1">
        <f>IF(AC117=1,H117,0)</f>
        <v>0</v>
      </c>
      <c r="AE117" s="1">
        <f>IF(H117&gt;0,1,0)</f>
        <v>0</v>
      </c>
      <c r="AF117" s="1">
        <f>IF(AE117=1,H117,0)</f>
        <v>0</v>
      </c>
      <c r="AG117" s="1">
        <f>IF(AD117&lt;-20000000.0/100,1,0)</f>
        <v>0</v>
      </c>
      <c r="AH117" s="1">
        <f>IF(AF117&gt;20000000.0/100,1,0)</f>
        <v>0</v>
      </c>
      <c r="AI117" s="1">
        <f>IF(U117&lt;0,1,0)</f>
        <v>0</v>
      </c>
      <c r="AJ117" s="1">
        <f>IF(AI117=1,U117,0)</f>
        <v>0</v>
      </c>
      <c r="AK117" s="1">
        <f>IF(U117&gt;0,1,0)</f>
        <v>0</v>
      </c>
      <c r="AL117" s="1">
        <f>IF(AK117=1,U117,0)</f>
        <v>0</v>
      </c>
      <c r="AM117" s="1">
        <f>IF(AJ117&lt;-20000000.0/100,1,0)</f>
        <v>0</v>
      </c>
      <c r="AN117" s="1">
        <f>IF(AL117&gt;20000000.0/100,1,0)</f>
        <v>0</v>
      </c>
    </row>
    <row r="118" spans="1:40" s="1" customFormat="1">
      <c r="A118" s="3">
        <v>45467</v>
      </c>
      <c r="B118" s="2" t="s">
        <v>22</v>
      </c>
      <c r="C118" s="1">
        <f>SUM(PL!H118:J118)</f>
        <v>0</v>
      </c>
      <c r="D118" s="1">
        <f>SUM(PL!K118:M118)</f>
        <v>0</v>
      </c>
      <c r="E118" s="1">
        <f>SUM(PL!N118:P118)</f>
        <v>0</v>
      </c>
      <c r="F118" s="1">
        <f>SUM(PL!Q118:S118)</f>
        <v>0</v>
      </c>
      <c r="G118" s="1">
        <f>SUM(PL!T118:V118)</f>
        <v>0</v>
      </c>
      <c r="H118" s="1">
        <f>SUM(C118:G118)</f>
        <v>0</v>
      </c>
      <c r="I118" s="1">
        <f>IF(C118 + I117 &lt; 0, C118 + I117, 0)</f>
        <v>0</v>
      </c>
      <c r="J118" s="1">
        <f>IF(D118 + J117 &lt; 0, D118 + J117, 0)</f>
        <v>0</v>
      </c>
      <c r="K118" s="1">
        <f>IF(E118 + K117 &lt; 0, E118 + K117, 0)</f>
        <v>0</v>
      </c>
      <c r="L118" s="1">
        <f>IF(F118 + L117 &lt; 0, F118 + L117, 0)</f>
        <v>0</v>
      </c>
      <c r="M118" s="1">
        <f>IF(G118 + M117 &lt; 0, G118 + M117, 0)</f>
        <v>0</v>
      </c>
      <c r="N118" s="1">
        <f>IF(H118 + N117 &lt; 0, H118 + N117, 0)</f>
        <v>0</v>
      </c>
      <c r="O118" s="1">
        <f>IF(N118 &lt; 0, 1 + O117, 0)</f>
        <v>0</v>
      </c>
      <c r="P118" s="1">
        <f>C118-((ABS(SUM(PL!H118:J118)))*0.125)</f>
        <v>0</v>
      </c>
      <c r="Q118" s="1">
        <f>D118-((ABS(SUM(PL!K118:M118)))*0.125)</f>
        <v>0</v>
      </c>
      <c r="R118" s="1">
        <f>E118-((ABS(SUM(PL!N118:P118)))*0.125)</f>
        <v>0</v>
      </c>
      <c r="S118" s="1">
        <f>F118-((ABS(SUM(PL!Q118:S118)))*0.125)</f>
        <v>0</v>
      </c>
      <c r="T118" s="1">
        <f>G118-((ABS(SUM(PL!T118:V118)))*0.125)</f>
        <v>0</v>
      </c>
      <c r="U118" s="1">
        <f>P118 + Q118 + R118 + S118 + T118</f>
        <v>0</v>
      </c>
      <c r="V118" s="1">
        <f>IF(P118 + V117 &lt; 0, P118 + V117, 0)</f>
        <v>0</v>
      </c>
      <c r="W118" s="1">
        <f>IF(Q118 + W117 &lt; 0, Q118 + W117, 0)</f>
        <v>0</v>
      </c>
      <c r="X118" s="1">
        <f>IF(R118 + X117 &lt; 0, R118 + X117, 0)</f>
        <v>0</v>
      </c>
      <c r="Y118" s="1">
        <f>IF(S118 + Y117 &lt; 0, S118 + Y117, 0)</f>
        <v>0</v>
      </c>
      <c r="Z118" s="1">
        <f>IF(T118 + Z117 &lt; 0, T118 + Z117, 0)</f>
        <v>0</v>
      </c>
      <c r="AA118" s="1">
        <f>IF(U118 + AA117 &lt; 0, U118 + AA117, 0)</f>
        <v>0</v>
      </c>
      <c r="AB118" s="1">
        <f>IF(AA118 &lt; 0, 1 + AB117, 0)</f>
        <v>0</v>
      </c>
      <c r="AC118" s="1">
        <f>IF(H118&lt;0,1,0)</f>
        <v>0</v>
      </c>
      <c r="AD118" s="1">
        <f>IF(AC118=1,H118,0)</f>
        <v>0</v>
      </c>
      <c r="AE118" s="1">
        <f>IF(H118&gt;0,1,0)</f>
        <v>0</v>
      </c>
      <c r="AF118" s="1">
        <f>IF(AE118=1,H118,0)</f>
        <v>0</v>
      </c>
      <c r="AG118" s="1">
        <f>IF(AD118&lt;-20000000.0/100,1,0)</f>
        <v>0</v>
      </c>
      <c r="AH118" s="1">
        <f>IF(AF118&gt;20000000.0/100,1,0)</f>
        <v>0</v>
      </c>
      <c r="AI118" s="1">
        <f>IF(U118&lt;0,1,0)</f>
        <v>0</v>
      </c>
      <c r="AJ118" s="1">
        <f>IF(AI118=1,U118,0)</f>
        <v>0</v>
      </c>
      <c r="AK118" s="1">
        <f>IF(U118&gt;0,1,0)</f>
        <v>0</v>
      </c>
      <c r="AL118" s="1">
        <f>IF(AK118=1,U118,0)</f>
        <v>0</v>
      </c>
      <c r="AM118" s="1">
        <f>IF(AJ118&lt;-20000000.0/100,1,0)</f>
        <v>0</v>
      </c>
      <c r="AN118" s="1">
        <f>IF(AL118&gt;20000000.0/100,1,0)</f>
        <v>0</v>
      </c>
    </row>
    <row r="119" spans="1:40" s="1" customFormat="1">
      <c r="A119" s="3">
        <v>45468</v>
      </c>
      <c r="B119" s="2" t="s">
        <v>23</v>
      </c>
      <c r="C119" s="1">
        <f>SUM(PL!H119:J119)</f>
        <v>0</v>
      </c>
      <c r="D119" s="1">
        <f>SUM(PL!K119:M119)</f>
        <v>0</v>
      </c>
      <c r="E119" s="1">
        <f>SUM(PL!N119:P119)</f>
        <v>0</v>
      </c>
      <c r="F119" s="1">
        <f>SUM(PL!Q119:S119)</f>
        <v>0</v>
      </c>
      <c r="G119" s="1">
        <f>SUM(PL!T119:V119)</f>
        <v>0</v>
      </c>
      <c r="H119" s="1">
        <f>SUM(C119:G119)</f>
        <v>0</v>
      </c>
      <c r="I119" s="1">
        <f>IF(C119 + I118 &lt; 0, C119 + I118, 0)</f>
        <v>0</v>
      </c>
      <c r="J119" s="1">
        <f>IF(D119 + J118 &lt; 0, D119 + J118, 0)</f>
        <v>0</v>
      </c>
      <c r="K119" s="1">
        <f>IF(E119 + K118 &lt; 0, E119 + K118, 0)</f>
        <v>0</v>
      </c>
      <c r="L119" s="1">
        <f>IF(F119 + L118 &lt; 0, F119 + L118, 0)</f>
        <v>0</v>
      </c>
      <c r="M119" s="1">
        <f>IF(G119 + M118 &lt; 0, G119 + M118, 0)</f>
        <v>0</v>
      </c>
      <c r="N119" s="1">
        <f>IF(H119 + N118 &lt; 0, H119 + N118, 0)</f>
        <v>0</v>
      </c>
      <c r="O119" s="1">
        <f>IF(N119 &lt; 0, 1 + O118, 0)</f>
        <v>0</v>
      </c>
      <c r="P119" s="1">
        <f>C119-((ABS(SUM(PL!H119:J119)))*0.125)</f>
        <v>0</v>
      </c>
      <c r="Q119" s="1">
        <f>D119-((ABS(SUM(PL!K119:M119)))*0.125)</f>
        <v>0</v>
      </c>
      <c r="R119" s="1">
        <f>E119-((ABS(SUM(PL!N119:P119)))*0.125)</f>
        <v>0</v>
      </c>
      <c r="S119" s="1">
        <f>F119-((ABS(SUM(PL!Q119:S119)))*0.125)</f>
        <v>0</v>
      </c>
      <c r="T119" s="1">
        <f>G119-((ABS(SUM(PL!T119:V119)))*0.125)</f>
        <v>0</v>
      </c>
      <c r="U119" s="1">
        <f>P119 + Q119 + R119 + S119 + T119</f>
        <v>0</v>
      </c>
      <c r="V119" s="1">
        <f>IF(P119 + V118 &lt; 0, P119 + V118, 0)</f>
        <v>0</v>
      </c>
      <c r="W119" s="1">
        <f>IF(Q119 + W118 &lt; 0, Q119 + W118, 0)</f>
        <v>0</v>
      </c>
      <c r="X119" s="1">
        <f>IF(R119 + X118 &lt; 0, R119 + X118, 0)</f>
        <v>0</v>
      </c>
      <c r="Y119" s="1">
        <f>IF(S119 + Y118 &lt; 0, S119 + Y118, 0)</f>
        <v>0</v>
      </c>
      <c r="Z119" s="1">
        <f>IF(T119 + Z118 &lt; 0, T119 + Z118, 0)</f>
        <v>0</v>
      </c>
      <c r="AA119" s="1">
        <f>IF(U119 + AA118 &lt; 0, U119 + AA118, 0)</f>
        <v>0</v>
      </c>
      <c r="AB119" s="1">
        <f>IF(AA119 &lt; 0, 1 + AB118, 0)</f>
        <v>0</v>
      </c>
      <c r="AC119" s="1">
        <f>IF(H119&lt;0,1,0)</f>
        <v>0</v>
      </c>
      <c r="AD119" s="1">
        <f>IF(AC119=1,H119,0)</f>
        <v>0</v>
      </c>
      <c r="AE119" s="1">
        <f>IF(H119&gt;0,1,0)</f>
        <v>0</v>
      </c>
      <c r="AF119" s="1">
        <f>IF(AE119=1,H119,0)</f>
        <v>0</v>
      </c>
      <c r="AG119" s="1">
        <f>IF(AD119&lt;-20000000.0/100,1,0)</f>
        <v>0</v>
      </c>
      <c r="AH119" s="1">
        <f>IF(AF119&gt;20000000.0/100,1,0)</f>
        <v>0</v>
      </c>
      <c r="AI119" s="1">
        <f>IF(U119&lt;0,1,0)</f>
        <v>0</v>
      </c>
      <c r="AJ119" s="1">
        <f>IF(AI119=1,U119,0)</f>
        <v>0</v>
      </c>
      <c r="AK119" s="1">
        <f>IF(U119&gt;0,1,0)</f>
        <v>0</v>
      </c>
      <c r="AL119" s="1">
        <f>IF(AK119=1,U119,0)</f>
        <v>0</v>
      </c>
      <c r="AM119" s="1">
        <f>IF(AJ119&lt;-20000000.0/100,1,0)</f>
        <v>0</v>
      </c>
      <c r="AN119" s="1">
        <f>IF(AL119&gt;20000000.0/100,1,0)</f>
        <v>0</v>
      </c>
    </row>
    <row r="120" spans="1:40" s="1" customFormat="1">
      <c r="A120" s="3">
        <v>45469</v>
      </c>
      <c r="B120" s="2" t="s">
        <v>24</v>
      </c>
      <c r="C120" s="1">
        <f>SUM(PL!H120:J120)</f>
        <v>0</v>
      </c>
      <c r="D120" s="1">
        <f>SUM(PL!K120:M120)</f>
        <v>0</v>
      </c>
      <c r="E120" s="1">
        <f>SUM(PL!N120:P120)</f>
        <v>0</v>
      </c>
      <c r="F120" s="1">
        <f>SUM(PL!Q120:S120)</f>
        <v>0</v>
      </c>
      <c r="G120" s="1">
        <f>SUM(PL!T120:V120)</f>
        <v>0</v>
      </c>
      <c r="H120" s="1">
        <f>SUM(C120:G120)</f>
        <v>0</v>
      </c>
      <c r="I120" s="1">
        <f>IF(C120 + I119 &lt; 0, C120 + I119, 0)</f>
        <v>0</v>
      </c>
      <c r="J120" s="1">
        <f>IF(D120 + J119 &lt; 0, D120 + J119, 0)</f>
        <v>0</v>
      </c>
      <c r="K120" s="1">
        <f>IF(E120 + K119 &lt; 0, E120 + K119, 0)</f>
        <v>0</v>
      </c>
      <c r="L120" s="1">
        <f>IF(F120 + L119 &lt; 0, F120 + L119, 0)</f>
        <v>0</v>
      </c>
      <c r="M120" s="1">
        <f>IF(G120 + M119 &lt; 0, G120 + M119, 0)</f>
        <v>0</v>
      </c>
      <c r="N120" s="1">
        <f>IF(H120 + N119 &lt; 0, H120 + N119, 0)</f>
        <v>0</v>
      </c>
      <c r="O120" s="1">
        <f>IF(N120 &lt; 0, 1 + O119, 0)</f>
        <v>0</v>
      </c>
      <c r="P120" s="1">
        <f>C120-((ABS(SUM(PL!H120:J120)))*0.125)</f>
        <v>0</v>
      </c>
      <c r="Q120" s="1">
        <f>D120-((ABS(SUM(PL!K120:M120)))*0.125)</f>
        <v>0</v>
      </c>
      <c r="R120" s="1">
        <f>E120-((ABS(SUM(PL!N120:P120)))*0.125)</f>
        <v>0</v>
      </c>
      <c r="S120" s="1">
        <f>F120-((ABS(SUM(PL!Q120:S120)))*0.125)</f>
        <v>0</v>
      </c>
      <c r="T120" s="1">
        <f>G120-((ABS(SUM(PL!T120:V120)))*0.125)</f>
        <v>0</v>
      </c>
      <c r="U120" s="1">
        <f>P120 + Q120 + R120 + S120 + T120</f>
        <v>0</v>
      </c>
      <c r="V120" s="1">
        <f>IF(P120 + V119 &lt; 0, P120 + V119, 0)</f>
        <v>0</v>
      </c>
      <c r="W120" s="1">
        <f>IF(Q120 + W119 &lt; 0, Q120 + W119, 0)</f>
        <v>0</v>
      </c>
      <c r="X120" s="1">
        <f>IF(R120 + X119 &lt; 0, R120 + X119, 0)</f>
        <v>0</v>
      </c>
      <c r="Y120" s="1">
        <f>IF(S120 + Y119 &lt; 0, S120 + Y119, 0)</f>
        <v>0</v>
      </c>
      <c r="Z120" s="1">
        <f>IF(T120 + Z119 &lt; 0, T120 + Z119, 0)</f>
        <v>0</v>
      </c>
      <c r="AA120" s="1">
        <f>IF(U120 + AA119 &lt; 0, U120 + AA119, 0)</f>
        <v>0</v>
      </c>
      <c r="AB120" s="1">
        <f>IF(AA120 &lt; 0, 1 + AB119, 0)</f>
        <v>0</v>
      </c>
      <c r="AC120" s="1">
        <f>IF(H120&lt;0,1,0)</f>
        <v>0</v>
      </c>
      <c r="AD120" s="1">
        <f>IF(AC120=1,H120,0)</f>
        <v>0</v>
      </c>
      <c r="AE120" s="1">
        <f>IF(H120&gt;0,1,0)</f>
        <v>0</v>
      </c>
      <c r="AF120" s="1">
        <f>IF(AE120=1,H120,0)</f>
        <v>0</v>
      </c>
      <c r="AG120" s="1">
        <f>IF(AD120&lt;-20000000.0/100,1,0)</f>
        <v>0</v>
      </c>
      <c r="AH120" s="1">
        <f>IF(AF120&gt;20000000.0/100,1,0)</f>
        <v>0</v>
      </c>
      <c r="AI120" s="1">
        <f>IF(U120&lt;0,1,0)</f>
        <v>0</v>
      </c>
      <c r="AJ120" s="1">
        <f>IF(AI120=1,U120,0)</f>
        <v>0</v>
      </c>
      <c r="AK120" s="1">
        <f>IF(U120&gt;0,1,0)</f>
        <v>0</v>
      </c>
      <c r="AL120" s="1">
        <f>IF(AK120=1,U120,0)</f>
        <v>0</v>
      </c>
      <c r="AM120" s="1">
        <f>IF(AJ120&lt;-20000000.0/100,1,0)</f>
        <v>0</v>
      </c>
      <c r="AN120" s="1">
        <f>IF(AL120&gt;20000000.0/100,1,0)</f>
        <v>0</v>
      </c>
    </row>
    <row r="121" spans="1:40" s="1" customFormat="1">
      <c r="A121" s="3">
        <v>45470</v>
      </c>
      <c r="B121" s="2" t="s">
        <v>25</v>
      </c>
      <c r="C121" s="1">
        <f>SUM(PL!H121:J121)</f>
        <v>0</v>
      </c>
      <c r="D121" s="1">
        <f>SUM(PL!K121:M121)</f>
        <v>0</v>
      </c>
      <c r="E121" s="1">
        <f>SUM(PL!N121:P121)</f>
        <v>0</v>
      </c>
      <c r="F121" s="1">
        <f>SUM(PL!Q121:S121)</f>
        <v>0</v>
      </c>
      <c r="G121" s="1">
        <f>SUM(PL!T121:V121)</f>
        <v>0</v>
      </c>
      <c r="H121" s="1">
        <f>SUM(C121:G121)</f>
        <v>0</v>
      </c>
      <c r="I121" s="1">
        <f>IF(C121 + I120 &lt; 0, C121 + I120, 0)</f>
        <v>0</v>
      </c>
      <c r="J121" s="1">
        <f>IF(D121 + J120 &lt; 0, D121 + J120, 0)</f>
        <v>0</v>
      </c>
      <c r="K121" s="1">
        <f>IF(E121 + K120 &lt; 0, E121 + K120, 0)</f>
        <v>0</v>
      </c>
      <c r="L121" s="1">
        <f>IF(F121 + L120 &lt; 0, F121 + L120, 0)</f>
        <v>0</v>
      </c>
      <c r="M121" s="1">
        <f>IF(G121 + M120 &lt; 0, G121 + M120, 0)</f>
        <v>0</v>
      </c>
      <c r="N121" s="1">
        <f>IF(H121 + N120 &lt; 0, H121 + N120, 0)</f>
        <v>0</v>
      </c>
      <c r="O121" s="1">
        <f>IF(N121 &lt; 0, 1 + O120, 0)</f>
        <v>0</v>
      </c>
      <c r="P121" s="1">
        <f>C121-((ABS(SUM(PL!H121:J121)))*0.125)</f>
        <v>0</v>
      </c>
      <c r="Q121" s="1">
        <f>D121-((ABS(SUM(PL!K121:M121)))*0.125)</f>
        <v>0</v>
      </c>
      <c r="R121" s="1">
        <f>E121-((ABS(SUM(PL!N121:P121)))*0.125)</f>
        <v>0</v>
      </c>
      <c r="S121" s="1">
        <f>F121-((ABS(SUM(PL!Q121:S121)))*0.125)</f>
        <v>0</v>
      </c>
      <c r="T121" s="1">
        <f>G121-((ABS(SUM(PL!T121:V121)))*0.125)</f>
        <v>0</v>
      </c>
      <c r="U121" s="1">
        <f>P121 + Q121 + R121 + S121 + T121</f>
        <v>0</v>
      </c>
      <c r="V121" s="1">
        <f>IF(P121 + V120 &lt; 0, P121 + V120, 0)</f>
        <v>0</v>
      </c>
      <c r="W121" s="1">
        <f>IF(Q121 + W120 &lt; 0, Q121 + W120, 0)</f>
        <v>0</v>
      </c>
      <c r="X121" s="1">
        <f>IF(R121 + X120 &lt; 0, R121 + X120, 0)</f>
        <v>0</v>
      </c>
      <c r="Y121" s="1">
        <f>IF(S121 + Y120 &lt; 0, S121 + Y120, 0)</f>
        <v>0</v>
      </c>
      <c r="Z121" s="1">
        <f>IF(T121 + Z120 &lt; 0, T121 + Z120, 0)</f>
        <v>0</v>
      </c>
      <c r="AA121" s="1">
        <f>IF(U121 + AA120 &lt; 0, U121 + AA120, 0)</f>
        <v>0</v>
      </c>
      <c r="AB121" s="1">
        <f>IF(AA121 &lt; 0, 1 + AB120, 0)</f>
        <v>0</v>
      </c>
      <c r="AC121" s="1">
        <f>IF(H121&lt;0,1,0)</f>
        <v>0</v>
      </c>
      <c r="AD121" s="1">
        <f>IF(AC121=1,H121,0)</f>
        <v>0</v>
      </c>
      <c r="AE121" s="1">
        <f>IF(H121&gt;0,1,0)</f>
        <v>0</v>
      </c>
      <c r="AF121" s="1">
        <f>IF(AE121=1,H121,0)</f>
        <v>0</v>
      </c>
      <c r="AG121" s="1">
        <f>IF(AD121&lt;-20000000.0/100,1,0)</f>
        <v>0</v>
      </c>
      <c r="AH121" s="1">
        <f>IF(AF121&gt;20000000.0/100,1,0)</f>
        <v>0</v>
      </c>
      <c r="AI121" s="1">
        <f>IF(U121&lt;0,1,0)</f>
        <v>0</v>
      </c>
      <c r="AJ121" s="1">
        <f>IF(AI121=1,U121,0)</f>
        <v>0</v>
      </c>
      <c r="AK121" s="1">
        <f>IF(U121&gt;0,1,0)</f>
        <v>0</v>
      </c>
      <c r="AL121" s="1">
        <f>IF(AK121=1,U121,0)</f>
        <v>0</v>
      </c>
      <c r="AM121" s="1">
        <f>IF(AJ121&lt;-20000000.0/100,1,0)</f>
        <v>0</v>
      </c>
      <c r="AN121" s="1">
        <f>IF(AL121&gt;20000000.0/100,1,0)</f>
        <v>0</v>
      </c>
    </row>
    <row r="122" spans="1:40" s="1" customFormat="1">
      <c r="A122" s="3">
        <v>45471</v>
      </c>
      <c r="B122" s="2" t="s">
        <v>26</v>
      </c>
      <c r="C122" s="1">
        <f>SUM(PL!H122:J122)</f>
        <v>0</v>
      </c>
      <c r="D122" s="1">
        <f>SUM(PL!K122:M122)</f>
        <v>0</v>
      </c>
      <c r="E122" s="1">
        <f>SUM(PL!N122:P122)</f>
        <v>0</v>
      </c>
      <c r="F122" s="1">
        <f>SUM(PL!Q122:S122)</f>
        <v>0</v>
      </c>
      <c r="G122" s="1">
        <f>SUM(PL!T122:V122)</f>
        <v>0</v>
      </c>
      <c r="H122" s="1">
        <f>SUM(C122:G122)</f>
        <v>0</v>
      </c>
      <c r="I122" s="1">
        <f>IF(C122 + I121 &lt; 0, C122 + I121, 0)</f>
        <v>0</v>
      </c>
      <c r="J122" s="1">
        <f>IF(D122 + J121 &lt; 0, D122 + J121, 0)</f>
        <v>0</v>
      </c>
      <c r="K122" s="1">
        <f>IF(E122 + K121 &lt; 0, E122 + K121, 0)</f>
        <v>0</v>
      </c>
      <c r="L122" s="1">
        <f>IF(F122 + L121 &lt; 0, F122 + L121, 0)</f>
        <v>0</v>
      </c>
      <c r="M122" s="1">
        <f>IF(G122 + M121 &lt; 0, G122 + M121, 0)</f>
        <v>0</v>
      </c>
      <c r="N122" s="1">
        <f>IF(H122 + N121 &lt; 0, H122 + N121, 0)</f>
        <v>0</v>
      </c>
      <c r="O122" s="1">
        <f>IF(N122 &lt; 0, 1 + O121, 0)</f>
        <v>0</v>
      </c>
      <c r="P122" s="1">
        <f>C122-((ABS(SUM(PL!H122:J122)))*0.125)</f>
        <v>0</v>
      </c>
      <c r="Q122" s="1">
        <f>D122-((ABS(SUM(PL!K122:M122)))*0.125)</f>
        <v>0</v>
      </c>
      <c r="R122" s="1">
        <f>E122-((ABS(SUM(PL!N122:P122)))*0.125)</f>
        <v>0</v>
      </c>
      <c r="S122" s="1">
        <f>F122-((ABS(SUM(PL!Q122:S122)))*0.125)</f>
        <v>0</v>
      </c>
      <c r="T122" s="1">
        <f>G122-((ABS(SUM(PL!T122:V122)))*0.125)</f>
        <v>0</v>
      </c>
      <c r="U122" s="1">
        <f>P122 + Q122 + R122 + S122 + T122</f>
        <v>0</v>
      </c>
      <c r="V122" s="1">
        <f>IF(P122 + V121 &lt; 0, P122 + V121, 0)</f>
        <v>0</v>
      </c>
      <c r="W122" s="1">
        <f>IF(Q122 + W121 &lt; 0, Q122 + W121, 0)</f>
        <v>0</v>
      </c>
      <c r="X122" s="1">
        <f>IF(R122 + X121 &lt; 0, R122 + X121, 0)</f>
        <v>0</v>
      </c>
      <c r="Y122" s="1">
        <f>IF(S122 + Y121 &lt; 0, S122 + Y121, 0)</f>
        <v>0</v>
      </c>
      <c r="Z122" s="1">
        <f>IF(T122 + Z121 &lt; 0, T122 + Z121, 0)</f>
        <v>0</v>
      </c>
      <c r="AA122" s="1">
        <f>IF(U122 + AA121 &lt; 0, U122 + AA121, 0)</f>
        <v>0</v>
      </c>
      <c r="AB122" s="1">
        <f>IF(AA122 &lt; 0, 1 + AB121, 0)</f>
        <v>0</v>
      </c>
      <c r="AC122" s="1">
        <f>IF(H122&lt;0,1,0)</f>
        <v>0</v>
      </c>
      <c r="AD122" s="1">
        <f>IF(AC122=1,H122,0)</f>
        <v>0</v>
      </c>
      <c r="AE122" s="1">
        <f>IF(H122&gt;0,1,0)</f>
        <v>0</v>
      </c>
      <c r="AF122" s="1">
        <f>IF(AE122=1,H122,0)</f>
        <v>0</v>
      </c>
      <c r="AG122" s="1">
        <f>IF(AD122&lt;-20000000.0/100,1,0)</f>
        <v>0</v>
      </c>
      <c r="AH122" s="1">
        <f>IF(AF122&gt;20000000.0/100,1,0)</f>
        <v>0</v>
      </c>
      <c r="AI122" s="1">
        <f>IF(U122&lt;0,1,0)</f>
        <v>0</v>
      </c>
      <c r="AJ122" s="1">
        <f>IF(AI122=1,U122,0)</f>
        <v>0</v>
      </c>
      <c r="AK122" s="1">
        <f>IF(U122&gt;0,1,0)</f>
        <v>0</v>
      </c>
      <c r="AL122" s="1">
        <f>IF(AK122=1,U122,0)</f>
        <v>0</v>
      </c>
      <c r="AM122" s="1">
        <f>IF(AJ122&lt;-20000000.0/100,1,0)</f>
        <v>0</v>
      </c>
      <c r="AN122" s="1">
        <f>IF(AL122&gt;20000000.0/100,1,0)</f>
        <v>0</v>
      </c>
    </row>
    <row r="123" spans="1:40" s="1" customFormat="1">
      <c r="A123" s="3">
        <v>45474</v>
      </c>
      <c r="B123" s="2" t="s">
        <v>22</v>
      </c>
      <c r="C123" s="1">
        <f>SUM(PL!H123:J123)</f>
        <v>0</v>
      </c>
      <c r="D123" s="1">
        <f>SUM(PL!K123:M123)</f>
        <v>0</v>
      </c>
      <c r="E123" s="1">
        <f>SUM(PL!N123:P123)</f>
        <v>0</v>
      </c>
      <c r="F123" s="1">
        <f>SUM(PL!Q123:S123)</f>
        <v>0</v>
      </c>
      <c r="G123" s="1">
        <f>SUM(PL!T123:V123)</f>
        <v>0</v>
      </c>
      <c r="H123" s="1">
        <f>SUM(C123:G123)</f>
        <v>0</v>
      </c>
      <c r="I123" s="1">
        <f>IF(C123 + I122 &lt; 0, C123 + I122, 0)</f>
        <v>0</v>
      </c>
      <c r="J123" s="1">
        <f>IF(D123 + J122 &lt; 0, D123 + J122, 0)</f>
        <v>0</v>
      </c>
      <c r="K123" s="1">
        <f>IF(E123 + K122 &lt; 0, E123 + K122, 0)</f>
        <v>0</v>
      </c>
      <c r="L123" s="1">
        <f>IF(F123 + L122 &lt; 0, F123 + L122, 0)</f>
        <v>0</v>
      </c>
      <c r="M123" s="1">
        <f>IF(G123 + M122 &lt; 0, G123 + M122, 0)</f>
        <v>0</v>
      </c>
      <c r="N123" s="1">
        <f>IF(H123 + N122 &lt; 0, H123 + N122, 0)</f>
        <v>0</v>
      </c>
      <c r="O123" s="1">
        <f>IF(N123 &lt; 0, 1 + O122, 0)</f>
        <v>0</v>
      </c>
      <c r="P123" s="1">
        <f>C123-((ABS(SUM(PL!H123:J123)))*0.125)</f>
        <v>0</v>
      </c>
      <c r="Q123" s="1">
        <f>D123-((ABS(SUM(PL!K123:M123)))*0.125)</f>
        <v>0</v>
      </c>
      <c r="R123" s="1">
        <f>E123-((ABS(SUM(PL!N123:P123)))*0.125)</f>
        <v>0</v>
      </c>
      <c r="S123" s="1">
        <f>F123-((ABS(SUM(PL!Q123:S123)))*0.125)</f>
        <v>0</v>
      </c>
      <c r="T123" s="1">
        <f>G123-((ABS(SUM(PL!T123:V123)))*0.125)</f>
        <v>0</v>
      </c>
      <c r="U123" s="1">
        <f>P123 + Q123 + R123 + S123 + T123</f>
        <v>0</v>
      </c>
      <c r="V123" s="1">
        <f>IF(P123 + V122 &lt; 0, P123 + V122, 0)</f>
        <v>0</v>
      </c>
      <c r="W123" s="1">
        <f>IF(Q123 + W122 &lt; 0, Q123 + W122, 0)</f>
        <v>0</v>
      </c>
      <c r="X123" s="1">
        <f>IF(R123 + X122 &lt; 0, R123 + X122, 0)</f>
        <v>0</v>
      </c>
      <c r="Y123" s="1">
        <f>IF(S123 + Y122 &lt; 0, S123 + Y122, 0)</f>
        <v>0</v>
      </c>
      <c r="Z123" s="1">
        <f>IF(T123 + Z122 &lt; 0, T123 + Z122, 0)</f>
        <v>0</v>
      </c>
      <c r="AA123" s="1">
        <f>IF(U123 + AA122 &lt; 0, U123 + AA122, 0)</f>
        <v>0</v>
      </c>
      <c r="AB123" s="1">
        <f>IF(AA123 &lt; 0, 1 + AB122, 0)</f>
        <v>0</v>
      </c>
      <c r="AC123" s="1">
        <f>IF(H123&lt;0,1,0)</f>
        <v>0</v>
      </c>
      <c r="AD123" s="1">
        <f>IF(AC123=1,H123,0)</f>
        <v>0</v>
      </c>
      <c r="AE123" s="1">
        <f>IF(H123&gt;0,1,0)</f>
        <v>0</v>
      </c>
      <c r="AF123" s="1">
        <f>IF(AE123=1,H123,0)</f>
        <v>0</v>
      </c>
      <c r="AG123" s="1">
        <f>IF(AD123&lt;-20000000.0/100,1,0)</f>
        <v>0</v>
      </c>
      <c r="AH123" s="1">
        <f>IF(AF123&gt;20000000.0/100,1,0)</f>
        <v>0</v>
      </c>
      <c r="AI123" s="1">
        <f>IF(U123&lt;0,1,0)</f>
        <v>0</v>
      </c>
      <c r="AJ123" s="1">
        <f>IF(AI123=1,U123,0)</f>
        <v>0</v>
      </c>
      <c r="AK123" s="1">
        <f>IF(U123&gt;0,1,0)</f>
        <v>0</v>
      </c>
      <c r="AL123" s="1">
        <f>IF(AK123=1,U123,0)</f>
        <v>0</v>
      </c>
      <c r="AM123" s="1">
        <f>IF(AJ123&lt;-20000000.0/100,1,0)</f>
        <v>0</v>
      </c>
      <c r="AN123" s="1">
        <f>IF(AL123&gt;20000000.0/100,1,0)</f>
        <v>0</v>
      </c>
    </row>
    <row r="124" spans="1:40" s="1" customFormat="1">
      <c r="A124" s="3">
        <v>45475</v>
      </c>
      <c r="B124" s="2" t="s">
        <v>23</v>
      </c>
      <c r="C124" s="1">
        <f>SUM(PL!H124:J124)</f>
        <v>0</v>
      </c>
      <c r="D124" s="1">
        <f>SUM(PL!K124:M124)</f>
        <v>0</v>
      </c>
      <c r="E124" s="1">
        <f>SUM(PL!N124:P124)</f>
        <v>0</v>
      </c>
      <c r="F124" s="1">
        <f>SUM(PL!Q124:S124)</f>
        <v>0</v>
      </c>
      <c r="G124" s="1">
        <f>SUM(PL!T124:V124)</f>
        <v>0</v>
      </c>
      <c r="H124" s="1">
        <f>SUM(C124:G124)</f>
        <v>0</v>
      </c>
      <c r="I124" s="1">
        <f>IF(C124 + I123 &lt; 0, C124 + I123, 0)</f>
        <v>0</v>
      </c>
      <c r="J124" s="1">
        <f>IF(D124 + J123 &lt; 0, D124 + J123, 0)</f>
        <v>0</v>
      </c>
      <c r="K124" s="1">
        <f>IF(E124 + K123 &lt; 0, E124 + K123, 0)</f>
        <v>0</v>
      </c>
      <c r="L124" s="1">
        <f>IF(F124 + L123 &lt; 0, F124 + L123, 0)</f>
        <v>0</v>
      </c>
      <c r="M124" s="1">
        <f>IF(G124 + M123 &lt; 0, G124 + M123, 0)</f>
        <v>0</v>
      </c>
      <c r="N124" s="1">
        <f>IF(H124 + N123 &lt; 0, H124 + N123, 0)</f>
        <v>0</v>
      </c>
      <c r="O124" s="1">
        <f>IF(N124 &lt; 0, 1 + O123, 0)</f>
        <v>0</v>
      </c>
      <c r="P124" s="1">
        <f>C124-((ABS(SUM(PL!H124:J124)))*0.125)</f>
        <v>0</v>
      </c>
      <c r="Q124" s="1">
        <f>D124-((ABS(SUM(PL!K124:M124)))*0.125)</f>
        <v>0</v>
      </c>
      <c r="R124" s="1">
        <f>E124-((ABS(SUM(PL!N124:P124)))*0.125)</f>
        <v>0</v>
      </c>
      <c r="S124" s="1">
        <f>F124-((ABS(SUM(PL!Q124:S124)))*0.125)</f>
        <v>0</v>
      </c>
      <c r="T124" s="1">
        <f>G124-((ABS(SUM(PL!T124:V124)))*0.125)</f>
        <v>0</v>
      </c>
      <c r="U124" s="1">
        <f>P124 + Q124 + R124 + S124 + T124</f>
        <v>0</v>
      </c>
      <c r="V124" s="1">
        <f>IF(P124 + V123 &lt; 0, P124 + V123, 0)</f>
        <v>0</v>
      </c>
      <c r="W124" s="1">
        <f>IF(Q124 + W123 &lt; 0, Q124 + W123, 0)</f>
        <v>0</v>
      </c>
      <c r="X124" s="1">
        <f>IF(R124 + X123 &lt; 0, R124 + X123, 0)</f>
        <v>0</v>
      </c>
      <c r="Y124" s="1">
        <f>IF(S124 + Y123 &lt; 0, S124 + Y123, 0)</f>
        <v>0</v>
      </c>
      <c r="Z124" s="1">
        <f>IF(T124 + Z123 &lt; 0, T124 + Z123, 0)</f>
        <v>0</v>
      </c>
      <c r="AA124" s="1">
        <f>IF(U124 + AA123 &lt; 0, U124 + AA123, 0)</f>
        <v>0</v>
      </c>
      <c r="AB124" s="1">
        <f>IF(AA124 &lt; 0, 1 + AB123, 0)</f>
        <v>0</v>
      </c>
      <c r="AC124" s="1">
        <f>IF(H124&lt;0,1,0)</f>
        <v>0</v>
      </c>
      <c r="AD124" s="1">
        <f>IF(AC124=1,H124,0)</f>
        <v>0</v>
      </c>
      <c r="AE124" s="1">
        <f>IF(H124&gt;0,1,0)</f>
        <v>0</v>
      </c>
      <c r="AF124" s="1">
        <f>IF(AE124=1,H124,0)</f>
        <v>0</v>
      </c>
      <c r="AG124" s="1">
        <f>IF(AD124&lt;-20000000.0/100,1,0)</f>
        <v>0</v>
      </c>
      <c r="AH124" s="1">
        <f>IF(AF124&gt;20000000.0/100,1,0)</f>
        <v>0</v>
      </c>
      <c r="AI124" s="1">
        <f>IF(U124&lt;0,1,0)</f>
        <v>0</v>
      </c>
      <c r="AJ124" s="1">
        <f>IF(AI124=1,U124,0)</f>
        <v>0</v>
      </c>
      <c r="AK124" s="1">
        <f>IF(U124&gt;0,1,0)</f>
        <v>0</v>
      </c>
      <c r="AL124" s="1">
        <f>IF(AK124=1,U124,0)</f>
        <v>0</v>
      </c>
      <c r="AM124" s="1">
        <f>IF(AJ124&lt;-20000000.0/100,1,0)</f>
        <v>0</v>
      </c>
      <c r="AN124" s="1">
        <f>IF(AL124&gt;20000000.0/100,1,0)</f>
        <v>0</v>
      </c>
    </row>
    <row r="125" spans="1:40" s="1" customFormat="1">
      <c r="A125" s="3">
        <v>45476</v>
      </c>
      <c r="B125" s="2" t="s">
        <v>24</v>
      </c>
      <c r="C125" s="1">
        <f>SUM(PL!H125:J125)</f>
        <v>0</v>
      </c>
      <c r="D125" s="1">
        <f>SUM(PL!K125:M125)</f>
        <v>0</v>
      </c>
      <c r="E125" s="1">
        <f>SUM(PL!N125:P125)</f>
        <v>0</v>
      </c>
      <c r="F125" s="1">
        <f>SUM(PL!Q125:S125)</f>
        <v>0</v>
      </c>
      <c r="G125" s="1">
        <f>SUM(PL!T125:V125)</f>
        <v>0</v>
      </c>
      <c r="H125" s="1">
        <f>SUM(C125:G125)</f>
        <v>0</v>
      </c>
      <c r="I125" s="1">
        <f>IF(C125 + I124 &lt; 0, C125 + I124, 0)</f>
        <v>0</v>
      </c>
      <c r="J125" s="1">
        <f>IF(D125 + J124 &lt; 0, D125 + J124, 0)</f>
        <v>0</v>
      </c>
      <c r="K125" s="1">
        <f>IF(E125 + K124 &lt; 0, E125 + K124, 0)</f>
        <v>0</v>
      </c>
      <c r="L125" s="1">
        <f>IF(F125 + L124 &lt; 0, F125 + L124, 0)</f>
        <v>0</v>
      </c>
      <c r="M125" s="1">
        <f>IF(G125 + M124 &lt; 0, G125 + M124, 0)</f>
        <v>0</v>
      </c>
      <c r="N125" s="1">
        <f>IF(H125 + N124 &lt; 0, H125 + N124, 0)</f>
        <v>0</v>
      </c>
      <c r="O125" s="1">
        <f>IF(N125 &lt; 0, 1 + O124, 0)</f>
        <v>0</v>
      </c>
      <c r="P125" s="1">
        <f>C125-((ABS(SUM(PL!H125:J125)))*0.125)</f>
        <v>0</v>
      </c>
      <c r="Q125" s="1">
        <f>D125-((ABS(SUM(PL!K125:M125)))*0.125)</f>
        <v>0</v>
      </c>
      <c r="R125" s="1">
        <f>E125-((ABS(SUM(PL!N125:P125)))*0.125)</f>
        <v>0</v>
      </c>
      <c r="S125" s="1">
        <f>F125-((ABS(SUM(PL!Q125:S125)))*0.125)</f>
        <v>0</v>
      </c>
      <c r="T125" s="1">
        <f>G125-((ABS(SUM(PL!T125:V125)))*0.125)</f>
        <v>0</v>
      </c>
      <c r="U125" s="1">
        <f>P125 + Q125 + R125 + S125 + T125</f>
        <v>0</v>
      </c>
      <c r="V125" s="1">
        <f>IF(P125 + V124 &lt; 0, P125 + V124, 0)</f>
        <v>0</v>
      </c>
      <c r="W125" s="1">
        <f>IF(Q125 + W124 &lt; 0, Q125 + W124, 0)</f>
        <v>0</v>
      </c>
      <c r="X125" s="1">
        <f>IF(R125 + X124 &lt; 0, R125 + X124, 0)</f>
        <v>0</v>
      </c>
      <c r="Y125" s="1">
        <f>IF(S125 + Y124 &lt; 0, S125 + Y124, 0)</f>
        <v>0</v>
      </c>
      <c r="Z125" s="1">
        <f>IF(T125 + Z124 &lt; 0, T125 + Z124, 0)</f>
        <v>0</v>
      </c>
      <c r="AA125" s="1">
        <f>IF(U125 + AA124 &lt; 0, U125 + AA124, 0)</f>
        <v>0</v>
      </c>
      <c r="AB125" s="1">
        <f>IF(AA125 &lt; 0, 1 + AB124, 0)</f>
        <v>0</v>
      </c>
      <c r="AC125" s="1">
        <f>IF(H125&lt;0,1,0)</f>
        <v>0</v>
      </c>
      <c r="AD125" s="1">
        <f>IF(AC125=1,H125,0)</f>
        <v>0</v>
      </c>
      <c r="AE125" s="1">
        <f>IF(H125&gt;0,1,0)</f>
        <v>0</v>
      </c>
      <c r="AF125" s="1">
        <f>IF(AE125=1,H125,0)</f>
        <v>0</v>
      </c>
      <c r="AG125" s="1">
        <f>IF(AD125&lt;-20000000.0/100,1,0)</f>
        <v>0</v>
      </c>
      <c r="AH125" s="1">
        <f>IF(AF125&gt;20000000.0/100,1,0)</f>
        <v>0</v>
      </c>
      <c r="AI125" s="1">
        <f>IF(U125&lt;0,1,0)</f>
        <v>0</v>
      </c>
      <c r="AJ125" s="1">
        <f>IF(AI125=1,U125,0)</f>
        <v>0</v>
      </c>
      <c r="AK125" s="1">
        <f>IF(U125&gt;0,1,0)</f>
        <v>0</v>
      </c>
      <c r="AL125" s="1">
        <f>IF(AK125=1,U125,0)</f>
        <v>0</v>
      </c>
      <c r="AM125" s="1">
        <f>IF(AJ125&lt;-20000000.0/100,1,0)</f>
        <v>0</v>
      </c>
      <c r="AN125" s="1">
        <f>IF(AL125&gt;20000000.0/100,1,0)</f>
        <v>0</v>
      </c>
    </row>
    <row r="126" spans="1:40" s="1" customFormat="1">
      <c r="A126" s="3">
        <v>45477</v>
      </c>
      <c r="B126" s="2" t="s">
        <v>25</v>
      </c>
      <c r="C126" s="1">
        <f>SUM(PL!H126:J126)</f>
        <v>0</v>
      </c>
      <c r="D126" s="1">
        <f>SUM(PL!K126:M126)</f>
        <v>0</v>
      </c>
      <c r="E126" s="1">
        <f>SUM(PL!N126:P126)</f>
        <v>0</v>
      </c>
      <c r="F126" s="1">
        <f>SUM(PL!Q126:S126)</f>
        <v>0</v>
      </c>
      <c r="G126" s="1">
        <f>SUM(PL!T126:V126)</f>
        <v>0</v>
      </c>
      <c r="H126" s="1">
        <f>SUM(C126:G126)</f>
        <v>0</v>
      </c>
      <c r="I126" s="1">
        <f>IF(C126 + I125 &lt; 0, C126 + I125, 0)</f>
        <v>0</v>
      </c>
      <c r="J126" s="1">
        <f>IF(D126 + J125 &lt; 0, D126 + J125, 0)</f>
        <v>0</v>
      </c>
      <c r="K126" s="1">
        <f>IF(E126 + K125 &lt; 0, E126 + K125, 0)</f>
        <v>0</v>
      </c>
      <c r="L126" s="1">
        <f>IF(F126 + L125 &lt; 0, F126 + L125, 0)</f>
        <v>0</v>
      </c>
      <c r="M126" s="1">
        <f>IF(G126 + M125 &lt; 0, G126 + M125, 0)</f>
        <v>0</v>
      </c>
      <c r="N126" s="1">
        <f>IF(H126 + N125 &lt; 0, H126 + N125, 0)</f>
        <v>0</v>
      </c>
      <c r="O126" s="1">
        <f>IF(N126 &lt; 0, 1 + O125, 0)</f>
        <v>0</v>
      </c>
      <c r="P126" s="1">
        <f>C126-((ABS(SUM(PL!H126:J126)))*0.125)</f>
        <v>0</v>
      </c>
      <c r="Q126" s="1">
        <f>D126-((ABS(SUM(PL!K126:M126)))*0.125)</f>
        <v>0</v>
      </c>
      <c r="R126" s="1">
        <f>E126-((ABS(SUM(PL!N126:P126)))*0.125)</f>
        <v>0</v>
      </c>
      <c r="S126" s="1">
        <f>F126-((ABS(SUM(PL!Q126:S126)))*0.125)</f>
        <v>0</v>
      </c>
      <c r="T126" s="1">
        <f>G126-((ABS(SUM(PL!T126:V126)))*0.125)</f>
        <v>0</v>
      </c>
      <c r="U126" s="1">
        <f>P126 + Q126 + R126 + S126 + T126</f>
        <v>0</v>
      </c>
      <c r="V126" s="1">
        <f>IF(P126 + V125 &lt; 0, P126 + V125, 0)</f>
        <v>0</v>
      </c>
      <c r="W126" s="1">
        <f>IF(Q126 + W125 &lt; 0, Q126 + W125, 0)</f>
        <v>0</v>
      </c>
      <c r="X126" s="1">
        <f>IF(R126 + X125 &lt; 0, R126 + X125, 0)</f>
        <v>0</v>
      </c>
      <c r="Y126" s="1">
        <f>IF(S126 + Y125 &lt; 0, S126 + Y125, 0)</f>
        <v>0</v>
      </c>
      <c r="Z126" s="1">
        <f>IF(T126 + Z125 &lt; 0, T126 + Z125, 0)</f>
        <v>0</v>
      </c>
      <c r="AA126" s="1">
        <f>IF(U126 + AA125 &lt; 0, U126 + AA125, 0)</f>
        <v>0</v>
      </c>
      <c r="AB126" s="1">
        <f>IF(AA126 &lt; 0, 1 + AB125, 0)</f>
        <v>0</v>
      </c>
      <c r="AC126" s="1">
        <f>IF(H126&lt;0,1,0)</f>
        <v>0</v>
      </c>
      <c r="AD126" s="1">
        <f>IF(AC126=1,H126,0)</f>
        <v>0</v>
      </c>
      <c r="AE126" s="1">
        <f>IF(H126&gt;0,1,0)</f>
        <v>0</v>
      </c>
      <c r="AF126" s="1">
        <f>IF(AE126=1,H126,0)</f>
        <v>0</v>
      </c>
      <c r="AG126" s="1">
        <f>IF(AD126&lt;-20000000.0/100,1,0)</f>
        <v>0</v>
      </c>
      <c r="AH126" s="1">
        <f>IF(AF126&gt;20000000.0/100,1,0)</f>
        <v>0</v>
      </c>
      <c r="AI126" s="1">
        <f>IF(U126&lt;0,1,0)</f>
        <v>0</v>
      </c>
      <c r="AJ126" s="1">
        <f>IF(AI126=1,U126,0)</f>
        <v>0</v>
      </c>
      <c r="AK126" s="1">
        <f>IF(U126&gt;0,1,0)</f>
        <v>0</v>
      </c>
      <c r="AL126" s="1">
        <f>IF(AK126=1,U126,0)</f>
        <v>0</v>
      </c>
      <c r="AM126" s="1">
        <f>IF(AJ126&lt;-20000000.0/100,1,0)</f>
        <v>0</v>
      </c>
      <c r="AN126" s="1">
        <f>IF(AL126&gt;20000000.0/100,1,0)</f>
        <v>0</v>
      </c>
    </row>
    <row r="127" spans="1:40" s="1" customFormat="1">
      <c r="A127" s="3">
        <v>45478</v>
      </c>
      <c r="B127" s="2" t="s">
        <v>26</v>
      </c>
      <c r="C127" s="1">
        <f>SUM(PL!H127:J127)</f>
        <v>0</v>
      </c>
      <c r="D127" s="1">
        <f>SUM(PL!K127:M127)</f>
        <v>0</v>
      </c>
      <c r="E127" s="1">
        <f>SUM(PL!N127:P127)</f>
        <v>0</v>
      </c>
      <c r="F127" s="1">
        <f>SUM(PL!Q127:S127)</f>
        <v>0</v>
      </c>
      <c r="G127" s="1">
        <f>SUM(PL!T127:V127)</f>
        <v>0</v>
      </c>
      <c r="H127" s="1">
        <f>SUM(C127:G127)</f>
        <v>0</v>
      </c>
      <c r="I127" s="1">
        <f>IF(C127 + I126 &lt; 0, C127 + I126, 0)</f>
        <v>0</v>
      </c>
      <c r="J127" s="1">
        <f>IF(D127 + J126 &lt; 0, D127 + J126, 0)</f>
        <v>0</v>
      </c>
      <c r="K127" s="1">
        <f>IF(E127 + K126 &lt; 0, E127 + K126, 0)</f>
        <v>0</v>
      </c>
      <c r="L127" s="1">
        <f>IF(F127 + L126 &lt; 0, F127 + L126, 0)</f>
        <v>0</v>
      </c>
      <c r="M127" s="1">
        <f>IF(G127 + M126 &lt; 0, G127 + M126, 0)</f>
        <v>0</v>
      </c>
      <c r="N127" s="1">
        <f>IF(H127 + N126 &lt; 0, H127 + N126, 0)</f>
        <v>0</v>
      </c>
      <c r="O127" s="1">
        <f>IF(N127 &lt; 0, 1 + O126, 0)</f>
        <v>0</v>
      </c>
      <c r="P127" s="1">
        <f>C127-((ABS(SUM(PL!H127:J127)))*0.125)</f>
        <v>0</v>
      </c>
      <c r="Q127" s="1">
        <f>D127-((ABS(SUM(PL!K127:M127)))*0.125)</f>
        <v>0</v>
      </c>
      <c r="R127" s="1">
        <f>E127-((ABS(SUM(PL!N127:P127)))*0.125)</f>
        <v>0</v>
      </c>
      <c r="S127" s="1">
        <f>F127-((ABS(SUM(PL!Q127:S127)))*0.125)</f>
        <v>0</v>
      </c>
      <c r="T127" s="1">
        <f>G127-((ABS(SUM(PL!T127:V127)))*0.125)</f>
        <v>0</v>
      </c>
      <c r="U127" s="1">
        <f>P127 + Q127 + R127 + S127 + T127</f>
        <v>0</v>
      </c>
      <c r="V127" s="1">
        <f>IF(P127 + V126 &lt; 0, P127 + V126, 0)</f>
        <v>0</v>
      </c>
      <c r="W127" s="1">
        <f>IF(Q127 + W126 &lt; 0, Q127 + W126, 0)</f>
        <v>0</v>
      </c>
      <c r="X127" s="1">
        <f>IF(R127 + X126 &lt; 0, R127 + X126, 0)</f>
        <v>0</v>
      </c>
      <c r="Y127" s="1">
        <f>IF(S127 + Y126 &lt; 0, S127 + Y126, 0)</f>
        <v>0</v>
      </c>
      <c r="Z127" s="1">
        <f>IF(T127 + Z126 &lt; 0, T127 + Z126, 0)</f>
        <v>0</v>
      </c>
      <c r="AA127" s="1">
        <f>IF(U127 + AA126 &lt; 0, U127 + AA126, 0)</f>
        <v>0</v>
      </c>
      <c r="AB127" s="1">
        <f>IF(AA127 &lt; 0, 1 + AB126, 0)</f>
        <v>0</v>
      </c>
      <c r="AC127" s="1">
        <f>IF(H127&lt;0,1,0)</f>
        <v>0</v>
      </c>
      <c r="AD127" s="1">
        <f>IF(AC127=1,H127,0)</f>
        <v>0</v>
      </c>
      <c r="AE127" s="1">
        <f>IF(H127&gt;0,1,0)</f>
        <v>0</v>
      </c>
      <c r="AF127" s="1">
        <f>IF(AE127=1,H127,0)</f>
        <v>0</v>
      </c>
      <c r="AG127" s="1">
        <f>IF(AD127&lt;-20000000.0/100,1,0)</f>
        <v>0</v>
      </c>
      <c r="AH127" s="1">
        <f>IF(AF127&gt;20000000.0/100,1,0)</f>
        <v>0</v>
      </c>
      <c r="AI127" s="1">
        <f>IF(U127&lt;0,1,0)</f>
        <v>0</v>
      </c>
      <c r="AJ127" s="1">
        <f>IF(AI127=1,U127,0)</f>
        <v>0</v>
      </c>
      <c r="AK127" s="1">
        <f>IF(U127&gt;0,1,0)</f>
        <v>0</v>
      </c>
      <c r="AL127" s="1">
        <f>IF(AK127=1,U127,0)</f>
        <v>0</v>
      </c>
      <c r="AM127" s="1">
        <f>IF(AJ127&lt;-20000000.0/100,1,0)</f>
        <v>0</v>
      </c>
      <c r="AN127" s="1">
        <f>IF(AL127&gt;20000000.0/100,1,0)</f>
        <v>0</v>
      </c>
    </row>
    <row r="128" spans="1:40" s="1" customFormat="1">
      <c r="A128" s="3">
        <v>45481</v>
      </c>
      <c r="B128" s="2" t="s">
        <v>22</v>
      </c>
      <c r="C128" s="1">
        <f>SUM(PL!H128:J128)</f>
        <v>0</v>
      </c>
      <c r="D128" s="1">
        <f>SUM(PL!K128:M128)</f>
        <v>0</v>
      </c>
      <c r="E128" s="1">
        <f>SUM(PL!N128:P128)</f>
        <v>0</v>
      </c>
      <c r="F128" s="1">
        <f>SUM(PL!Q128:S128)</f>
        <v>0</v>
      </c>
      <c r="G128" s="1">
        <f>SUM(PL!T128:V128)</f>
        <v>0</v>
      </c>
      <c r="H128" s="1">
        <f>SUM(C128:G128)</f>
        <v>0</v>
      </c>
      <c r="I128" s="1">
        <f>IF(C128 + I127 &lt; 0, C128 + I127, 0)</f>
        <v>0</v>
      </c>
      <c r="J128" s="1">
        <f>IF(D128 + J127 &lt; 0, D128 + J127, 0)</f>
        <v>0</v>
      </c>
      <c r="K128" s="1">
        <f>IF(E128 + K127 &lt; 0, E128 + K127, 0)</f>
        <v>0</v>
      </c>
      <c r="L128" s="1">
        <f>IF(F128 + L127 &lt; 0, F128 + L127, 0)</f>
        <v>0</v>
      </c>
      <c r="M128" s="1">
        <f>IF(G128 + M127 &lt; 0, G128 + M127, 0)</f>
        <v>0</v>
      </c>
      <c r="N128" s="1">
        <f>IF(H128 + N127 &lt; 0, H128 + N127, 0)</f>
        <v>0</v>
      </c>
      <c r="O128" s="1">
        <f>IF(N128 &lt; 0, 1 + O127, 0)</f>
        <v>0</v>
      </c>
      <c r="P128" s="1">
        <f>C128-((ABS(SUM(PL!H128:J128)))*0.125)</f>
        <v>0</v>
      </c>
      <c r="Q128" s="1">
        <f>D128-((ABS(SUM(PL!K128:M128)))*0.125)</f>
        <v>0</v>
      </c>
      <c r="R128" s="1">
        <f>E128-((ABS(SUM(PL!N128:P128)))*0.125)</f>
        <v>0</v>
      </c>
      <c r="S128" s="1">
        <f>F128-((ABS(SUM(PL!Q128:S128)))*0.125)</f>
        <v>0</v>
      </c>
      <c r="T128" s="1">
        <f>G128-((ABS(SUM(PL!T128:V128)))*0.125)</f>
        <v>0</v>
      </c>
      <c r="U128" s="1">
        <f>P128 + Q128 + R128 + S128 + T128</f>
        <v>0</v>
      </c>
      <c r="V128" s="1">
        <f>IF(P128 + V127 &lt; 0, P128 + V127, 0)</f>
        <v>0</v>
      </c>
      <c r="W128" s="1">
        <f>IF(Q128 + W127 &lt; 0, Q128 + W127, 0)</f>
        <v>0</v>
      </c>
      <c r="X128" s="1">
        <f>IF(R128 + X127 &lt; 0, R128 + X127, 0)</f>
        <v>0</v>
      </c>
      <c r="Y128" s="1">
        <f>IF(S128 + Y127 &lt; 0, S128 + Y127, 0)</f>
        <v>0</v>
      </c>
      <c r="Z128" s="1">
        <f>IF(T128 + Z127 &lt; 0, T128 + Z127, 0)</f>
        <v>0</v>
      </c>
      <c r="AA128" s="1">
        <f>IF(U128 + AA127 &lt; 0, U128 + AA127, 0)</f>
        <v>0</v>
      </c>
      <c r="AB128" s="1">
        <f>IF(AA128 &lt; 0, 1 + AB127, 0)</f>
        <v>0</v>
      </c>
      <c r="AC128" s="1">
        <f>IF(H128&lt;0,1,0)</f>
        <v>0</v>
      </c>
      <c r="AD128" s="1">
        <f>IF(AC128=1,H128,0)</f>
        <v>0</v>
      </c>
      <c r="AE128" s="1">
        <f>IF(H128&gt;0,1,0)</f>
        <v>0</v>
      </c>
      <c r="AF128" s="1">
        <f>IF(AE128=1,H128,0)</f>
        <v>0</v>
      </c>
      <c r="AG128" s="1">
        <f>IF(AD128&lt;-20000000.0/100,1,0)</f>
        <v>0</v>
      </c>
      <c r="AH128" s="1">
        <f>IF(AF128&gt;20000000.0/100,1,0)</f>
        <v>0</v>
      </c>
      <c r="AI128" s="1">
        <f>IF(U128&lt;0,1,0)</f>
        <v>0</v>
      </c>
      <c r="AJ128" s="1">
        <f>IF(AI128=1,U128,0)</f>
        <v>0</v>
      </c>
      <c r="AK128" s="1">
        <f>IF(U128&gt;0,1,0)</f>
        <v>0</v>
      </c>
      <c r="AL128" s="1">
        <f>IF(AK128=1,U128,0)</f>
        <v>0</v>
      </c>
      <c r="AM128" s="1">
        <f>IF(AJ128&lt;-20000000.0/100,1,0)</f>
        <v>0</v>
      </c>
      <c r="AN128" s="1">
        <f>IF(AL128&gt;20000000.0/100,1,0)</f>
        <v>0</v>
      </c>
    </row>
    <row r="129" spans="1:40" s="1" customFormat="1">
      <c r="A129" s="3">
        <v>45482</v>
      </c>
      <c r="B129" s="2" t="s">
        <v>23</v>
      </c>
      <c r="C129" s="1">
        <f>SUM(PL!H129:J129)</f>
        <v>0</v>
      </c>
      <c r="D129" s="1">
        <f>SUM(PL!K129:M129)</f>
        <v>0</v>
      </c>
      <c r="E129" s="1">
        <f>SUM(PL!N129:P129)</f>
        <v>0</v>
      </c>
      <c r="F129" s="1">
        <f>SUM(PL!Q129:S129)</f>
        <v>0</v>
      </c>
      <c r="G129" s="1">
        <f>SUM(PL!T129:V129)</f>
        <v>0</v>
      </c>
      <c r="H129" s="1">
        <f>SUM(C129:G129)</f>
        <v>0</v>
      </c>
      <c r="I129" s="1">
        <f>IF(C129 + I128 &lt; 0, C129 + I128, 0)</f>
        <v>0</v>
      </c>
      <c r="J129" s="1">
        <f>IF(D129 + J128 &lt; 0, D129 + J128, 0)</f>
        <v>0</v>
      </c>
      <c r="K129" s="1">
        <f>IF(E129 + K128 &lt; 0, E129 + K128, 0)</f>
        <v>0</v>
      </c>
      <c r="L129" s="1">
        <f>IF(F129 + L128 &lt; 0, F129 + L128, 0)</f>
        <v>0</v>
      </c>
      <c r="M129" s="1">
        <f>IF(G129 + M128 &lt; 0, G129 + M128, 0)</f>
        <v>0</v>
      </c>
      <c r="N129" s="1">
        <f>IF(H129 + N128 &lt; 0, H129 + N128, 0)</f>
        <v>0</v>
      </c>
      <c r="O129" s="1">
        <f>IF(N129 &lt; 0, 1 + O128, 0)</f>
        <v>0</v>
      </c>
      <c r="P129" s="1">
        <f>C129-((ABS(SUM(PL!H129:J129)))*0.125)</f>
        <v>0</v>
      </c>
      <c r="Q129" s="1">
        <f>D129-((ABS(SUM(PL!K129:M129)))*0.125)</f>
        <v>0</v>
      </c>
      <c r="R129" s="1">
        <f>E129-((ABS(SUM(PL!N129:P129)))*0.125)</f>
        <v>0</v>
      </c>
      <c r="S129" s="1">
        <f>F129-((ABS(SUM(PL!Q129:S129)))*0.125)</f>
        <v>0</v>
      </c>
      <c r="T129" s="1">
        <f>G129-((ABS(SUM(PL!T129:V129)))*0.125)</f>
        <v>0</v>
      </c>
      <c r="U129" s="1">
        <f>P129 + Q129 + R129 + S129 + T129</f>
        <v>0</v>
      </c>
      <c r="V129" s="1">
        <f>IF(P129 + V128 &lt; 0, P129 + V128, 0)</f>
        <v>0</v>
      </c>
      <c r="W129" s="1">
        <f>IF(Q129 + W128 &lt; 0, Q129 + W128, 0)</f>
        <v>0</v>
      </c>
      <c r="X129" s="1">
        <f>IF(R129 + X128 &lt; 0, R129 + X128, 0)</f>
        <v>0</v>
      </c>
      <c r="Y129" s="1">
        <f>IF(S129 + Y128 &lt; 0, S129 + Y128, 0)</f>
        <v>0</v>
      </c>
      <c r="Z129" s="1">
        <f>IF(T129 + Z128 &lt; 0, T129 + Z128, 0)</f>
        <v>0</v>
      </c>
      <c r="AA129" s="1">
        <f>IF(U129 + AA128 &lt; 0, U129 + AA128, 0)</f>
        <v>0</v>
      </c>
      <c r="AB129" s="1">
        <f>IF(AA129 &lt; 0, 1 + AB128, 0)</f>
        <v>0</v>
      </c>
      <c r="AC129" s="1">
        <f>IF(H129&lt;0,1,0)</f>
        <v>0</v>
      </c>
      <c r="AD129" s="1">
        <f>IF(AC129=1,H129,0)</f>
        <v>0</v>
      </c>
      <c r="AE129" s="1">
        <f>IF(H129&gt;0,1,0)</f>
        <v>0</v>
      </c>
      <c r="AF129" s="1">
        <f>IF(AE129=1,H129,0)</f>
        <v>0</v>
      </c>
      <c r="AG129" s="1">
        <f>IF(AD129&lt;-20000000.0/100,1,0)</f>
        <v>0</v>
      </c>
      <c r="AH129" s="1">
        <f>IF(AF129&gt;20000000.0/100,1,0)</f>
        <v>0</v>
      </c>
      <c r="AI129" s="1">
        <f>IF(U129&lt;0,1,0)</f>
        <v>0</v>
      </c>
      <c r="AJ129" s="1">
        <f>IF(AI129=1,U129,0)</f>
        <v>0</v>
      </c>
      <c r="AK129" s="1">
        <f>IF(U129&gt;0,1,0)</f>
        <v>0</v>
      </c>
      <c r="AL129" s="1">
        <f>IF(AK129=1,U129,0)</f>
        <v>0</v>
      </c>
      <c r="AM129" s="1">
        <f>IF(AJ129&lt;-20000000.0/100,1,0)</f>
        <v>0</v>
      </c>
      <c r="AN129" s="1">
        <f>IF(AL129&gt;20000000.0/100,1,0)</f>
        <v>0</v>
      </c>
    </row>
    <row r="130" spans="1:40" s="1" customFormat="1">
      <c r="A130" s="3">
        <v>45483</v>
      </c>
      <c r="B130" s="2" t="s">
        <v>24</v>
      </c>
      <c r="C130" s="1">
        <f>SUM(PL!H130:J130)</f>
        <v>0</v>
      </c>
      <c r="D130" s="1">
        <f>SUM(PL!K130:M130)</f>
        <v>0</v>
      </c>
      <c r="E130" s="1">
        <f>SUM(PL!N130:P130)</f>
        <v>0</v>
      </c>
      <c r="F130" s="1">
        <f>SUM(PL!Q130:S130)</f>
        <v>0</v>
      </c>
      <c r="G130" s="1">
        <f>SUM(PL!T130:V130)</f>
        <v>0</v>
      </c>
      <c r="H130" s="1">
        <f>SUM(C130:G130)</f>
        <v>0</v>
      </c>
      <c r="I130" s="1">
        <f>IF(C130 + I129 &lt; 0, C130 + I129, 0)</f>
        <v>0</v>
      </c>
      <c r="J130" s="1">
        <f>IF(D130 + J129 &lt; 0, D130 + J129, 0)</f>
        <v>0</v>
      </c>
      <c r="K130" s="1">
        <f>IF(E130 + K129 &lt; 0, E130 + K129, 0)</f>
        <v>0</v>
      </c>
      <c r="L130" s="1">
        <f>IF(F130 + L129 &lt; 0, F130 + L129, 0)</f>
        <v>0</v>
      </c>
      <c r="M130" s="1">
        <f>IF(G130 + M129 &lt; 0, G130 + M129, 0)</f>
        <v>0</v>
      </c>
      <c r="N130" s="1">
        <f>IF(H130 + N129 &lt; 0, H130 + N129, 0)</f>
        <v>0</v>
      </c>
      <c r="O130" s="1">
        <f>IF(N130 &lt; 0, 1 + O129, 0)</f>
        <v>0</v>
      </c>
      <c r="P130" s="1">
        <f>C130-((ABS(SUM(PL!H130:J130)))*0.125)</f>
        <v>0</v>
      </c>
      <c r="Q130" s="1">
        <f>D130-((ABS(SUM(PL!K130:M130)))*0.125)</f>
        <v>0</v>
      </c>
      <c r="R130" s="1">
        <f>E130-((ABS(SUM(PL!N130:P130)))*0.125)</f>
        <v>0</v>
      </c>
      <c r="S130" s="1">
        <f>F130-((ABS(SUM(PL!Q130:S130)))*0.125)</f>
        <v>0</v>
      </c>
      <c r="T130" s="1">
        <f>G130-((ABS(SUM(PL!T130:V130)))*0.125)</f>
        <v>0</v>
      </c>
      <c r="U130" s="1">
        <f>P130 + Q130 + R130 + S130 + T130</f>
        <v>0</v>
      </c>
      <c r="V130" s="1">
        <f>IF(P130 + V129 &lt; 0, P130 + V129, 0)</f>
        <v>0</v>
      </c>
      <c r="W130" s="1">
        <f>IF(Q130 + W129 &lt; 0, Q130 + W129, 0)</f>
        <v>0</v>
      </c>
      <c r="X130" s="1">
        <f>IF(R130 + X129 &lt; 0, R130 + X129, 0)</f>
        <v>0</v>
      </c>
      <c r="Y130" s="1">
        <f>IF(S130 + Y129 &lt; 0, S130 + Y129, 0)</f>
        <v>0</v>
      </c>
      <c r="Z130" s="1">
        <f>IF(T130 + Z129 &lt; 0, T130 + Z129, 0)</f>
        <v>0</v>
      </c>
      <c r="AA130" s="1">
        <f>IF(U130 + AA129 &lt; 0, U130 + AA129, 0)</f>
        <v>0</v>
      </c>
      <c r="AB130" s="1">
        <f>IF(AA130 &lt; 0, 1 + AB129, 0)</f>
        <v>0</v>
      </c>
      <c r="AC130" s="1">
        <f>IF(H130&lt;0,1,0)</f>
        <v>0</v>
      </c>
      <c r="AD130" s="1">
        <f>IF(AC130=1,H130,0)</f>
        <v>0</v>
      </c>
      <c r="AE130" s="1">
        <f>IF(H130&gt;0,1,0)</f>
        <v>0</v>
      </c>
      <c r="AF130" s="1">
        <f>IF(AE130=1,H130,0)</f>
        <v>0</v>
      </c>
      <c r="AG130" s="1">
        <f>IF(AD130&lt;-20000000.0/100,1,0)</f>
        <v>0</v>
      </c>
      <c r="AH130" s="1">
        <f>IF(AF130&gt;20000000.0/100,1,0)</f>
        <v>0</v>
      </c>
      <c r="AI130" s="1">
        <f>IF(U130&lt;0,1,0)</f>
        <v>0</v>
      </c>
      <c r="AJ130" s="1">
        <f>IF(AI130=1,U130,0)</f>
        <v>0</v>
      </c>
      <c r="AK130" s="1">
        <f>IF(U130&gt;0,1,0)</f>
        <v>0</v>
      </c>
      <c r="AL130" s="1">
        <f>IF(AK130=1,U130,0)</f>
        <v>0</v>
      </c>
      <c r="AM130" s="1">
        <f>IF(AJ130&lt;-20000000.0/100,1,0)</f>
        <v>0</v>
      </c>
      <c r="AN130" s="1">
        <f>IF(AL130&gt;20000000.0/100,1,0)</f>
        <v>0</v>
      </c>
    </row>
    <row r="131" spans="1:40" s="1" customFormat="1">
      <c r="A131" s="3">
        <v>45484</v>
      </c>
      <c r="B131" s="2" t="s">
        <v>25</v>
      </c>
      <c r="C131" s="1">
        <f>SUM(PL!H131:J131)</f>
        <v>0</v>
      </c>
      <c r="D131" s="1">
        <f>SUM(PL!K131:M131)</f>
        <v>0</v>
      </c>
      <c r="E131" s="1">
        <f>SUM(PL!N131:P131)</f>
        <v>0</v>
      </c>
      <c r="F131" s="1">
        <f>SUM(PL!Q131:S131)</f>
        <v>0</v>
      </c>
      <c r="G131" s="1">
        <f>SUM(PL!T131:V131)</f>
        <v>0</v>
      </c>
      <c r="H131" s="1">
        <f>SUM(C131:G131)</f>
        <v>0</v>
      </c>
      <c r="I131" s="1">
        <f>IF(C131 + I130 &lt; 0, C131 + I130, 0)</f>
        <v>0</v>
      </c>
      <c r="J131" s="1">
        <f>IF(D131 + J130 &lt; 0, D131 + J130, 0)</f>
        <v>0</v>
      </c>
      <c r="K131" s="1">
        <f>IF(E131 + K130 &lt; 0, E131 + K130, 0)</f>
        <v>0</v>
      </c>
      <c r="L131" s="1">
        <f>IF(F131 + L130 &lt; 0, F131 + L130, 0)</f>
        <v>0</v>
      </c>
      <c r="M131" s="1">
        <f>IF(G131 + M130 &lt; 0, G131 + M130, 0)</f>
        <v>0</v>
      </c>
      <c r="N131" s="1">
        <f>IF(H131 + N130 &lt; 0, H131 + N130, 0)</f>
        <v>0</v>
      </c>
      <c r="O131" s="1">
        <f>IF(N131 &lt; 0, 1 + O130, 0)</f>
        <v>0</v>
      </c>
      <c r="P131" s="1">
        <f>C131-((ABS(SUM(PL!H131:J131)))*0.125)</f>
        <v>0</v>
      </c>
      <c r="Q131" s="1">
        <f>D131-((ABS(SUM(PL!K131:M131)))*0.125)</f>
        <v>0</v>
      </c>
      <c r="R131" s="1">
        <f>E131-((ABS(SUM(PL!N131:P131)))*0.125)</f>
        <v>0</v>
      </c>
      <c r="S131" s="1">
        <f>F131-((ABS(SUM(PL!Q131:S131)))*0.125)</f>
        <v>0</v>
      </c>
      <c r="T131" s="1">
        <f>G131-((ABS(SUM(PL!T131:V131)))*0.125)</f>
        <v>0</v>
      </c>
      <c r="U131" s="1">
        <f>P131 + Q131 + R131 + S131 + T131</f>
        <v>0</v>
      </c>
      <c r="V131" s="1">
        <f>IF(P131 + V130 &lt; 0, P131 + V130, 0)</f>
        <v>0</v>
      </c>
      <c r="W131" s="1">
        <f>IF(Q131 + W130 &lt; 0, Q131 + W130, 0)</f>
        <v>0</v>
      </c>
      <c r="X131" s="1">
        <f>IF(R131 + X130 &lt; 0, R131 + X130, 0)</f>
        <v>0</v>
      </c>
      <c r="Y131" s="1">
        <f>IF(S131 + Y130 &lt; 0, S131 + Y130, 0)</f>
        <v>0</v>
      </c>
      <c r="Z131" s="1">
        <f>IF(T131 + Z130 &lt; 0, T131 + Z130, 0)</f>
        <v>0</v>
      </c>
      <c r="AA131" s="1">
        <f>IF(U131 + AA130 &lt; 0, U131 + AA130, 0)</f>
        <v>0</v>
      </c>
      <c r="AB131" s="1">
        <f>IF(AA131 &lt; 0, 1 + AB130, 0)</f>
        <v>0</v>
      </c>
      <c r="AC131" s="1">
        <f>IF(H131&lt;0,1,0)</f>
        <v>0</v>
      </c>
      <c r="AD131" s="1">
        <f>IF(AC131=1,H131,0)</f>
        <v>0</v>
      </c>
      <c r="AE131" s="1">
        <f>IF(H131&gt;0,1,0)</f>
        <v>0</v>
      </c>
      <c r="AF131" s="1">
        <f>IF(AE131=1,H131,0)</f>
        <v>0</v>
      </c>
      <c r="AG131" s="1">
        <f>IF(AD131&lt;-20000000.0/100,1,0)</f>
        <v>0</v>
      </c>
      <c r="AH131" s="1">
        <f>IF(AF131&gt;20000000.0/100,1,0)</f>
        <v>0</v>
      </c>
      <c r="AI131" s="1">
        <f>IF(U131&lt;0,1,0)</f>
        <v>0</v>
      </c>
      <c r="AJ131" s="1">
        <f>IF(AI131=1,U131,0)</f>
        <v>0</v>
      </c>
      <c r="AK131" s="1">
        <f>IF(U131&gt;0,1,0)</f>
        <v>0</v>
      </c>
      <c r="AL131" s="1">
        <f>IF(AK131=1,U131,0)</f>
        <v>0</v>
      </c>
      <c r="AM131" s="1">
        <f>IF(AJ131&lt;-20000000.0/100,1,0)</f>
        <v>0</v>
      </c>
      <c r="AN131" s="1">
        <f>IF(AL131&gt;20000000.0/100,1,0)</f>
        <v>0</v>
      </c>
    </row>
    <row r="132" spans="1:40" s="1" customFormat="1">
      <c r="A132" s="3">
        <v>45485</v>
      </c>
      <c r="B132" s="2" t="s">
        <v>26</v>
      </c>
      <c r="C132" s="1">
        <f>SUM(PL!H132:J132)</f>
        <v>0</v>
      </c>
      <c r="D132" s="1">
        <f>SUM(PL!K132:M132)</f>
        <v>0</v>
      </c>
      <c r="E132" s="1">
        <f>SUM(PL!N132:P132)</f>
        <v>0</v>
      </c>
      <c r="F132" s="1">
        <f>SUM(PL!Q132:S132)</f>
        <v>0</v>
      </c>
      <c r="G132" s="1">
        <f>SUM(PL!T132:V132)</f>
        <v>0</v>
      </c>
      <c r="H132" s="1">
        <f>SUM(C132:G132)</f>
        <v>0</v>
      </c>
      <c r="I132" s="1">
        <f>IF(C132 + I131 &lt; 0, C132 + I131, 0)</f>
        <v>0</v>
      </c>
      <c r="J132" s="1">
        <f>IF(D132 + J131 &lt; 0, D132 + J131, 0)</f>
        <v>0</v>
      </c>
      <c r="K132" s="1">
        <f>IF(E132 + K131 &lt; 0, E132 + K131, 0)</f>
        <v>0</v>
      </c>
      <c r="L132" s="1">
        <f>IF(F132 + L131 &lt; 0, F132 + L131, 0)</f>
        <v>0</v>
      </c>
      <c r="M132" s="1">
        <f>IF(G132 + M131 &lt; 0, G132 + M131, 0)</f>
        <v>0</v>
      </c>
      <c r="N132" s="1">
        <f>IF(H132 + N131 &lt; 0, H132 + N131, 0)</f>
        <v>0</v>
      </c>
      <c r="O132" s="1">
        <f>IF(N132 &lt; 0, 1 + O131, 0)</f>
        <v>0</v>
      </c>
      <c r="P132" s="1">
        <f>C132-((ABS(SUM(PL!H132:J132)))*0.125)</f>
        <v>0</v>
      </c>
      <c r="Q132" s="1">
        <f>D132-((ABS(SUM(PL!K132:M132)))*0.125)</f>
        <v>0</v>
      </c>
      <c r="R132" s="1">
        <f>E132-((ABS(SUM(PL!N132:P132)))*0.125)</f>
        <v>0</v>
      </c>
      <c r="S132" s="1">
        <f>F132-((ABS(SUM(PL!Q132:S132)))*0.125)</f>
        <v>0</v>
      </c>
      <c r="T132" s="1">
        <f>G132-((ABS(SUM(PL!T132:V132)))*0.125)</f>
        <v>0</v>
      </c>
      <c r="U132" s="1">
        <f>P132 + Q132 + R132 + S132 + T132</f>
        <v>0</v>
      </c>
      <c r="V132" s="1">
        <f>IF(P132 + V131 &lt; 0, P132 + V131, 0)</f>
        <v>0</v>
      </c>
      <c r="W132" s="1">
        <f>IF(Q132 + W131 &lt; 0, Q132 + W131, 0)</f>
        <v>0</v>
      </c>
      <c r="X132" s="1">
        <f>IF(R132 + X131 &lt; 0, R132 + X131, 0)</f>
        <v>0</v>
      </c>
      <c r="Y132" s="1">
        <f>IF(S132 + Y131 &lt; 0, S132 + Y131, 0)</f>
        <v>0</v>
      </c>
      <c r="Z132" s="1">
        <f>IF(T132 + Z131 &lt; 0, T132 + Z131, 0)</f>
        <v>0</v>
      </c>
      <c r="AA132" s="1">
        <f>IF(U132 + AA131 &lt; 0, U132 + AA131, 0)</f>
        <v>0</v>
      </c>
      <c r="AB132" s="1">
        <f>IF(AA132 &lt; 0, 1 + AB131, 0)</f>
        <v>0</v>
      </c>
      <c r="AC132" s="1">
        <f>IF(H132&lt;0,1,0)</f>
        <v>0</v>
      </c>
      <c r="AD132" s="1">
        <f>IF(AC132=1,H132,0)</f>
        <v>0</v>
      </c>
      <c r="AE132" s="1">
        <f>IF(H132&gt;0,1,0)</f>
        <v>0</v>
      </c>
      <c r="AF132" s="1">
        <f>IF(AE132=1,H132,0)</f>
        <v>0</v>
      </c>
      <c r="AG132" s="1">
        <f>IF(AD132&lt;-20000000.0/100,1,0)</f>
        <v>0</v>
      </c>
      <c r="AH132" s="1">
        <f>IF(AF132&gt;20000000.0/100,1,0)</f>
        <v>0</v>
      </c>
      <c r="AI132" s="1">
        <f>IF(U132&lt;0,1,0)</f>
        <v>0</v>
      </c>
      <c r="AJ132" s="1">
        <f>IF(AI132=1,U132,0)</f>
        <v>0</v>
      </c>
      <c r="AK132" s="1">
        <f>IF(U132&gt;0,1,0)</f>
        <v>0</v>
      </c>
      <c r="AL132" s="1">
        <f>IF(AK132=1,U132,0)</f>
        <v>0</v>
      </c>
      <c r="AM132" s="1">
        <f>IF(AJ132&lt;-20000000.0/100,1,0)</f>
        <v>0</v>
      </c>
      <c r="AN132" s="1">
        <f>IF(AL132&gt;20000000.0/100,1,0)</f>
        <v>0</v>
      </c>
    </row>
    <row r="133" spans="1:40" s="1" customFormat="1">
      <c r="A133" s="3">
        <v>45488</v>
      </c>
      <c r="B133" s="2" t="s">
        <v>22</v>
      </c>
      <c r="C133" s="1">
        <f>SUM(PL!H133:J133)</f>
        <v>0</v>
      </c>
      <c r="D133" s="1">
        <f>SUM(PL!K133:M133)</f>
        <v>0</v>
      </c>
      <c r="E133" s="1">
        <f>SUM(PL!N133:P133)</f>
        <v>0</v>
      </c>
      <c r="F133" s="1">
        <f>SUM(PL!Q133:S133)</f>
        <v>0</v>
      </c>
      <c r="G133" s="1">
        <f>SUM(PL!T133:V133)</f>
        <v>0</v>
      </c>
      <c r="H133" s="1">
        <f>SUM(C133:G133)</f>
        <v>0</v>
      </c>
      <c r="I133" s="1">
        <f>IF(C133 + I132 &lt; 0, C133 + I132, 0)</f>
        <v>0</v>
      </c>
      <c r="J133" s="1">
        <f>IF(D133 + J132 &lt; 0, D133 + J132, 0)</f>
        <v>0</v>
      </c>
      <c r="K133" s="1">
        <f>IF(E133 + K132 &lt; 0, E133 + K132, 0)</f>
        <v>0</v>
      </c>
      <c r="L133" s="1">
        <f>IF(F133 + L132 &lt; 0, F133 + L132, 0)</f>
        <v>0</v>
      </c>
      <c r="M133" s="1">
        <f>IF(G133 + M132 &lt; 0, G133 + M132, 0)</f>
        <v>0</v>
      </c>
      <c r="N133" s="1">
        <f>IF(H133 + N132 &lt; 0, H133 + N132, 0)</f>
        <v>0</v>
      </c>
      <c r="O133" s="1">
        <f>IF(N133 &lt; 0, 1 + O132, 0)</f>
        <v>0</v>
      </c>
      <c r="P133" s="1">
        <f>C133-((ABS(SUM(PL!H133:J133)))*0.125)</f>
        <v>0</v>
      </c>
      <c r="Q133" s="1">
        <f>D133-((ABS(SUM(PL!K133:M133)))*0.125)</f>
        <v>0</v>
      </c>
      <c r="R133" s="1">
        <f>E133-((ABS(SUM(PL!N133:P133)))*0.125)</f>
        <v>0</v>
      </c>
      <c r="S133" s="1">
        <f>F133-((ABS(SUM(PL!Q133:S133)))*0.125)</f>
        <v>0</v>
      </c>
      <c r="T133" s="1">
        <f>G133-((ABS(SUM(PL!T133:V133)))*0.125)</f>
        <v>0</v>
      </c>
      <c r="U133" s="1">
        <f>P133 + Q133 + R133 + S133 + T133</f>
        <v>0</v>
      </c>
      <c r="V133" s="1">
        <f>IF(P133 + V132 &lt; 0, P133 + V132, 0)</f>
        <v>0</v>
      </c>
      <c r="W133" s="1">
        <f>IF(Q133 + W132 &lt; 0, Q133 + W132, 0)</f>
        <v>0</v>
      </c>
      <c r="X133" s="1">
        <f>IF(R133 + X132 &lt; 0, R133 + X132, 0)</f>
        <v>0</v>
      </c>
      <c r="Y133" s="1">
        <f>IF(S133 + Y132 &lt; 0, S133 + Y132, 0)</f>
        <v>0</v>
      </c>
      <c r="Z133" s="1">
        <f>IF(T133 + Z132 &lt; 0, T133 + Z132, 0)</f>
        <v>0</v>
      </c>
      <c r="AA133" s="1">
        <f>IF(U133 + AA132 &lt; 0, U133 + AA132, 0)</f>
        <v>0</v>
      </c>
      <c r="AB133" s="1">
        <f>IF(AA133 &lt; 0, 1 + AB132, 0)</f>
        <v>0</v>
      </c>
      <c r="AC133" s="1">
        <f>IF(H133&lt;0,1,0)</f>
        <v>0</v>
      </c>
      <c r="AD133" s="1">
        <f>IF(AC133=1,H133,0)</f>
        <v>0</v>
      </c>
      <c r="AE133" s="1">
        <f>IF(H133&gt;0,1,0)</f>
        <v>0</v>
      </c>
      <c r="AF133" s="1">
        <f>IF(AE133=1,H133,0)</f>
        <v>0</v>
      </c>
      <c r="AG133" s="1">
        <f>IF(AD133&lt;-20000000.0/100,1,0)</f>
        <v>0</v>
      </c>
      <c r="AH133" s="1">
        <f>IF(AF133&gt;20000000.0/100,1,0)</f>
        <v>0</v>
      </c>
      <c r="AI133" s="1">
        <f>IF(U133&lt;0,1,0)</f>
        <v>0</v>
      </c>
      <c r="AJ133" s="1">
        <f>IF(AI133=1,U133,0)</f>
        <v>0</v>
      </c>
      <c r="AK133" s="1">
        <f>IF(U133&gt;0,1,0)</f>
        <v>0</v>
      </c>
      <c r="AL133" s="1">
        <f>IF(AK133=1,U133,0)</f>
        <v>0</v>
      </c>
      <c r="AM133" s="1">
        <f>IF(AJ133&lt;-20000000.0/100,1,0)</f>
        <v>0</v>
      </c>
      <c r="AN133" s="1">
        <f>IF(AL133&gt;20000000.0/100,1,0)</f>
        <v>0</v>
      </c>
    </row>
    <row r="134" spans="1:40" s="1" customFormat="1">
      <c r="A134" s="3">
        <v>45489</v>
      </c>
      <c r="B134" s="2" t="s">
        <v>23</v>
      </c>
      <c r="C134" s="1">
        <f>SUM(PL!H134:J134)</f>
        <v>0</v>
      </c>
      <c r="D134" s="1">
        <f>SUM(PL!K134:M134)</f>
        <v>0</v>
      </c>
      <c r="E134" s="1">
        <f>SUM(PL!N134:P134)</f>
        <v>0</v>
      </c>
      <c r="F134" s="1">
        <f>SUM(PL!Q134:S134)</f>
        <v>0</v>
      </c>
      <c r="G134" s="1">
        <f>SUM(PL!T134:V134)</f>
        <v>0</v>
      </c>
      <c r="H134" s="1">
        <f>SUM(C134:G134)</f>
        <v>0</v>
      </c>
      <c r="I134" s="1">
        <f>IF(C134 + I133 &lt; 0, C134 + I133, 0)</f>
        <v>0</v>
      </c>
      <c r="J134" s="1">
        <f>IF(D134 + J133 &lt; 0, D134 + J133, 0)</f>
        <v>0</v>
      </c>
      <c r="K134" s="1">
        <f>IF(E134 + K133 &lt; 0, E134 + K133, 0)</f>
        <v>0</v>
      </c>
      <c r="L134" s="1">
        <f>IF(F134 + L133 &lt; 0, F134 + L133, 0)</f>
        <v>0</v>
      </c>
      <c r="M134" s="1">
        <f>IF(G134 + M133 &lt; 0, G134 + M133, 0)</f>
        <v>0</v>
      </c>
      <c r="N134" s="1">
        <f>IF(H134 + N133 &lt; 0, H134 + N133, 0)</f>
        <v>0</v>
      </c>
      <c r="O134" s="1">
        <f>IF(N134 &lt; 0, 1 + O133, 0)</f>
        <v>0</v>
      </c>
      <c r="P134" s="1">
        <f>C134-((ABS(SUM(PL!H134:J134)))*0.125)</f>
        <v>0</v>
      </c>
      <c r="Q134" s="1">
        <f>D134-((ABS(SUM(PL!K134:M134)))*0.125)</f>
        <v>0</v>
      </c>
      <c r="R134" s="1">
        <f>E134-((ABS(SUM(PL!N134:P134)))*0.125)</f>
        <v>0</v>
      </c>
      <c r="S134" s="1">
        <f>F134-((ABS(SUM(PL!Q134:S134)))*0.125)</f>
        <v>0</v>
      </c>
      <c r="T134" s="1">
        <f>G134-((ABS(SUM(PL!T134:V134)))*0.125)</f>
        <v>0</v>
      </c>
      <c r="U134" s="1">
        <f>P134 + Q134 + R134 + S134 + T134</f>
        <v>0</v>
      </c>
      <c r="V134" s="1">
        <f>IF(P134 + V133 &lt; 0, P134 + V133, 0)</f>
        <v>0</v>
      </c>
      <c r="W134" s="1">
        <f>IF(Q134 + W133 &lt; 0, Q134 + W133, 0)</f>
        <v>0</v>
      </c>
      <c r="X134" s="1">
        <f>IF(R134 + X133 &lt; 0, R134 + X133, 0)</f>
        <v>0</v>
      </c>
      <c r="Y134" s="1">
        <f>IF(S134 + Y133 &lt; 0, S134 + Y133, 0)</f>
        <v>0</v>
      </c>
      <c r="Z134" s="1">
        <f>IF(T134 + Z133 &lt; 0, T134 + Z133, 0)</f>
        <v>0</v>
      </c>
      <c r="AA134" s="1">
        <f>IF(U134 + AA133 &lt; 0, U134 + AA133, 0)</f>
        <v>0</v>
      </c>
      <c r="AB134" s="1">
        <f>IF(AA134 &lt; 0, 1 + AB133, 0)</f>
        <v>0</v>
      </c>
      <c r="AC134" s="1">
        <f>IF(H134&lt;0,1,0)</f>
        <v>0</v>
      </c>
      <c r="AD134" s="1">
        <f>IF(AC134=1,H134,0)</f>
        <v>0</v>
      </c>
      <c r="AE134" s="1">
        <f>IF(H134&gt;0,1,0)</f>
        <v>0</v>
      </c>
      <c r="AF134" s="1">
        <f>IF(AE134=1,H134,0)</f>
        <v>0</v>
      </c>
      <c r="AG134" s="1">
        <f>IF(AD134&lt;-20000000.0/100,1,0)</f>
        <v>0</v>
      </c>
      <c r="AH134" s="1">
        <f>IF(AF134&gt;20000000.0/100,1,0)</f>
        <v>0</v>
      </c>
      <c r="AI134" s="1">
        <f>IF(U134&lt;0,1,0)</f>
        <v>0</v>
      </c>
      <c r="AJ134" s="1">
        <f>IF(AI134=1,U134,0)</f>
        <v>0</v>
      </c>
      <c r="AK134" s="1">
        <f>IF(U134&gt;0,1,0)</f>
        <v>0</v>
      </c>
      <c r="AL134" s="1">
        <f>IF(AK134=1,U134,0)</f>
        <v>0</v>
      </c>
      <c r="AM134" s="1">
        <f>IF(AJ134&lt;-20000000.0/100,1,0)</f>
        <v>0</v>
      </c>
      <c r="AN134" s="1">
        <f>IF(AL134&gt;20000000.0/100,1,0)</f>
        <v>0</v>
      </c>
    </row>
    <row r="135" spans="1:40" s="1" customFormat="1">
      <c r="A135" s="3">
        <v>45491</v>
      </c>
      <c r="B135" s="2" t="s">
        <v>25</v>
      </c>
      <c r="C135" s="1">
        <f>SUM(PL!H135:J135)</f>
        <v>0</v>
      </c>
      <c r="D135" s="1">
        <f>SUM(PL!K135:M135)</f>
        <v>0</v>
      </c>
      <c r="E135" s="1">
        <f>SUM(PL!N135:P135)</f>
        <v>0</v>
      </c>
      <c r="F135" s="1">
        <f>SUM(PL!Q135:S135)</f>
        <v>0</v>
      </c>
      <c r="G135" s="1">
        <f>SUM(PL!T135:V135)</f>
        <v>0</v>
      </c>
      <c r="H135" s="1">
        <f>SUM(C135:G135)</f>
        <v>0</v>
      </c>
      <c r="I135" s="1">
        <f>IF(C135 + I134 &lt; 0, C135 + I134, 0)</f>
        <v>0</v>
      </c>
      <c r="J135" s="1">
        <f>IF(D135 + J134 &lt; 0, D135 + J134, 0)</f>
        <v>0</v>
      </c>
      <c r="K135" s="1">
        <f>IF(E135 + K134 &lt; 0, E135 + K134, 0)</f>
        <v>0</v>
      </c>
      <c r="L135" s="1">
        <f>IF(F135 + L134 &lt; 0, F135 + L134, 0)</f>
        <v>0</v>
      </c>
      <c r="M135" s="1">
        <f>IF(G135 + M134 &lt; 0, G135 + M134, 0)</f>
        <v>0</v>
      </c>
      <c r="N135" s="1">
        <f>IF(H135 + N134 &lt; 0, H135 + N134, 0)</f>
        <v>0</v>
      </c>
      <c r="O135" s="1">
        <f>IF(N135 &lt; 0, 1 + O134, 0)</f>
        <v>0</v>
      </c>
      <c r="P135" s="1">
        <f>C135-((ABS(SUM(PL!H135:J135)))*0.125)</f>
        <v>0</v>
      </c>
      <c r="Q135" s="1">
        <f>D135-((ABS(SUM(PL!K135:M135)))*0.125)</f>
        <v>0</v>
      </c>
      <c r="R135" s="1">
        <f>E135-((ABS(SUM(PL!N135:P135)))*0.125)</f>
        <v>0</v>
      </c>
      <c r="S135" s="1">
        <f>F135-((ABS(SUM(PL!Q135:S135)))*0.125)</f>
        <v>0</v>
      </c>
      <c r="T135" s="1">
        <f>G135-((ABS(SUM(PL!T135:V135)))*0.125)</f>
        <v>0</v>
      </c>
      <c r="U135" s="1">
        <f>P135 + Q135 + R135 + S135 + T135</f>
        <v>0</v>
      </c>
      <c r="V135" s="1">
        <f>IF(P135 + V134 &lt; 0, P135 + V134, 0)</f>
        <v>0</v>
      </c>
      <c r="W135" s="1">
        <f>IF(Q135 + W134 &lt; 0, Q135 + W134, 0)</f>
        <v>0</v>
      </c>
      <c r="X135" s="1">
        <f>IF(R135 + X134 &lt; 0, R135 + X134, 0)</f>
        <v>0</v>
      </c>
      <c r="Y135" s="1">
        <f>IF(S135 + Y134 &lt; 0, S135 + Y134, 0)</f>
        <v>0</v>
      </c>
      <c r="Z135" s="1">
        <f>IF(T135 + Z134 &lt; 0, T135 + Z134, 0)</f>
        <v>0</v>
      </c>
      <c r="AA135" s="1">
        <f>IF(U135 + AA134 &lt; 0, U135 + AA134, 0)</f>
        <v>0</v>
      </c>
      <c r="AB135" s="1">
        <f>IF(AA135 &lt; 0, 1 + AB134, 0)</f>
        <v>0</v>
      </c>
      <c r="AC135" s="1">
        <f>IF(H135&lt;0,1,0)</f>
        <v>0</v>
      </c>
      <c r="AD135" s="1">
        <f>IF(AC135=1,H135,0)</f>
        <v>0</v>
      </c>
      <c r="AE135" s="1">
        <f>IF(H135&gt;0,1,0)</f>
        <v>0</v>
      </c>
      <c r="AF135" s="1">
        <f>IF(AE135=1,H135,0)</f>
        <v>0</v>
      </c>
      <c r="AG135" s="1">
        <f>IF(AD135&lt;-20000000.0/100,1,0)</f>
        <v>0</v>
      </c>
      <c r="AH135" s="1">
        <f>IF(AF135&gt;20000000.0/100,1,0)</f>
        <v>0</v>
      </c>
      <c r="AI135" s="1">
        <f>IF(U135&lt;0,1,0)</f>
        <v>0</v>
      </c>
      <c r="AJ135" s="1">
        <f>IF(AI135=1,U135,0)</f>
        <v>0</v>
      </c>
      <c r="AK135" s="1">
        <f>IF(U135&gt;0,1,0)</f>
        <v>0</v>
      </c>
      <c r="AL135" s="1">
        <f>IF(AK135=1,U135,0)</f>
        <v>0</v>
      </c>
      <c r="AM135" s="1">
        <f>IF(AJ135&lt;-20000000.0/100,1,0)</f>
        <v>0</v>
      </c>
      <c r="AN135" s="1">
        <f>IF(AL135&gt;20000000.0/100,1,0)</f>
        <v>0</v>
      </c>
    </row>
    <row r="136" spans="1:40" s="1" customFormat="1">
      <c r="A136" s="3">
        <v>45492</v>
      </c>
      <c r="B136" s="2" t="s">
        <v>26</v>
      </c>
      <c r="C136" s="1">
        <f>SUM(PL!H136:J136)</f>
        <v>0</v>
      </c>
      <c r="D136" s="1">
        <f>SUM(PL!K136:M136)</f>
        <v>0</v>
      </c>
      <c r="E136" s="1">
        <f>SUM(PL!N136:P136)</f>
        <v>0</v>
      </c>
      <c r="F136" s="1">
        <f>SUM(PL!Q136:S136)</f>
        <v>0</v>
      </c>
      <c r="G136" s="1">
        <f>SUM(PL!T136:V136)</f>
        <v>0</v>
      </c>
      <c r="H136" s="1">
        <f>SUM(C136:G136)</f>
        <v>0</v>
      </c>
      <c r="I136" s="1">
        <f>IF(C136 + I135 &lt; 0, C136 + I135, 0)</f>
        <v>0</v>
      </c>
      <c r="J136" s="1">
        <f>IF(D136 + J135 &lt; 0, D136 + J135, 0)</f>
        <v>0</v>
      </c>
      <c r="K136" s="1">
        <f>IF(E136 + K135 &lt; 0, E136 + K135, 0)</f>
        <v>0</v>
      </c>
      <c r="L136" s="1">
        <f>IF(F136 + L135 &lt; 0, F136 + L135, 0)</f>
        <v>0</v>
      </c>
      <c r="M136" s="1">
        <f>IF(G136 + M135 &lt; 0, G136 + M135, 0)</f>
        <v>0</v>
      </c>
      <c r="N136" s="1">
        <f>IF(H136 + N135 &lt; 0, H136 + N135, 0)</f>
        <v>0</v>
      </c>
      <c r="O136" s="1">
        <f>IF(N136 &lt; 0, 1 + O135, 0)</f>
        <v>0</v>
      </c>
      <c r="P136" s="1">
        <f>C136-((ABS(SUM(PL!H136:J136)))*0.125)</f>
        <v>0</v>
      </c>
      <c r="Q136" s="1">
        <f>D136-((ABS(SUM(PL!K136:M136)))*0.125)</f>
        <v>0</v>
      </c>
      <c r="R136" s="1">
        <f>E136-((ABS(SUM(PL!N136:P136)))*0.125)</f>
        <v>0</v>
      </c>
      <c r="S136" s="1">
        <f>F136-((ABS(SUM(PL!Q136:S136)))*0.125)</f>
        <v>0</v>
      </c>
      <c r="T136" s="1">
        <f>G136-((ABS(SUM(PL!T136:V136)))*0.125)</f>
        <v>0</v>
      </c>
      <c r="U136" s="1">
        <f>P136 + Q136 + R136 + S136 + T136</f>
        <v>0</v>
      </c>
      <c r="V136" s="1">
        <f>IF(P136 + V135 &lt; 0, P136 + V135, 0)</f>
        <v>0</v>
      </c>
      <c r="W136" s="1">
        <f>IF(Q136 + W135 &lt; 0, Q136 + W135, 0)</f>
        <v>0</v>
      </c>
      <c r="X136" s="1">
        <f>IF(R136 + X135 &lt; 0, R136 + X135, 0)</f>
        <v>0</v>
      </c>
      <c r="Y136" s="1">
        <f>IF(S136 + Y135 &lt; 0, S136 + Y135, 0)</f>
        <v>0</v>
      </c>
      <c r="Z136" s="1">
        <f>IF(T136 + Z135 &lt; 0, T136 + Z135, 0)</f>
        <v>0</v>
      </c>
      <c r="AA136" s="1">
        <f>IF(U136 + AA135 &lt; 0, U136 + AA135, 0)</f>
        <v>0</v>
      </c>
      <c r="AB136" s="1">
        <f>IF(AA136 &lt; 0, 1 + AB135, 0)</f>
        <v>0</v>
      </c>
      <c r="AC136" s="1">
        <f>IF(H136&lt;0,1,0)</f>
        <v>0</v>
      </c>
      <c r="AD136" s="1">
        <f>IF(AC136=1,H136,0)</f>
        <v>0</v>
      </c>
      <c r="AE136" s="1">
        <f>IF(H136&gt;0,1,0)</f>
        <v>0</v>
      </c>
      <c r="AF136" s="1">
        <f>IF(AE136=1,H136,0)</f>
        <v>0</v>
      </c>
      <c r="AG136" s="1">
        <f>IF(AD136&lt;-20000000.0/100,1,0)</f>
        <v>0</v>
      </c>
      <c r="AH136" s="1">
        <f>IF(AF136&gt;20000000.0/100,1,0)</f>
        <v>0</v>
      </c>
      <c r="AI136" s="1">
        <f>IF(U136&lt;0,1,0)</f>
        <v>0</v>
      </c>
      <c r="AJ136" s="1">
        <f>IF(AI136=1,U136,0)</f>
        <v>0</v>
      </c>
      <c r="AK136" s="1">
        <f>IF(U136&gt;0,1,0)</f>
        <v>0</v>
      </c>
      <c r="AL136" s="1">
        <f>IF(AK136=1,U136,0)</f>
        <v>0</v>
      </c>
      <c r="AM136" s="1">
        <f>IF(AJ136&lt;-20000000.0/100,1,0)</f>
        <v>0</v>
      </c>
      <c r="AN136" s="1">
        <f>IF(AL136&gt;20000000.0/100,1,0)</f>
        <v>0</v>
      </c>
    </row>
    <row r="137" spans="1:40" s="1" customFormat="1">
      <c r="A137" s="3">
        <v>45495</v>
      </c>
      <c r="B137" s="2" t="s">
        <v>22</v>
      </c>
      <c r="C137" s="1">
        <f>SUM(PL!H137:J137)</f>
        <v>0</v>
      </c>
      <c r="D137" s="1">
        <f>SUM(PL!K137:M137)</f>
        <v>0</v>
      </c>
      <c r="E137" s="1">
        <f>SUM(PL!N137:P137)</f>
        <v>0</v>
      </c>
      <c r="F137" s="1">
        <f>SUM(PL!Q137:S137)</f>
        <v>0</v>
      </c>
      <c r="G137" s="1">
        <f>SUM(PL!T137:V137)</f>
        <v>0</v>
      </c>
      <c r="H137" s="1">
        <f>SUM(C137:G137)</f>
        <v>0</v>
      </c>
      <c r="I137" s="1">
        <f>IF(C137 + I136 &lt; 0, C137 + I136, 0)</f>
        <v>0</v>
      </c>
      <c r="J137" s="1">
        <f>IF(D137 + J136 &lt; 0, D137 + J136, 0)</f>
        <v>0</v>
      </c>
      <c r="K137" s="1">
        <f>IF(E137 + K136 &lt; 0, E137 + K136, 0)</f>
        <v>0</v>
      </c>
      <c r="L137" s="1">
        <f>IF(F137 + L136 &lt; 0, F137 + L136, 0)</f>
        <v>0</v>
      </c>
      <c r="M137" s="1">
        <f>IF(G137 + M136 &lt; 0, G137 + M136, 0)</f>
        <v>0</v>
      </c>
      <c r="N137" s="1">
        <f>IF(H137 + N136 &lt; 0, H137 + N136, 0)</f>
        <v>0</v>
      </c>
      <c r="O137" s="1">
        <f>IF(N137 &lt; 0, 1 + O136, 0)</f>
        <v>0</v>
      </c>
      <c r="P137" s="1">
        <f>C137-((ABS(SUM(PL!H137:J137)))*0.125)</f>
        <v>0</v>
      </c>
      <c r="Q137" s="1">
        <f>D137-((ABS(SUM(PL!K137:M137)))*0.125)</f>
        <v>0</v>
      </c>
      <c r="R137" s="1">
        <f>E137-((ABS(SUM(PL!N137:P137)))*0.125)</f>
        <v>0</v>
      </c>
      <c r="S137" s="1">
        <f>F137-((ABS(SUM(PL!Q137:S137)))*0.125)</f>
        <v>0</v>
      </c>
      <c r="T137" s="1">
        <f>G137-((ABS(SUM(PL!T137:V137)))*0.125)</f>
        <v>0</v>
      </c>
      <c r="U137" s="1">
        <f>P137 + Q137 + R137 + S137 + T137</f>
        <v>0</v>
      </c>
      <c r="V137" s="1">
        <f>IF(P137 + V136 &lt; 0, P137 + V136, 0)</f>
        <v>0</v>
      </c>
      <c r="W137" s="1">
        <f>IF(Q137 + W136 &lt; 0, Q137 + W136, 0)</f>
        <v>0</v>
      </c>
      <c r="X137" s="1">
        <f>IF(R137 + X136 &lt; 0, R137 + X136, 0)</f>
        <v>0</v>
      </c>
      <c r="Y137" s="1">
        <f>IF(S137 + Y136 &lt; 0, S137 + Y136, 0)</f>
        <v>0</v>
      </c>
      <c r="Z137" s="1">
        <f>IF(T137 + Z136 &lt; 0, T137 + Z136, 0)</f>
        <v>0</v>
      </c>
      <c r="AA137" s="1">
        <f>IF(U137 + AA136 &lt; 0, U137 + AA136, 0)</f>
        <v>0</v>
      </c>
      <c r="AB137" s="1">
        <f>IF(AA137 &lt; 0, 1 + AB136, 0)</f>
        <v>0</v>
      </c>
      <c r="AC137" s="1">
        <f>IF(H137&lt;0,1,0)</f>
        <v>0</v>
      </c>
      <c r="AD137" s="1">
        <f>IF(AC137=1,H137,0)</f>
        <v>0</v>
      </c>
      <c r="AE137" s="1">
        <f>IF(H137&gt;0,1,0)</f>
        <v>0</v>
      </c>
      <c r="AF137" s="1">
        <f>IF(AE137=1,H137,0)</f>
        <v>0</v>
      </c>
      <c r="AG137" s="1">
        <f>IF(AD137&lt;-20000000.0/100,1,0)</f>
        <v>0</v>
      </c>
      <c r="AH137" s="1">
        <f>IF(AF137&gt;20000000.0/100,1,0)</f>
        <v>0</v>
      </c>
      <c r="AI137" s="1">
        <f>IF(U137&lt;0,1,0)</f>
        <v>0</v>
      </c>
      <c r="AJ137" s="1">
        <f>IF(AI137=1,U137,0)</f>
        <v>0</v>
      </c>
      <c r="AK137" s="1">
        <f>IF(U137&gt;0,1,0)</f>
        <v>0</v>
      </c>
      <c r="AL137" s="1">
        <f>IF(AK137=1,U137,0)</f>
        <v>0</v>
      </c>
      <c r="AM137" s="1">
        <f>IF(AJ137&lt;-20000000.0/100,1,0)</f>
        <v>0</v>
      </c>
      <c r="AN137" s="1">
        <f>IF(AL137&gt;20000000.0/100,1,0)</f>
        <v>0</v>
      </c>
    </row>
    <row r="138" spans="1:40" s="1" customFormat="1">
      <c r="A138" s="3">
        <v>45496</v>
      </c>
      <c r="B138" s="2" t="s">
        <v>23</v>
      </c>
      <c r="C138" s="1">
        <f>SUM(PL!H138:J138)</f>
        <v>0</v>
      </c>
      <c r="D138" s="1">
        <f>SUM(PL!K138:M138)</f>
        <v>0</v>
      </c>
      <c r="E138" s="1">
        <f>SUM(PL!N138:P138)</f>
        <v>0</v>
      </c>
      <c r="F138" s="1">
        <f>SUM(PL!Q138:S138)</f>
        <v>0</v>
      </c>
      <c r="G138" s="1">
        <f>SUM(PL!T138:V138)</f>
        <v>0</v>
      </c>
      <c r="H138" s="1">
        <f>SUM(C138:G138)</f>
        <v>0</v>
      </c>
      <c r="I138" s="1">
        <f>IF(C138 + I137 &lt; 0, C138 + I137, 0)</f>
        <v>0</v>
      </c>
      <c r="J138" s="1">
        <f>IF(D138 + J137 &lt; 0, D138 + J137, 0)</f>
        <v>0</v>
      </c>
      <c r="K138" s="1">
        <f>IF(E138 + K137 &lt; 0, E138 + K137, 0)</f>
        <v>0</v>
      </c>
      <c r="L138" s="1">
        <f>IF(F138 + L137 &lt; 0, F138 + L137, 0)</f>
        <v>0</v>
      </c>
      <c r="M138" s="1">
        <f>IF(G138 + M137 &lt; 0, G138 + M137, 0)</f>
        <v>0</v>
      </c>
      <c r="N138" s="1">
        <f>IF(H138 + N137 &lt; 0, H138 + N137, 0)</f>
        <v>0</v>
      </c>
      <c r="O138" s="1">
        <f>IF(N138 &lt; 0, 1 + O137, 0)</f>
        <v>0</v>
      </c>
      <c r="P138" s="1">
        <f>C138-((ABS(SUM(PL!H138:J138)))*0.125)</f>
        <v>0</v>
      </c>
      <c r="Q138" s="1">
        <f>D138-((ABS(SUM(PL!K138:M138)))*0.125)</f>
        <v>0</v>
      </c>
      <c r="R138" s="1">
        <f>E138-((ABS(SUM(PL!N138:P138)))*0.125)</f>
        <v>0</v>
      </c>
      <c r="S138" s="1">
        <f>F138-((ABS(SUM(PL!Q138:S138)))*0.125)</f>
        <v>0</v>
      </c>
      <c r="T138" s="1">
        <f>G138-((ABS(SUM(PL!T138:V138)))*0.125)</f>
        <v>0</v>
      </c>
      <c r="U138" s="1">
        <f>P138 + Q138 + R138 + S138 + T138</f>
        <v>0</v>
      </c>
      <c r="V138" s="1">
        <f>IF(P138 + V137 &lt; 0, P138 + V137, 0)</f>
        <v>0</v>
      </c>
      <c r="W138" s="1">
        <f>IF(Q138 + W137 &lt; 0, Q138 + W137, 0)</f>
        <v>0</v>
      </c>
      <c r="X138" s="1">
        <f>IF(R138 + X137 &lt; 0, R138 + X137, 0)</f>
        <v>0</v>
      </c>
      <c r="Y138" s="1">
        <f>IF(S138 + Y137 &lt; 0, S138 + Y137, 0)</f>
        <v>0</v>
      </c>
      <c r="Z138" s="1">
        <f>IF(T138 + Z137 &lt; 0, T138 + Z137, 0)</f>
        <v>0</v>
      </c>
      <c r="AA138" s="1">
        <f>IF(U138 + AA137 &lt; 0, U138 + AA137, 0)</f>
        <v>0</v>
      </c>
      <c r="AB138" s="1">
        <f>IF(AA138 &lt; 0, 1 + AB137, 0)</f>
        <v>0</v>
      </c>
      <c r="AC138" s="1">
        <f>IF(H138&lt;0,1,0)</f>
        <v>0</v>
      </c>
      <c r="AD138" s="1">
        <f>IF(AC138=1,H138,0)</f>
        <v>0</v>
      </c>
      <c r="AE138" s="1">
        <f>IF(H138&gt;0,1,0)</f>
        <v>0</v>
      </c>
      <c r="AF138" s="1">
        <f>IF(AE138=1,H138,0)</f>
        <v>0</v>
      </c>
      <c r="AG138" s="1">
        <f>IF(AD138&lt;-20000000.0/100,1,0)</f>
        <v>0</v>
      </c>
      <c r="AH138" s="1">
        <f>IF(AF138&gt;20000000.0/100,1,0)</f>
        <v>0</v>
      </c>
      <c r="AI138" s="1">
        <f>IF(U138&lt;0,1,0)</f>
        <v>0</v>
      </c>
      <c r="AJ138" s="1">
        <f>IF(AI138=1,U138,0)</f>
        <v>0</v>
      </c>
      <c r="AK138" s="1">
        <f>IF(U138&gt;0,1,0)</f>
        <v>0</v>
      </c>
      <c r="AL138" s="1">
        <f>IF(AK138=1,U138,0)</f>
        <v>0</v>
      </c>
      <c r="AM138" s="1">
        <f>IF(AJ138&lt;-20000000.0/100,1,0)</f>
        <v>0</v>
      </c>
      <c r="AN138" s="1">
        <f>IF(AL138&gt;20000000.0/100,1,0)</f>
        <v>0</v>
      </c>
    </row>
    <row r="139" spans="1:40" s="1" customFormat="1">
      <c r="A139" s="3">
        <v>45497</v>
      </c>
      <c r="B139" s="2" t="s">
        <v>24</v>
      </c>
      <c r="C139" s="1">
        <f>SUM(PL!H139:J139)</f>
        <v>0</v>
      </c>
      <c r="D139" s="1">
        <f>SUM(PL!K139:M139)</f>
        <v>0</v>
      </c>
      <c r="E139" s="1">
        <f>SUM(PL!N139:P139)</f>
        <v>0</v>
      </c>
      <c r="F139" s="1">
        <f>SUM(PL!Q139:S139)</f>
        <v>0</v>
      </c>
      <c r="G139" s="1">
        <f>SUM(PL!T139:V139)</f>
        <v>0</v>
      </c>
      <c r="H139" s="1">
        <f>SUM(C139:G139)</f>
        <v>0</v>
      </c>
      <c r="I139" s="1">
        <f>IF(C139 + I138 &lt; 0, C139 + I138, 0)</f>
        <v>0</v>
      </c>
      <c r="J139" s="1">
        <f>IF(D139 + J138 &lt; 0, D139 + J138, 0)</f>
        <v>0</v>
      </c>
      <c r="K139" s="1">
        <f>IF(E139 + K138 &lt; 0, E139 + K138, 0)</f>
        <v>0</v>
      </c>
      <c r="L139" s="1">
        <f>IF(F139 + L138 &lt; 0, F139 + L138, 0)</f>
        <v>0</v>
      </c>
      <c r="M139" s="1">
        <f>IF(G139 + M138 &lt; 0, G139 + M138, 0)</f>
        <v>0</v>
      </c>
      <c r="N139" s="1">
        <f>IF(H139 + N138 &lt; 0, H139 + N138, 0)</f>
        <v>0</v>
      </c>
      <c r="O139" s="1">
        <f>IF(N139 &lt; 0, 1 + O138, 0)</f>
        <v>0</v>
      </c>
      <c r="P139" s="1">
        <f>C139-((ABS(SUM(PL!H139:J139)))*0.125)</f>
        <v>0</v>
      </c>
      <c r="Q139" s="1">
        <f>D139-((ABS(SUM(PL!K139:M139)))*0.125)</f>
        <v>0</v>
      </c>
      <c r="R139" s="1">
        <f>E139-((ABS(SUM(PL!N139:P139)))*0.125)</f>
        <v>0</v>
      </c>
      <c r="S139" s="1">
        <f>F139-((ABS(SUM(PL!Q139:S139)))*0.125)</f>
        <v>0</v>
      </c>
      <c r="T139" s="1">
        <f>G139-((ABS(SUM(PL!T139:V139)))*0.125)</f>
        <v>0</v>
      </c>
      <c r="U139" s="1">
        <f>P139 + Q139 + R139 + S139 + T139</f>
        <v>0</v>
      </c>
      <c r="V139" s="1">
        <f>IF(P139 + V138 &lt; 0, P139 + V138, 0)</f>
        <v>0</v>
      </c>
      <c r="W139" s="1">
        <f>IF(Q139 + W138 &lt; 0, Q139 + W138, 0)</f>
        <v>0</v>
      </c>
      <c r="X139" s="1">
        <f>IF(R139 + X138 &lt; 0, R139 + X138, 0)</f>
        <v>0</v>
      </c>
      <c r="Y139" s="1">
        <f>IF(S139 + Y138 &lt; 0, S139 + Y138, 0)</f>
        <v>0</v>
      </c>
      <c r="Z139" s="1">
        <f>IF(T139 + Z138 &lt; 0, T139 + Z138, 0)</f>
        <v>0</v>
      </c>
      <c r="AA139" s="1">
        <f>IF(U139 + AA138 &lt; 0, U139 + AA138, 0)</f>
        <v>0</v>
      </c>
      <c r="AB139" s="1">
        <f>IF(AA139 &lt; 0, 1 + AB138, 0)</f>
        <v>0</v>
      </c>
      <c r="AC139" s="1">
        <f>IF(H139&lt;0,1,0)</f>
        <v>0</v>
      </c>
      <c r="AD139" s="1">
        <f>IF(AC139=1,H139,0)</f>
        <v>0</v>
      </c>
      <c r="AE139" s="1">
        <f>IF(H139&gt;0,1,0)</f>
        <v>0</v>
      </c>
      <c r="AF139" s="1">
        <f>IF(AE139=1,H139,0)</f>
        <v>0</v>
      </c>
      <c r="AG139" s="1">
        <f>IF(AD139&lt;-20000000.0/100,1,0)</f>
        <v>0</v>
      </c>
      <c r="AH139" s="1">
        <f>IF(AF139&gt;20000000.0/100,1,0)</f>
        <v>0</v>
      </c>
      <c r="AI139" s="1">
        <f>IF(U139&lt;0,1,0)</f>
        <v>0</v>
      </c>
      <c r="AJ139" s="1">
        <f>IF(AI139=1,U139,0)</f>
        <v>0</v>
      </c>
      <c r="AK139" s="1">
        <f>IF(U139&gt;0,1,0)</f>
        <v>0</v>
      </c>
      <c r="AL139" s="1">
        <f>IF(AK139=1,U139,0)</f>
        <v>0</v>
      </c>
      <c r="AM139" s="1">
        <f>IF(AJ139&lt;-20000000.0/100,1,0)</f>
        <v>0</v>
      </c>
      <c r="AN139" s="1">
        <f>IF(AL139&gt;20000000.0/100,1,0)</f>
        <v>0</v>
      </c>
    </row>
    <row r="140" spans="1:40" s="1" customFormat="1">
      <c r="A140" s="3">
        <v>45498</v>
      </c>
      <c r="B140" s="2" t="s">
        <v>25</v>
      </c>
      <c r="C140" s="1">
        <f>SUM(PL!H140:J140)</f>
        <v>0</v>
      </c>
      <c r="D140" s="1">
        <f>SUM(PL!K140:M140)</f>
        <v>0</v>
      </c>
      <c r="E140" s="1">
        <f>SUM(PL!N140:P140)</f>
        <v>0</v>
      </c>
      <c r="F140" s="1">
        <f>SUM(PL!Q140:S140)</f>
        <v>0</v>
      </c>
      <c r="G140" s="1">
        <f>SUM(PL!T140:V140)</f>
        <v>0</v>
      </c>
      <c r="H140" s="1">
        <f>SUM(C140:G140)</f>
        <v>0</v>
      </c>
      <c r="I140" s="1">
        <f>IF(C140 + I139 &lt; 0, C140 + I139, 0)</f>
        <v>0</v>
      </c>
      <c r="J140" s="1">
        <f>IF(D140 + J139 &lt; 0, D140 + J139, 0)</f>
        <v>0</v>
      </c>
      <c r="K140" s="1">
        <f>IF(E140 + K139 &lt; 0, E140 + K139, 0)</f>
        <v>0</v>
      </c>
      <c r="L140" s="1">
        <f>IF(F140 + L139 &lt; 0, F140 + L139, 0)</f>
        <v>0</v>
      </c>
      <c r="M140" s="1">
        <f>IF(G140 + M139 &lt; 0, G140 + M139, 0)</f>
        <v>0</v>
      </c>
      <c r="N140" s="1">
        <f>IF(H140 + N139 &lt; 0, H140 + N139, 0)</f>
        <v>0</v>
      </c>
      <c r="O140" s="1">
        <f>IF(N140 &lt; 0, 1 + O139, 0)</f>
        <v>0</v>
      </c>
      <c r="P140" s="1">
        <f>C140-((ABS(SUM(PL!H140:J140)))*0.125)</f>
        <v>0</v>
      </c>
      <c r="Q140" s="1">
        <f>D140-((ABS(SUM(PL!K140:M140)))*0.125)</f>
        <v>0</v>
      </c>
      <c r="R140" s="1">
        <f>E140-((ABS(SUM(PL!N140:P140)))*0.125)</f>
        <v>0</v>
      </c>
      <c r="S140" s="1">
        <f>F140-((ABS(SUM(PL!Q140:S140)))*0.125)</f>
        <v>0</v>
      </c>
      <c r="T140" s="1">
        <f>G140-((ABS(SUM(PL!T140:V140)))*0.125)</f>
        <v>0</v>
      </c>
      <c r="U140" s="1">
        <f>P140 + Q140 + R140 + S140 + T140</f>
        <v>0</v>
      </c>
      <c r="V140" s="1">
        <f>IF(P140 + V139 &lt; 0, P140 + V139, 0)</f>
        <v>0</v>
      </c>
      <c r="W140" s="1">
        <f>IF(Q140 + W139 &lt; 0, Q140 + W139, 0)</f>
        <v>0</v>
      </c>
      <c r="X140" s="1">
        <f>IF(R140 + X139 &lt; 0, R140 + X139, 0)</f>
        <v>0</v>
      </c>
      <c r="Y140" s="1">
        <f>IF(S140 + Y139 &lt; 0, S140 + Y139, 0)</f>
        <v>0</v>
      </c>
      <c r="Z140" s="1">
        <f>IF(T140 + Z139 &lt; 0, T140 + Z139, 0)</f>
        <v>0</v>
      </c>
      <c r="AA140" s="1">
        <f>IF(U140 + AA139 &lt; 0, U140 + AA139, 0)</f>
        <v>0</v>
      </c>
      <c r="AB140" s="1">
        <f>IF(AA140 &lt; 0, 1 + AB139, 0)</f>
        <v>0</v>
      </c>
      <c r="AC140" s="1">
        <f>IF(H140&lt;0,1,0)</f>
        <v>0</v>
      </c>
      <c r="AD140" s="1">
        <f>IF(AC140=1,H140,0)</f>
        <v>0</v>
      </c>
      <c r="AE140" s="1">
        <f>IF(H140&gt;0,1,0)</f>
        <v>0</v>
      </c>
      <c r="AF140" s="1">
        <f>IF(AE140=1,H140,0)</f>
        <v>0</v>
      </c>
      <c r="AG140" s="1">
        <f>IF(AD140&lt;-20000000.0/100,1,0)</f>
        <v>0</v>
      </c>
      <c r="AH140" s="1">
        <f>IF(AF140&gt;20000000.0/100,1,0)</f>
        <v>0</v>
      </c>
      <c r="AI140" s="1">
        <f>IF(U140&lt;0,1,0)</f>
        <v>0</v>
      </c>
      <c r="AJ140" s="1">
        <f>IF(AI140=1,U140,0)</f>
        <v>0</v>
      </c>
      <c r="AK140" s="1">
        <f>IF(U140&gt;0,1,0)</f>
        <v>0</v>
      </c>
      <c r="AL140" s="1">
        <f>IF(AK140=1,U140,0)</f>
        <v>0</v>
      </c>
      <c r="AM140" s="1">
        <f>IF(AJ140&lt;-20000000.0/100,1,0)</f>
        <v>0</v>
      </c>
      <c r="AN140" s="1">
        <f>IF(AL140&gt;20000000.0/100,1,0)</f>
        <v>0</v>
      </c>
    </row>
    <row r="141" spans="1:40" s="1" customFormat="1">
      <c r="A141" s="3">
        <v>45499</v>
      </c>
      <c r="B141" s="2" t="s">
        <v>26</v>
      </c>
      <c r="C141" s="1">
        <f>SUM(PL!H141:J141)</f>
        <v>0</v>
      </c>
      <c r="D141" s="1">
        <f>SUM(PL!K141:M141)</f>
        <v>0</v>
      </c>
      <c r="E141" s="1">
        <f>SUM(PL!N141:P141)</f>
        <v>0</v>
      </c>
      <c r="F141" s="1">
        <f>SUM(PL!Q141:S141)</f>
        <v>0</v>
      </c>
      <c r="G141" s="1">
        <f>SUM(PL!T141:V141)</f>
        <v>0</v>
      </c>
      <c r="H141" s="1">
        <f>SUM(C141:G141)</f>
        <v>0</v>
      </c>
      <c r="I141" s="1">
        <f>IF(C141 + I140 &lt; 0, C141 + I140, 0)</f>
        <v>0</v>
      </c>
      <c r="J141" s="1">
        <f>IF(D141 + J140 &lt; 0, D141 + J140, 0)</f>
        <v>0</v>
      </c>
      <c r="K141" s="1">
        <f>IF(E141 + K140 &lt; 0, E141 + K140, 0)</f>
        <v>0</v>
      </c>
      <c r="L141" s="1">
        <f>IF(F141 + L140 &lt; 0, F141 + L140, 0)</f>
        <v>0</v>
      </c>
      <c r="M141" s="1">
        <f>IF(G141 + M140 &lt; 0, G141 + M140, 0)</f>
        <v>0</v>
      </c>
      <c r="N141" s="1">
        <f>IF(H141 + N140 &lt; 0, H141 + N140, 0)</f>
        <v>0</v>
      </c>
      <c r="O141" s="1">
        <f>IF(N141 &lt; 0, 1 + O140, 0)</f>
        <v>0</v>
      </c>
      <c r="P141" s="1">
        <f>C141-((ABS(SUM(PL!H141:J141)))*0.125)</f>
        <v>0</v>
      </c>
      <c r="Q141" s="1">
        <f>D141-((ABS(SUM(PL!K141:M141)))*0.125)</f>
        <v>0</v>
      </c>
      <c r="R141" s="1">
        <f>E141-((ABS(SUM(PL!N141:P141)))*0.125)</f>
        <v>0</v>
      </c>
      <c r="S141" s="1">
        <f>F141-((ABS(SUM(PL!Q141:S141)))*0.125)</f>
        <v>0</v>
      </c>
      <c r="T141" s="1">
        <f>G141-((ABS(SUM(PL!T141:V141)))*0.125)</f>
        <v>0</v>
      </c>
      <c r="U141" s="1">
        <f>P141 + Q141 + R141 + S141 + T141</f>
        <v>0</v>
      </c>
      <c r="V141" s="1">
        <f>IF(P141 + V140 &lt; 0, P141 + V140, 0)</f>
        <v>0</v>
      </c>
      <c r="W141" s="1">
        <f>IF(Q141 + W140 &lt; 0, Q141 + W140, 0)</f>
        <v>0</v>
      </c>
      <c r="X141" s="1">
        <f>IF(R141 + X140 &lt; 0, R141 + X140, 0)</f>
        <v>0</v>
      </c>
      <c r="Y141" s="1">
        <f>IF(S141 + Y140 &lt; 0, S141 + Y140, 0)</f>
        <v>0</v>
      </c>
      <c r="Z141" s="1">
        <f>IF(T141 + Z140 &lt; 0, T141 + Z140, 0)</f>
        <v>0</v>
      </c>
      <c r="AA141" s="1">
        <f>IF(U141 + AA140 &lt; 0, U141 + AA140, 0)</f>
        <v>0</v>
      </c>
      <c r="AB141" s="1">
        <f>IF(AA141 &lt; 0, 1 + AB140, 0)</f>
        <v>0</v>
      </c>
      <c r="AC141" s="1">
        <f>IF(H141&lt;0,1,0)</f>
        <v>0</v>
      </c>
      <c r="AD141" s="1">
        <f>IF(AC141=1,H141,0)</f>
        <v>0</v>
      </c>
      <c r="AE141" s="1">
        <f>IF(H141&gt;0,1,0)</f>
        <v>0</v>
      </c>
      <c r="AF141" s="1">
        <f>IF(AE141=1,H141,0)</f>
        <v>0</v>
      </c>
      <c r="AG141" s="1">
        <f>IF(AD141&lt;-20000000.0/100,1,0)</f>
        <v>0</v>
      </c>
      <c r="AH141" s="1">
        <f>IF(AF141&gt;20000000.0/100,1,0)</f>
        <v>0</v>
      </c>
      <c r="AI141" s="1">
        <f>IF(U141&lt;0,1,0)</f>
        <v>0</v>
      </c>
      <c r="AJ141" s="1">
        <f>IF(AI141=1,U141,0)</f>
        <v>0</v>
      </c>
      <c r="AK141" s="1">
        <f>IF(U141&gt;0,1,0)</f>
        <v>0</v>
      </c>
      <c r="AL141" s="1">
        <f>IF(AK141=1,U141,0)</f>
        <v>0</v>
      </c>
      <c r="AM141" s="1">
        <f>IF(AJ141&lt;-20000000.0/100,1,0)</f>
        <v>0</v>
      </c>
      <c r="AN141" s="1">
        <f>IF(AL141&gt;20000000.0/100,1,0)</f>
        <v>0</v>
      </c>
    </row>
    <row r="142" spans="1:40" s="1" customFormat="1">
      <c r="A142" s="3">
        <v>45502</v>
      </c>
      <c r="B142" s="2" t="s">
        <v>22</v>
      </c>
      <c r="C142" s="1">
        <f>SUM(PL!H142:J142)</f>
        <v>0</v>
      </c>
      <c r="D142" s="1">
        <f>SUM(PL!K142:M142)</f>
        <v>0</v>
      </c>
      <c r="E142" s="1">
        <f>SUM(PL!N142:P142)</f>
        <v>0</v>
      </c>
      <c r="F142" s="1">
        <f>SUM(PL!Q142:S142)</f>
        <v>0</v>
      </c>
      <c r="G142" s="1">
        <f>SUM(PL!T142:V142)</f>
        <v>0</v>
      </c>
      <c r="H142" s="1">
        <f>SUM(C142:G142)</f>
        <v>0</v>
      </c>
      <c r="I142" s="1">
        <f>IF(C142 + I141 &lt; 0, C142 + I141, 0)</f>
        <v>0</v>
      </c>
      <c r="J142" s="1">
        <f>IF(D142 + J141 &lt; 0, D142 + J141, 0)</f>
        <v>0</v>
      </c>
      <c r="K142" s="1">
        <f>IF(E142 + K141 &lt; 0, E142 + K141, 0)</f>
        <v>0</v>
      </c>
      <c r="L142" s="1">
        <f>IF(F142 + L141 &lt; 0, F142 + L141, 0)</f>
        <v>0</v>
      </c>
      <c r="M142" s="1">
        <f>IF(G142 + M141 &lt; 0, G142 + M141, 0)</f>
        <v>0</v>
      </c>
      <c r="N142" s="1">
        <f>IF(H142 + N141 &lt; 0, H142 + N141, 0)</f>
        <v>0</v>
      </c>
      <c r="O142" s="1">
        <f>IF(N142 &lt; 0, 1 + O141, 0)</f>
        <v>0</v>
      </c>
      <c r="P142" s="1">
        <f>C142-((ABS(SUM(PL!H142:J142)))*0.125)</f>
        <v>0</v>
      </c>
      <c r="Q142" s="1">
        <f>D142-((ABS(SUM(PL!K142:M142)))*0.125)</f>
        <v>0</v>
      </c>
      <c r="R142" s="1">
        <f>E142-((ABS(SUM(PL!N142:P142)))*0.125)</f>
        <v>0</v>
      </c>
      <c r="S142" s="1">
        <f>F142-((ABS(SUM(PL!Q142:S142)))*0.125)</f>
        <v>0</v>
      </c>
      <c r="T142" s="1">
        <f>G142-((ABS(SUM(PL!T142:V142)))*0.125)</f>
        <v>0</v>
      </c>
      <c r="U142" s="1">
        <f>P142 + Q142 + R142 + S142 + T142</f>
        <v>0</v>
      </c>
      <c r="V142" s="1">
        <f>IF(P142 + V141 &lt; 0, P142 + V141, 0)</f>
        <v>0</v>
      </c>
      <c r="W142" s="1">
        <f>IF(Q142 + W141 &lt; 0, Q142 + W141, 0)</f>
        <v>0</v>
      </c>
      <c r="X142" s="1">
        <f>IF(R142 + X141 &lt; 0, R142 + X141, 0)</f>
        <v>0</v>
      </c>
      <c r="Y142" s="1">
        <f>IF(S142 + Y141 &lt; 0, S142 + Y141, 0)</f>
        <v>0</v>
      </c>
      <c r="Z142" s="1">
        <f>IF(T142 + Z141 &lt; 0, T142 + Z141, 0)</f>
        <v>0</v>
      </c>
      <c r="AA142" s="1">
        <f>IF(U142 + AA141 &lt; 0, U142 + AA141, 0)</f>
        <v>0</v>
      </c>
      <c r="AB142" s="1">
        <f>IF(AA142 &lt; 0, 1 + AB141, 0)</f>
        <v>0</v>
      </c>
      <c r="AC142" s="1">
        <f>IF(H142&lt;0,1,0)</f>
        <v>0</v>
      </c>
      <c r="AD142" s="1">
        <f>IF(AC142=1,H142,0)</f>
        <v>0</v>
      </c>
      <c r="AE142" s="1">
        <f>IF(H142&gt;0,1,0)</f>
        <v>0</v>
      </c>
      <c r="AF142" s="1">
        <f>IF(AE142=1,H142,0)</f>
        <v>0</v>
      </c>
      <c r="AG142" s="1">
        <f>IF(AD142&lt;-20000000.0/100,1,0)</f>
        <v>0</v>
      </c>
      <c r="AH142" s="1">
        <f>IF(AF142&gt;20000000.0/100,1,0)</f>
        <v>0</v>
      </c>
      <c r="AI142" s="1">
        <f>IF(U142&lt;0,1,0)</f>
        <v>0</v>
      </c>
      <c r="AJ142" s="1">
        <f>IF(AI142=1,U142,0)</f>
        <v>0</v>
      </c>
      <c r="AK142" s="1">
        <f>IF(U142&gt;0,1,0)</f>
        <v>0</v>
      </c>
      <c r="AL142" s="1">
        <f>IF(AK142=1,U142,0)</f>
        <v>0</v>
      </c>
      <c r="AM142" s="1">
        <f>IF(AJ142&lt;-20000000.0/100,1,0)</f>
        <v>0</v>
      </c>
      <c r="AN142" s="1">
        <f>IF(AL142&gt;20000000.0/100,1,0)</f>
        <v>0</v>
      </c>
    </row>
    <row r="143" spans="1:40" s="1" customFormat="1">
      <c r="A143" s="3">
        <v>45503</v>
      </c>
      <c r="B143" s="2" t="s">
        <v>23</v>
      </c>
      <c r="C143" s="1">
        <f>SUM(PL!H143:J143)</f>
        <v>0</v>
      </c>
      <c r="D143" s="1">
        <f>SUM(PL!K143:M143)</f>
        <v>0</v>
      </c>
      <c r="E143" s="1">
        <f>SUM(PL!N143:P143)</f>
        <v>0</v>
      </c>
      <c r="F143" s="1">
        <f>SUM(PL!Q143:S143)</f>
        <v>0</v>
      </c>
      <c r="G143" s="1">
        <f>SUM(PL!T143:V143)</f>
        <v>0</v>
      </c>
      <c r="H143" s="1">
        <f>SUM(C143:G143)</f>
        <v>0</v>
      </c>
      <c r="I143" s="1">
        <f>IF(C143 + I142 &lt; 0, C143 + I142, 0)</f>
        <v>0</v>
      </c>
      <c r="J143" s="1">
        <f>IF(D143 + J142 &lt; 0, D143 + J142, 0)</f>
        <v>0</v>
      </c>
      <c r="K143" s="1">
        <f>IF(E143 + K142 &lt; 0, E143 + K142, 0)</f>
        <v>0</v>
      </c>
      <c r="L143" s="1">
        <f>IF(F143 + L142 &lt; 0, F143 + L142, 0)</f>
        <v>0</v>
      </c>
      <c r="M143" s="1">
        <f>IF(G143 + M142 &lt; 0, G143 + M142, 0)</f>
        <v>0</v>
      </c>
      <c r="N143" s="1">
        <f>IF(H143 + N142 &lt; 0, H143 + N142, 0)</f>
        <v>0</v>
      </c>
      <c r="O143" s="1">
        <f>IF(N143 &lt; 0, 1 + O142, 0)</f>
        <v>0</v>
      </c>
      <c r="P143" s="1">
        <f>C143-((ABS(SUM(PL!H143:J143)))*0.125)</f>
        <v>0</v>
      </c>
      <c r="Q143" s="1">
        <f>D143-((ABS(SUM(PL!K143:M143)))*0.125)</f>
        <v>0</v>
      </c>
      <c r="R143" s="1">
        <f>E143-((ABS(SUM(PL!N143:P143)))*0.125)</f>
        <v>0</v>
      </c>
      <c r="S143" s="1">
        <f>F143-((ABS(SUM(PL!Q143:S143)))*0.125)</f>
        <v>0</v>
      </c>
      <c r="T143" s="1">
        <f>G143-((ABS(SUM(PL!T143:V143)))*0.125)</f>
        <v>0</v>
      </c>
      <c r="U143" s="1">
        <f>P143 + Q143 + R143 + S143 + T143</f>
        <v>0</v>
      </c>
      <c r="V143" s="1">
        <f>IF(P143 + V142 &lt; 0, P143 + V142, 0)</f>
        <v>0</v>
      </c>
      <c r="W143" s="1">
        <f>IF(Q143 + W142 &lt; 0, Q143 + W142, 0)</f>
        <v>0</v>
      </c>
      <c r="X143" s="1">
        <f>IF(R143 + X142 &lt; 0, R143 + X142, 0)</f>
        <v>0</v>
      </c>
      <c r="Y143" s="1">
        <f>IF(S143 + Y142 &lt; 0, S143 + Y142, 0)</f>
        <v>0</v>
      </c>
      <c r="Z143" s="1">
        <f>IF(T143 + Z142 &lt; 0, T143 + Z142, 0)</f>
        <v>0</v>
      </c>
      <c r="AA143" s="1">
        <f>IF(U143 + AA142 &lt; 0, U143 + AA142, 0)</f>
        <v>0</v>
      </c>
      <c r="AB143" s="1">
        <f>IF(AA143 &lt; 0, 1 + AB142, 0)</f>
        <v>0</v>
      </c>
      <c r="AC143" s="1">
        <f>IF(H143&lt;0,1,0)</f>
        <v>0</v>
      </c>
      <c r="AD143" s="1">
        <f>IF(AC143=1,H143,0)</f>
        <v>0</v>
      </c>
      <c r="AE143" s="1">
        <f>IF(H143&gt;0,1,0)</f>
        <v>0</v>
      </c>
      <c r="AF143" s="1">
        <f>IF(AE143=1,H143,0)</f>
        <v>0</v>
      </c>
      <c r="AG143" s="1">
        <f>IF(AD143&lt;-20000000.0/100,1,0)</f>
        <v>0</v>
      </c>
      <c r="AH143" s="1">
        <f>IF(AF143&gt;20000000.0/100,1,0)</f>
        <v>0</v>
      </c>
      <c r="AI143" s="1">
        <f>IF(U143&lt;0,1,0)</f>
        <v>0</v>
      </c>
      <c r="AJ143" s="1">
        <f>IF(AI143=1,U143,0)</f>
        <v>0</v>
      </c>
      <c r="AK143" s="1">
        <f>IF(U143&gt;0,1,0)</f>
        <v>0</v>
      </c>
      <c r="AL143" s="1">
        <f>IF(AK143=1,U143,0)</f>
        <v>0</v>
      </c>
      <c r="AM143" s="1">
        <f>IF(AJ143&lt;-20000000.0/100,1,0)</f>
        <v>0</v>
      </c>
      <c r="AN143" s="1">
        <f>IF(AL143&gt;20000000.0/100,1,0)</f>
        <v>0</v>
      </c>
    </row>
    <row r="144" spans="1:40" s="1" customFormat="1">
      <c r="A144" s="3">
        <v>45504</v>
      </c>
      <c r="B144" s="2" t="s">
        <v>24</v>
      </c>
      <c r="C144" s="1">
        <f>SUM(PL!H144:J144)</f>
        <v>0</v>
      </c>
      <c r="D144" s="1">
        <f>SUM(PL!K144:M144)</f>
        <v>0</v>
      </c>
      <c r="E144" s="1">
        <f>SUM(PL!N144:P144)</f>
        <v>0</v>
      </c>
      <c r="F144" s="1">
        <f>SUM(PL!Q144:S144)</f>
        <v>0</v>
      </c>
      <c r="G144" s="1">
        <f>SUM(PL!T144:V144)</f>
        <v>0</v>
      </c>
      <c r="H144" s="1">
        <f>SUM(C144:G144)</f>
        <v>0</v>
      </c>
      <c r="I144" s="1">
        <f>IF(C144 + I143 &lt; 0, C144 + I143, 0)</f>
        <v>0</v>
      </c>
      <c r="J144" s="1">
        <f>IF(D144 + J143 &lt; 0, D144 + J143, 0)</f>
        <v>0</v>
      </c>
      <c r="K144" s="1">
        <f>IF(E144 + K143 &lt; 0, E144 + K143, 0)</f>
        <v>0</v>
      </c>
      <c r="L144" s="1">
        <f>IF(F144 + L143 &lt; 0, F144 + L143, 0)</f>
        <v>0</v>
      </c>
      <c r="M144" s="1">
        <f>IF(G144 + M143 &lt; 0, G144 + M143, 0)</f>
        <v>0</v>
      </c>
      <c r="N144" s="1">
        <f>IF(H144 + N143 &lt; 0, H144 + N143, 0)</f>
        <v>0</v>
      </c>
      <c r="O144" s="1">
        <f>IF(N144 &lt; 0, 1 + O143, 0)</f>
        <v>0</v>
      </c>
      <c r="P144" s="1">
        <f>C144-((ABS(SUM(PL!H144:J144)))*0.125)</f>
        <v>0</v>
      </c>
      <c r="Q144" s="1">
        <f>D144-((ABS(SUM(PL!K144:M144)))*0.125)</f>
        <v>0</v>
      </c>
      <c r="R144" s="1">
        <f>E144-((ABS(SUM(PL!N144:P144)))*0.125)</f>
        <v>0</v>
      </c>
      <c r="S144" s="1">
        <f>F144-((ABS(SUM(PL!Q144:S144)))*0.125)</f>
        <v>0</v>
      </c>
      <c r="T144" s="1">
        <f>G144-((ABS(SUM(PL!T144:V144)))*0.125)</f>
        <v>0</v>
      </c>
      <c r="U144" s="1">
        <f>P144 + Q144 + R144 + S144 + T144</f>
        <v>0</v>
      </c>
      <c r="V144" s="1">
        <f>IF(P144 + V143 &lt; 0, P144 + V143, 0)</f>
        <v>0</v>
      </c>
      <c r="W144" s="1">
        <f>IF(Q144 + W143 &lt; 0, Q144 + W143, 0)</f>
        <v>0</v>
      </c>
      <c r="X144" s="1">
        <f>IF(R144 + X143 &lt; 0, R144 + X143, 0)</f>
        <v>0</v>
      </c>
      <c r="Y144" s="1">
        <f>IF(S144 + Y143 &lt; 0, S144 + Y143, 0)</f>
        <v>0</v>
      </c>
      <c r="Z144" s="1">
        <f>IF(T144 + Z143 &lt; 0, T144 + Z143, 0)</f>
        <v>0</v>
      </c>
      <c r="AA144" s="1">
        <f>IF(U144 + AA143 &lt; 0, U144 + AA143, 0)</f>
        <v>0</v>
      </c>
      <c r="AB144" s="1">
        <f>IF(AA144 &lt; 0, 1 + AB143, 0)</f>
        <v>0</v>
      </c>
      <c r="AC144" s="1">
        <f>IF(H144&lt;0,1,0)</f>
        <v>0</v>
      </c>
      <c r="AD144" s="1">
        <f>IF(AC144=1,H144,0)</f>
        <v>0</v>
      </c>
      <c r="AE144" s="1">
        <f>IF(H144&gt;0,1,0)</f>
        <v>0</v>
      </c>
      <c r="AF144" s="1">
        <f>IF(AE144=1,H144,0)</f>
        <v>0</v>
      </c>
      <c r="AG144" s="1">
        <f>IF(AD144&lt;-20000000.0/100,1,0)</f>
        <v>0</v>
      </c>
      <c r="AH144" s="1">
        <f>IF(AF144&gt;20000000.0/100,1,0)</f>
        <v>0</v>
      </c>
      <c r="AI144" s="1">
        <f>IF(U144&lt;0,1,0)</f>
        <v>0</v>
      </c>
      <c r="AJ144" s="1">
        <f>IF(AI144=1,U144,0)</f>
        <v>0</v>
      </c>
      <c r="AK144" s="1">
        <f>IF(U144&gt;0,1,0)</f>
        <v>0</v>
      </c>
      <c r="AL144" s="1">
        <f>IF(AK144=1,U144,0)</f>
        <v>0</v>
      </c>
      <c r="AM144" s="1">
        <f>IF(AJ144&lt;-20000000.0/100,1,0)</f>
        <v>0</v>
      </c>
      <c r="AN144" s="1">
        <f>IF(AL144&gt;20000000.0/100,1,0)</f>
        <v>0</v>
      </c>
    </row>
    <row r="145" spans="1:40" s="1" customFormat="1">
      <c r="A145" s="3">
        <v>45505</v>
      </c>
      <c r="B145" s="2" t="s">
        <v>25</v>
      </c>
      <c r="C145" s="1">
        <f>SUM(PL!H145:J145)</f>
        <v>0</v>
      </c>
      <c r="D145" s="1">
        <f>SUM(PL!K145:M145)</f>
        <v>0</v>
      </c>
      <c r="E145" s="1">
        <f>SUM(PL!N145:P145)</f>
        <v>0</v>
      </c>
      <c r="F145" s="1">
        <f>SUM(PL!Q145:S145)</f>
        <v>0</v>
      </c>
      <c r="G145" s="1">
        <f>SUM(PL!T145:V145)</f>
        <v>0</v>
      </c>
      <c r="H145" s="1">
        <f>SUM(C145:G145)</f>
        <v>0</v>
      </c>
      <c r="I145" s="1">
        <f>IF(C145 + I144 &lt; 0, C145 + I144, 0)</f>
        <v>0</v>
      </c>
      <c r="J145" s="1">
        <f>IF(D145 + J144 &lt; 0, D145 + J144, 0)</f>
        <v>0</v>
      </c>
      <c r="K145" s="1">
        <f>IF(E145 + K144 &lt; 0, E145 + K144, 0)</f>
        <v>0</v>
      </c>
      <c r="L145" s="1">
        <f>IF(F145 + L144 &lt; 0, F145 + L144, 0)</f>
        <v>0</v>
      </c>
      <c r="M145" s="1">
        <f>IF(G145 + M144 &lt; 0, G145 + M144, 0)</f>
        <v>0</v>
      </c>
      <c r="N145" s="1">
        <f>IF(H145 + N144 &lt; 0, H145 + N144, 0)</f>
        <v>0</v>
      </c>
      <c r="O145" s="1">
        <f>IF(N145 &lt; 0, 1 + O144, 0)</f>
        <v>0</v>
      </c>
      <c r="P145" s="1">
        <f>C145-((ABS(SUM(PL!H145:J145)))*0.125)</f>
        <v>0</v>
      </c>
      <c r="Q145" s="1">
        <f>D145-((ABS(SUM(PL!K145:M145)))*0.125)</f>
        <v>0</v>
      </c>
      <c r="R145" s="1">
        <f>E145-((ABS(SUM(PL!N145:P145)))*0.125)</f>
        <v>0</v>
      </c>
      <c r="S145" s="1">
        <f>F145-((ABS(SUM(PL!Q145:S145)))*0.125)</f>
        <v>0</v>
      </c>
      <c r="T145" s="1">
        <f>G145-((ABS(SUM(PL!T145:V145)))*0.125)</f>
        <v>0</v>
      </c>
      <c r="U145" s="1">
        <f>P145 + Q145 + R145 + S145 + T145</f>
        <v>0</v>
      </c>
      <c r="V145" s="1">
        <f>IF(P145 + V144 &lt; 0, P145 + V144, 0)</f>
        <v>0</v>
      </c>
      <c r="W145" s="1">
        <f>IF(Q145 + W144 &lt; 0, Q145 + W144, 0)</f>
        <v>0</v>
      </c>
      <c r="X145" s="1">
        <f>IF(R145 + X144 &lt; 0, R145 + X144, 0)</f>
        <v>0</v>
      </c>
      <c r="Y145" s="1">
        <f>IF(S145 + Y144 &lt; 0, S145 + Y144, 0)</f>
        <v>0</v>
      </c>
      <c r="Z145" s="1">
        <f>IF(T145 + Z144 &lt; 0, T145 + Z144, 0)</f>
        <v>0</v>
      </c>
      <c r="AA145" s="1">
        <f>IF(U145 + AA144 &lt; 0, U145 + AA144, 0)</f>
        <v>0</v>
      </c>
      <c r="AB145" s="1">
        <f>IF(AA145 &lt; 0, 1 + AB144, 0)</f>
        <v>0</v>
      </c>
      <c r="AC145" s="1">
        <f>IF(H145&lt;0,1,0)</f>
        <v>0</v>
      </c>
      <c r="AD145" s="1">
        <f>IF(AC145=1,H145,0)</f>
        <v>0</v>
      </c>
      <c r="AE145" s="1">
        <f>IF(H145&gt;0,1,0)</f>
        <v>0</v>
      </c>
      <c r="AF145" s="1">
        <f>IF(AE145=1,H145,0)</f>
        <v>0</v>
      </c>
      <c r="AG145" s="1">
        <f>IF(AD145&lt;-20000000.0/100,1,0)</f>
        <v>0</v>
      </c>
      <c r="AH145" s="1">
        <f>IF(AF145&gt;20000000.0/100,1,0)</f>
        <v>0</v>
      </c>
      <c r="AI145" s="1">
        <f>IF(U145&lt;0,1,0)</f>
        <v>0</v>
      </c>
      <c r="AJ145" s="1">
        <f>IF(AI145=1,U145,0)</f>
        <v>0</v>
      </c>
      <c r="AK145" s="1">
        <f>IF(U145&gt;0,1,0)</f>
        <v>0</v>
      </c>
      <c r="AL145" s="1">
        <f>IF(AK145=1,U145,0)</f>
        <v>0</v>
      </c>
      <c r="AM145" s="1">
        <f>IF(AJ145&lt;-20000000.0/100,1,0)</f>
        <v>0</v>
      </c>
      <c r="AN145" s="1">
        <f>IF(AL145&gt;20000000.0/100,1,0)</f>
        <v>0</v>
      </c>
    </row>
    <row r="146" spans="1:40" s="1" customFormat="1">
      <c r="A146" s="3">
        <v>45506</v>
      </c>
      <c r="B146" s="2" t="s">
        <v>26</v>
      </c>
      <c r="C146" s="1">
        <f>SUM(PL!H146:J146)</f>
        <v>0</v>
      </c>
      <c r="D146" s="1">
        <f>SUM(PL!K146:M146)</f>
        <v>0</v>
      </c>
      <c r="E146" s="1">
        <f>SUM(PL!N146:P146)</f>
        <v>0</v>
      </c>
      <c r="F146" s="1">
        <f>SUM(PL!Q146:S146)</f>
        <v>0</v>
      </c>
      <c r="G146" s="1">
        <f>SUM(PL!T146:V146)</f>
        <v>0</v>
      </c>
      <c r="H146" s="1">
        <f>SUM(C146:G146)</f>
        <v>0</v>
      </c>
      <c r="I146" s="1">
        <f>IF(C146 + I145 &lt; 0, C146 + I145, 0)</f>
        <v>0</v>
      </c>
      <c r="J146" s="1">
        <f>IF(D146 + J145 &lt; 0, D146 + J145, 0)</f>
        <v>0</v>
      </c>
      <c r="K146" s="1">
        <f>IF(E146 + K145 &lt; 0, E146 + K145, 0)</f>
        <v>0</v>
      </c>
      <c r="L146" s="1">
        <f>IF(F146 + L145 &lt; 0, F146 + L145, 0)</f>
        <v>0</v>
      </c>
      <c r="M146" s="1">
        <f>IF(G146 + M145 &lt; 0, G146 + M145, 0)</f>
        <v>0</v>
      </c>
      <c r="N146" s="1">
        <f>IF(H146 + N145 &lt; 0, H146 + N145, 0)</f>
        <v>0</v>
      </c>
      <c r="O146" s="1">
        <f>IF(N146 &lt; 0, 1 + O145, 0)</f>
        <v>0</v>
      </c>
      <c r="P146" s="1">
        <f>C146-((ABS(SUM(PL!H146:J146)))*0.125)</f>
        <v>0</v>
      </c>
      <c r="Q146" s="1">
        <f>D146-((ABS(SUM(PL!K146:M146)))*0.125)</f>
        <v>0</v>
      </c>
      <c r="R146" s="1">
        <f>E146-((ABS(SUM(PL!N146:P146)))*0.125)</f>
        <v>0</v>
      </c>
      <c r="S146" s="1">
        <f>F146-((ABS(SUM(PL!Q146:S146)))*0.125)</f>
        <v>0</v>
      </c>
      <c r="T146" s="1">
        <f>G146-((ABS(SUM(PL!T146:V146)))*0.125)</f>
        <v>0</v>
      </c>
      <c r="U146" s="1">
        <f>P146 + Q146 + R146 + S146 + T146</f>
        <v>0</v>
      </c>
      <c r="V146" s="1">
        <f>IF(P146 + V145 &lt; 0, P146 + V145, 0)</f>
        <v>0</v>
      </c>
      <c r="W146" s="1">
        <f>IF(Q146 + W145 &lt; 0, Q146 + W145, 0)</f>
        <v>0</v>
      </c>
      <c r="X146" s="1">
        <f>IF(R146 + X145 &lt; 0, R146 + X145, 0)</f>
        <v>0</v>
      </c>
      <c r="Y146" s="1">
        <f>IF(S146 + Y145 &lt; 0, S146 + Y145, 0)</f>
        <v>0</v>
      </c>
      <c r="Z146" s="1">
        <f>IF(T146 + Z145 &lt; 0, T146 + Z145, 0)</f>
        <v>0</v>
      </c>
      <c r="AA146" s="1">
        <f>IF(U146 + AA145 &lt; 0, U146 + AA145, 0)</f>
        <v>0</v>
      </c>
      <c r="AB146" s="1">
        <f>IF(AA146 &lt; 0, 1 + AB145, 0)</f>
        <v>0</v>
      </c>
      <c r="AC146" s="1">
        <f>IF(H146&lt;0,1,0)</f>
        <v>0</v>
      </c>
      <c r="AD146" s="1">
        <f>IF(AC146=1,H146,0)</f>
        <v>0</v>
      </c>
      <c r="AE146" s="1">
        <f>IF(H146&gt;0,1,0)</f>
        <v>0</v>
      </c>
      <c r="AF146" s="1">
        <f>IF(AE146=1,H146,0)</f>
        <v>0</v>
      </c>
      <c r="AG146" s="1">
        <f>IF(AD146&lt;-20000000.0/100,1,0)</f>
        <v>0</v>
      </c>
      <c r="AH146" s="1">
        <f>IF(AF146&gt;20000000.0/100,1,0)</f>
        <v>0</v>
      </c>
      <c r="AI146" s="1">
        <f>IF(U146&lt;0,1,0)</f>
        <v>0</v>
      </c>
      <c r="AJ146" s="1">
        <f>IF(AI146=1,U146,0)</f>
        <v>0</v>
      </c>
      <c r="AK146" s="1">
        <f>IF(U146&gt;0,1,0)</f>
        <v>0</v>
      </c>
      <c r="AL146" s="1">
        <f>IF(AK146=1,U146,0)</f>
        <v>0</v>
      </c>
      <c r="AM146" s="1">
        <f>IF(AJ146&lt;-20000000.0/100,1,0)</f>
        <v>0</v>
      </c>
      <c r="AN146" s="1">
        <f>IF(AL146&gt;20000000.0/100,1,0)</f>
        <v>0</v>
      </c>
    </row>
    <row r="147" spans="1:40" s="1" customFormat="1">
      <c r="A147" s="3">
        <v>45509</v>
      </c>
      <c r="B147" s="2" t="s">
        <v>22</v>
      </c>
      <c r="C147" s="1">
        <f>SUM(PL!H147:J147)</f>
        <v>0</v>
      </c>
      <c r="D147" s="1">
        <f>SUM(PL!K147:M147)</f>
        <v>0</v>
      </c>
      <c r="E147" s="1">
        <f>SUM(PL!N147:P147)</f>
        <v>0</v>
      </c>
      <c r="F147" s="1">
        <f>SUM(PL!Q147:S147)</f>
        <v>0</v>
      </c>
      <c r="G147" s="1">
        <f>SUM(PL!T147:V147)</f>
        <v>0</v>
      </c>
      <c r="H147" s="1">
        <f>SUM(C147:G147)</f>
        <v>0</v>
      </c>
      <c r="I147" s="1">
        <f>IF(C147 + I146 &lt; 0, C147 + I146, 0)</f>
        <v>0</v>
      </c>
      <c r="J147" s="1">
        <f>IF(D147 + J146 &lt; 0, D147 + J146, 0)</f>
        <v>0</v>
      </c>
      <c r="K147" s="1">
        <f>IF(E147 + K146 &lt; 0, E147 + K146, 0)</f>
        <v>0</v>
      </c>
      <c r="L147" s="1">
        <f>IF(F147 + L146 &lt; 0, F147 + L146, 0)</f>
        <v>0</v>
      </c>
      <c r="M147" s="1">
        <f>IF(G147 + M146 &lt; 0, G147 + M146, 0)</f>
        <v>0</v>
      </c>
      <c r="N147" s="1">
        <f>IF(H147 + N146 &lt; 0, H147 + N146, 0)</f>
        <v>0</v>
      </c>
      <c r="O147" s="1">
        <f>IF(N147 &lt; 0, 1 + O146, 0)</f>
        <v>0</v>
      </c>
      <c r="P147" s="1">
        <f>C147-((ABS(SUM(PL!H147:J147)))*0.125)</f>
        <v>0</v>
      </c>
      <c r="Q147" s="1">
        <f>D147-((ABS(SUM(PL!K147:M147)))*0.125)</f>
        <v>0</v>
      </c>
      <c r="R147" s="1">
        <f>E147-((ABS(SUM(PL!N147:P147)))*0.125)</f>
        <v>0</v>
      </c>
      <c r="S147" s="1">
        <f>F147-((ABS(SUM(PL!Q147:S147)))*0.125)</f>
        <v>0</v>
      </c>
      <c r="T147" s="1">
        <f>G147-((ABS(SUM(PL!T147:V147)))*0.125)</f>
        <v>0</v>
      </c>
      <c r="U147" s="1">
        <f>P147 + Q147 + R147 + S147 + T147</f>
        <v>0</v>
      </c>
      <c r="V147" s="1">
        <f>IF(P147 + V146 &lt; 0, P147 + V146, 0)</f>
        <v>0</v>
      </c>
      <c r="W147" s="1">
        <f>IF(Q147 + W146 &lt; 0, Q147 + W146, 0)</f>
        <v>0</v>
      </c>
      <c r="X147" s="1">
        <f>IF(R147 + X146 &lt; 0, R147 + X146, 0)</f>
        <v>0</v>
      </c>
      <c r="Y147" s="1">
        <f>IF(S147 + Y146 &lt; 0, S147 + Y146, 0)</f>
        <v>0</v>
      </c>
      <c r="Z147" s="1">
        <f>IF(T147 + Z146 &lt; 0, T147 + Z146, 0)</f>
        <v>0</v>
      </c>
      <c r="AA147" s="1">
        <f>IF(U147 + AA146 &lt; 0, U147 + AA146, 0)</f>
        <v>0</v>
      </c>
      <c r="AB147" s="1">
        <f>IF(AA147 &lt; 0, 1 + AB146, 0)</f>
        <v>0</v>
      </c>
      <c r="AC147" s="1">
        <f>IF(H147&lt;0,1,0)</f>
        <v>0</v>
      </c>
      <c r="AD147" s="1">
        <f>IF(AC147=1,H147,0)</f>
        <v>0</v>
      </c>
      <c r="AE147" s="1">
        <f>IF(H147&gt;0,1,0)</f>
        <v>0</v>
      </c>
      <c r="AF147" s="1">
        <f>IF(AE147=1,H147,0)</f>
        <v>0</v>
      </c>
      <c r="AG147" s="1">
        <f>IF(AD147&lt;-20000000.0/100,1,0)</f>
        <v>0</v>
      </c>
      <c r="AH147" s="1">
        <f>IF(AF147&gt;20000000.0/100,1,0)</f>
        <v>0</v>
      </c>
      <c r="AI147" s="1">
        <f>IF(U147&lt;0,1,0)</f>
        <v>0</v>
      </c>
      <c r="AJ147" s="1">
        <f>IF(AI147=1,U147,0)</f>
        <v>0</v>
      </c>
      <c r="AK147" s="1">
        <f>IF(U147&gt;0,1,0)</f>
        <v>0</v>
      </c>
      <c r="AL147" s="1">
        <f>IF(AK147=1,U147,0)</f>
        <v>0</v>
      </c>
      <c r="AM147" s="1">
        <f>IF(AJ147&lt;-20000000.0/100,1,0)</f>
        <v>0</v>
      </c>
      <c r="AN147" s="1">
        <f>IF(AL147&gt;20000000.0/100,1,0)</f>
        <v>0</v>
      </c>
    </row>
    <row r="148" spans="1:40" s="1" customFormat="1">
      <c r="A148" s="3">
        <v>45510</v>
      </c>
      <c r="B148" s="2" t="s">
        <v>23</v>
      </c>
      <c r="C148" s="1">
        <f>SUM(PL!H148:J148)</f>
        <v>0</v>
      </c>
      <c r="D148" s="1">
        <f>SUM(PL!K148:M148)</f>
        <v>0</v>
      </c>
      <c r="E148" s="1">
        <f>SUM(PL!N148:P148)</f>
        <v>0</v>
      </c>
      <c r="F148" s="1">
        <f>SUM(PL!Q148:S148)</f>
        <v>0</v>
      </c>
      <c r="G148" s="1">
        <f>SUM(PL!T148:V148)</f>
        <v>0</v>
      </c>
      <c r="H148" s="1">
        <f>SUM(C148:G148)</f>
        <v>0</v>
      </c>
      <c r="I148" s="1">
        <f>IF(C148 + I147 &lt; 0, C148 + I147, 0)</f>
        <v>0</v>
      </c>
      <c r="J148" s="1">
        <f>IF(D148 + J147 &lt; 0, D148 + J147, 0)</f>
        <v>0</v>
      </c>
      <c r="K148" s="1">
        <f>IF(E148 + K147 &lt; 0, E148 + K147, 0)</f>
        <v>0</v>
      </c>
      <c r="L148" s="1">
        <f>IF(F148 + L147 &lt; 0, F148 + L147, 0)</f>
        <v>0</v>
      </c>
      <c r="M148" s="1">
        <f>IF(G148 + M147 &lt; 0, G148 + M147, 0)</f>
        <v>0</v>
      </c>
      <c r="N148" s="1">
        <f>IF(H148 + N147 &lt; 0, H148 + N147, 0)</f>
        <v>0</v>
      </c>
      <c r="O148" s="1">
        <f>IF(N148 &lt; 0, 1 + O147, 0)</f>
        <v>0</v>
      </c>
      <c r="P148" s="1">
        <f>C148-((ABS(SUM(PL!H148:J148)))*0.125)</f>
        <v>0</v>
      </c>
      <c r="Q148" s="1">
        <f>D148-((ABS(SUM(PL!K148:M148)))*0.125)</f>
        <v>0</v>
      </c>
      <c r="R148" s="1">
        <f>E148-((ABS(SUM(PL!N148:P148)))*0.125)</f>
        <v>0</v>
      </c>
      <c r="S148" s="1">
        <f>F148-((ABS(SUM(PL!Q148:S148)))*0.125)</f>
        <v>0</v>
      </c>
      <c r="T148" s="1">
        <f>G148-((ABS(SUM(PL!T148:V148)))*0.125)</f>
        <v>0</v>
      </c>
      <c r="U148" s="1">
        <f>P148 + Q148 + R148 + S148 + T148</f>
        <v>0</v>
      </c>
      <c r="V148" s="1">
        <f>IF(P148 + V147 &lt; 0, P148 + V147, 0)</f>
        <v>0</v>
      </c>
      <c r="W148" s="1">
        <f>IF(Q148 + W147 &lt; 0, Q148 + W147, 0)</f>
        <v>0</v>
      </c>
      <c r="X148" s="1">
        <f>IF(R148 + X147 &lt; 0, R148 + X147, 0)</f>
        <v>0</v>
      </c>
      <c r="Y148" s="1">
        <f>IF(S148 + Y147 &lt; 0, S148 + Y147, 0)</f>
        <v>0</v>
      </c>
      <c r="Z148" s="1">
        <f>IF(T148 + Z147 &lt; 0, T148 + Z147, 0)</f>
        <v>0</v>
      </c>
      <c r="AA148" s="1">
        <f>IF(U148 + AA147 &lt; 0, U148 + AA147, 0)</f>
        <v>0</v>
      </c>
      <c r="AB148" s="1">
        <f>IF(AA148 &lt; 0, 1 + AB147, 0)</f>
        <v>0</v>
      </c>
      <c r="AC148" s="1">
        <f>IF(H148&lt;0,1,0)</f>
        <v>0</v>
      </c>
      <c r="AD148" s="1">
        <f>IF(AC148=1,H148,0)</f>
        <v>0</v>
      </c>
      <c r="AE148" s="1">
        <f>IF(H148&gt;0,1,0)</f>
        <v>0</v>
      </c>
      <c r="AF148" s="1">
        <f>IF(AE148=1,H148,0)</f>
        <v>0</v>
      </c>
      <c r="AG148" s="1">
        <f>IF(AD148&lt;-20000000.0/100,1,0)</f>
        <v>0</v>
      </c>
      <c r="AH148" s="1">
        <f>IF(AF148&gt;20000000.0/100,1,0)</f>
        <v>0</v>
      </c>
      <c r="AI148" s="1">
        <f>IF(U148&lt;0,1,0)</f>
        <v>0</v>
      </c>
      <c r="AJ148" s="1">
        <f>IF(AI148=1,U148,0)</f>
        <v>0</v>
      </c>
      <c r="AK148" s="1">
        <f>IF(U148&gt;0,1,0)</f>
        <v>0</v>
      </c>
      <c r="AL148" s="1">
        <f>IF(AK148=1,U148,0)</f>
        <v>0</v>
      </c>
      <c r="AM148" s="1">
        <f>IF(AJ148&lt;-20000000.0/100,1,0)</f>
        <v>0</v>
      </c>
      <c r="AN148" s="1">
        <f>IF(AL148&gt;20000000.0/100,1,0)</f>
        <v>0</v>
      </c>
    </row>
    <row r="149" spans="1:40" s="1" customFormat="1">
      <c r="A149" s="3">
        <v>45511</v>
      </c>
      <c r="B149" s="2" t="s">
        <v>24</v>
      </c>
      <c r="C149" s="1">
        <f>SUM(PL!H149:J149)</f>
        <v>0</v>
      </c>
      <c r="D149" s="1">
        <f>SUM(PL!K149:M149)</f>
        <v>0</v>
      </c>
      <c r="E149" s="1">
        <f>SUM(PL!N149:P149)</f>
        <v>0</v>
      </c>
      <c r="F149" s="1">
        <f>SUM(PL!Q149:S149)</f>
        <v>0</v>
      </c>
      <c r="G149" s="1">
        <f>SUM(PL!T149:V149)</f>
        <v>0</v>
      </c>
      <c r="H149" s="1">
        <f>SUM(C149:G149)</f>
        <v>0</v>
      </c>
      <c r="I149" s="1">
        <f>IF(C149 + I148 &lt; 0, C149 + I148, 0)</f>
        <v>0</v>
      </c>
      <c r="J149" s="1">
        <f>IF(D149 + J148 &lt; 0, D149 + J148, 0)</f>
        <v>0</v>
      </c>
      <c r="K149" s="1">
        <f>IF(E149 + K148 &lt; 0, E149 + K148, 0)</f>
        <v>0</v>
      </c>
      <c r="L149" s="1">
        <f>IF(F149 + L148 &lt; 0, F149 + L148, 0)</f>
        <v>0</v>
      </c>
      <c r="M149" s="1">
        <f>IF(G149 + M148 &lt; 0, G149 + M148, 0)</f>
        <v>0</v>
      </c>
      <c r="N149" s="1">
        <f>IF(H149 + N148 &lt; 0, H149 + N148, 0)</f>
        <v>0</v>
      </c>
      <c r="O149" s="1">
        <f>IF(N149 &lt; 0, 1 + O148, 0)</f>
        <v>0</v>
      </c>
      <c r="P149" s="1">
        <f>C149-((ABS(SUM(PL!H149:J149)))*0.125)</f>
        <v>0</v>
      </c>
      <c r="Q149" s="1">
        <f>D149-((ABS(SUM(PL!K149:M149)))*0.125)</f>
        <v>0</v>
      </c>
      <c r="R149" s="1">
        <f>E149-((ABS(SUM(PL!N149:P149)))*0.125)</f>
        <v>0</v>
      </c>
      <c r="S149" s="1">
        <f>F149-((ABS(SUM(PL!Q149:S149)))*0.125)</f>
        <v>0</v>
      </c>
      <c r="T149" s="1">
        <f>G149-((ABS(SUM(PL!T149:V149)))*0.125)</f>
        <v>0</v>
      </c>
      <c r="U149" s="1">
        <f>P149 + Q149 + R149 + S149 + T149</f>
        <v>0</v>
      </c>
      <c r="V149" s="1">
        <f>IF(P149 + V148 &lt; 0, P149 + V148, 0)</f>
        <v>0</v>
      </c>
      <c r="W149" s="1">
        <f>IF(Q149 + W148 &lt; 0, Q149 + W148, 0)</f>
        <v>0</v>
      </c>
      <c r="X149" s="1">
        <f>IF(R149 + X148 &lt; 0, R149 + X148, 0)</f>
        <v>0</v>
      </c>
      <c r="Y149" s="1">
        <f>IF(S149 + Y148 &lt; 0, S149 + Y148, 0)</f>
        <v>0</v>
      </c>
      <c r="Z149" s="1">
        <f>IF(T149 + Z148 &lt; 0, T149 + Z148, 0)</f>
        <v>0</v>
      </c>
      <c r="AA149" s="1">
        <f>IF(U149 + AA148 &lt; 0, U149 + AA148, 0)</f>
        <v>0</v>
      </c>
      <c r="AB149" s="1">
        <f>IF(AA149 &lt; 0, 1 + AB148, 0)</f>
        <v>0</v>
      </c>
      <c r="AC149" s="1">
        <f>IF(H149&lt;0,1,0)</f>
        <v>0</v>
      </c>
      <c r="AD149" s="1">
        <f>IF(AC149=1,H149,0)</f>
        <v>0</v>
      </c>
      <c r="AE149" s="1">
        <f>IF(H149&gt;0,1,0)</f>
        <v>0</v>
      </c>
      <c r="AF149" s="1">
        <f>IF(AE149=1,H149,0)</f>
        <v>0</v>
      </c>
      <c r="AG149" s="1">
        <f>IF(AD149&lt;-20000000.0/100,1,0)</f>
        <v>0</v>
      </c>
      <c r="AH149" s="1">
        <f>IF(AF149&gt;20000000.0/100,1,0)</f>
        <v>0</v>
      </c>
      <c r="AI149" s="1">
        <f>IF(U149&lt;0,1,0)</f>
        <v>0</v>
      </c>
      <c r="AJ149" s="1">
        <f>IF(AI149=1,U149,0)</f>
        <v>0</v>
      </c>
      <c r="AK149" s="1">
        <f>IF(U149&gt;0,1,0)</f>
        <v>0</v>
      </c>
      <c r="AL149" s="1">
        <f>IF(AK149=1,U149,0)</f>
        <v>0</v>
      </c>
      <c r="AM149" s="1">
        <f>IF(AJ149&lt;-20000000.0/100,1,0)</f>
        <v>0</v>
      </c>
      <c r="AN149" s="1">
        <f>IF(AL149&gt;20000000.0/100,1,0)</f>
        <v>0</v>
      </c>
    </row>
    <row r="150" spans="1:40" s="1" customFormat="1">
      <c r="A150" s="3">
        <v>45512</v>
      </c>
      <c r="B150" s="2" t="s">
        <v>25</v>
      </c>
      <c r="C150" s="1">
        <f>SUM(PL!H150:J150)</f>
        <v>0</v>
      </c>
      <c r="D150" s="1">
        <f>SUM(PL!K150:M150)</f>
        <v>0</v>
      </c>
      <c r="E150" s="1">
        <f>SUM(PL!N150:P150)</f>
        <v>0</v>
      </c>
      <c r="F150" s="1">
        <f>SUM(PL!Q150:S150)</f>
        <v>0</v>
      </c>
      <c r="G150" s="1">
        <f>SUM(PL!T150:V150)</f>
        <v>0</v>
      </c>
      <c r="H150" s="1">
        <f>SUM(C150:G150)</f>
        <v>0</v>
      </c>
      <c r="I150" s="1">
        <f>IF(C150 + I149 &lt; 0, C150 + I149, 0)</f>
        <v>0</v>
      </c>
      <c r="J150" s="1">
        <f>IF(D150 + J149 &lt; 0, D150 + J149, 0)</f>
        <v>0</v>
      </c>
      <c r="K150" s="1">
        <f>IF(E150 + K149 &lt; 0, E150 + K149, 0)</f>
        <v>0</v>
      </c>
      <c r="L150" s="1">
        <f>IF(F150 + L149 &lt; 0, F150 + L149, 0)</f>
        <v>0</v>
      </c>
      <c r="M150" s="1">
        <f>IF(G150 + M149 &lt; 0, G150 + M149, 0)</f>
        <v>0</v>
      </c>
      <c r="N150" s="1">
        <f>IF(H150 + N149 &lt; 0, H150 + N149, 0)</f>
        <v>0</v>
      </c>
      <c r="O150" s="1">
        <f>IF(N150 &lt; 0, 1 + O149, 0)</f>
        <v>0</v>
      </c>
      <c r="P150" s="1">
        <f>C150-((ABS(SUM(PL!H150:J150)))*0.125)</f>
        <v>0</v>
      </c>
      <c r="Q150" s="1">
        <f>D150-((ABS(SUM(PL!K150:M150)))*0.125)</f>
        <v>0</v>
      </c>
      <c r="R150" s="1">
        <f>E150-((ABS(SUM(PL!N150:P150)))*0.125)</f>
        <v>0</v>
      </c>
      <c r="S150" s="1">
        <f>F150-((ABS(SUM(PL!Q150:S150)))*0.125)</f>
        <v>0</v>
      </c>
      <c r="T150" s="1">
        <f>G150-((ABS(SUM(PL!T150:V150)))*0.125)</f>
        <v>0</v>
      </c>
      <c r="U150" s="1">
        <f>P150 + Q150 + R150 + S150 + T150</f>
        <v>0</v>
      </c>
      <c r="V150" s="1">
        <f>IF(P150 + V149 &lt; 0, P150 + V149, 0)</f>
        <v>0</v>
      </c>
      <c r="W150" s="1">
        <f>IF(Q150 + W149 &lt; 0, Q150 + W149, 0)</f>
        <v>0</v>
      </c>
      <c r="X150" s="1">
        <f>IF(R150 + X149 &lt; 0, R150 + X149, 0)</f>
        <v>0</v>
      </c>
      <c r="Y150" s="1">
        <f>IF(S150 + Y149 &lt; 0, S150 + Y149, 0)</f>
        <v>0</v>
      </c>
      <c r="Z150" s="1">
        <f>IF(T150 + Z149 &lt; 0, T150 + Z149, 0)</f>
        <v>0</v>
      </c>
      <c r="AA150" s="1">
        <f>IF(U150 + AA149 &lt; 0, U150 + AA149, 0)</f>
        <v>0</v>
      </c>
      <c r="AB150" s="1">
        <f>IF(AA150 &lt; 0, 1 + AB149, 0)</f>
        <v>0</v>
      </c>
      <c r="AC150" s="1">
        <f>IF(H150&lt;0,1,0)</f>
        <v>0</v>
      </c>
      <c r="AD150" s="1">
        <f>IF(AC150=1,H150,0)</f>
        <v>0</v>
      </c>
      <c r="AE150" s="1">
        <f>IF(H150&gt;0,1,0)</f>
        <v>0</v>
      </c>
      <c r="AF150" s="1">
        <f>IF(AE150=1,H150,0)</f>
        <v>0</v>
      </c>
      <c r="AG150" s="1">
        <f>IF(AD150&lt;-20000000.0/100,1,0)</f>
        <v>0</v>
      </c>
      <c r="AH150" s="1">
        <f>IF(AF150&gt;20000000.0/100,1,0)</f>
        <v>0</v>
      </c>
      <c r="AI150" s="1">
        <f>IF(U150&lt;0,1,0)</f>
        <v>0</v>
      </c>
      <c r="AJ150" s="1">
        <f>IF(AI150=1,U150,0)</f>
        <v>0</v>
      </c>
      <c r="AK150" s="1">
        <f>IF(U150&gt;0,1,0)</f>
        <v>0</v>
      </c>
      <c r="AL150" s="1">
        <f>IF(AK150=1,U150,0)</f>
        <v>0</v>
      </c>
      <c r="AM150" s="1">
        <f>IF(AJ150&lt;-20000000.0/100,1,0)</f>
        <v>0</v>
      </c>
      <c r="AN150" s="1">
        <f>IF(AL150&gt;20000000.0/100,1,0)</f>
        <v>0</v>
      </c>
    </row>
    <row r="151" spans="1:40" s="1" customFormat="1">
      <c r="A151" s="3">
        <v>45513</v>
      </c>
      <c r="B151" s="2" t="s">
        <v>26</v>
      </c>
      <c r="C151" s="1">
        <f>SUM(PL!H151:J151)</f>
        <v>0</v>
      </c>
      <c r="D151" s="1">
        <f>SUM(PL!K151:M151)</f>
        <v>0</v>
      </c>
      <c r="E151" s="1">
        <f>SUM(PL!N151:P151)</f>
        <v>0</v>
      </c>
      <c r="F151" s="1">
        <f>SUM(PL!Q151:S151)</f>
        <v>0</v>
      </c>
      <c r="G151" s="1">
        <f>SUM(PL!T151:V151)</f>
        <v>0</v>
      </c>
      <c r="H151" s="1">
        <f>SUM(C151:G151)</f>
        <v>0</v>
      </c>
      <c r="I151" s="1">
        <f>IF(C151 + I150 &lt; 0, C151 + I150, 0)</f>
        <v>0</v>
      </c>
      <c r="J151" s="1">
        <f>IF(D151 + J150 &lt; 0, D151 + J150, 0)</f>
        <v>0</v>
      </c>
      <c r="K151" s="1">
        <f>IF(E151 + K150 &lt; 0, E151 + K150, 0)</f>
        <v>0</v>
      </c>
      <c r="L151" s="1">
        <f>IF(F151 + L150 &lt; 0, F151 + L150, 0)</f>
        <v>0</v>
      </c>
      <c r="M151" s="1">
        <f>IF(G151 + M150 &lt; 0, G151 + M150, 0)</f>
        <v>0</v>
      </c>
      <c r="N151" s="1">
        <f>IF(H151 + N150 &lt; 0, H151 + N150, 0)</f>
        <v>0</v>
      </c>
      <c r="O151" s="1">
        <f>IF(N151 &lt; 0, 1 + O150, 0)</f>
        <v>0</v>
      </c>
      <c r="P151" s="1">
        <f>C151-((ABS(SUM(PL!H151:J151)))*0.125)</f>
        <v>0</v>
      </c>
      <c r="Q151" s="1">
        <f>D151-((ABS(SUM(PL!K151:M151)))*0.125)</f>
        <v>0</v>
      </c>
      <c r="R151" s="1">
        <f>E151-((ABS(SUM(PL!N151:P151)))*0.125)</f>
        <v>0</v>
      </c>
      <c r="S151" s="1">
        <f>F151-((ABS(SUM(PL!Q151:S151)))*0.125)</f>
        <v>0</v>
      </c>
      <c r="T151" s="1">
        <f>G151-((ABS(SUM(PL!T151:V151)))*0.125)</f>
        <v>0</v>
      </c>
      <c r="U151" s="1">
        <f>P151 + Q151 + R151 + S151 + T151</f>
        <v>0</v>
      </c>
      <c r="V151" s="1">
        <f>IF(P151 + V150 &lt; 0, P151 + V150, 0)</f>
        <v>0</v>
      </c>
      <c r="W151" s="1">
        <f>IF(Q151 + W150 &lt; 0, Q151 + W150, 0)</f>
        <v>0</v>
      </c>
      <c r="X151" s="1">
        <f>IF(R151 + X150 &lt; 0, R151 + X150, 0)</f>
        <v>0</v>
      </c>
      <c r="Y151" s="1">
        <f>IF(S151 + Y150 &lt; 0, S151 + Y150, 0)</f>
        <v>0</v>
      </c>
      <c r="Z151" s="1">
        <f>IF(T151 + Z150 &lt; 0, T151 + Z150, 0)</f>
        <v>0</v>
      </c>
      <c r="AA151" s="1">
        <f>IF(U151 + AA150 &lt; 0, U151 + AA150, 0)</f>
        <v>0</v>
      </c>
      <c r="AB151" s="1">
        <f>IF(AA151 &lt; 0, 1 + AB150, 0)</f>
        <v>0</v>
      </c>
      <c r="AC151" s="1">
        <f>IF(H151&lt;0,1,0)</f>
        <v>0</v>
      </c>
      <c r="AD151" s="1">
        <f>IF(AC151=1,H151,0)</f>
        <v>0</v>
      </c>
      <c r="AE151" s="1">
        <f>IF(H151&gt;0,1,0)</f>
        <v>0</v>
      </c>
      <c r="AF151" s="1">
        <f>IF(AE151=1,H151,0)</f>
        <v>0</v>
      </c>
      <c r="AG151" s="1">
        <f>IF(AD151&lt;-20000000.0/100,1,0)</f>
        <v>0</v>
      </c>
      <c r="AH151" s="1">
        <f>IF(AF151&gt;20000000.0/100,1,0)</f>
        <v>0</v>
      </c>
      <c r="AI151" s="1">
        <f>IF(U151&lt;0,1,0)</f>
        <v>0</v>
      </c>
      <c r="AJ151" s="1">
        <f>IF(AI151=1,U151,0)</f>
        <v>0</v>
      </c>
      <c r="AK151" s="1">
        <f>IF(U151&gt;0,1,0)</f>
        <v>0</v>
      </c>
      <c r="AL151" s="1">
        <f>IF(AK151=1,U151,0)</f>
        <v>0</v>
      </c>
      <c r="AM151" s="1">
        <f>IF(AJ151&lt;-20000000.0/100,1,0)</f>
        <v>0</v>
      </c>
      <c r="AN151" s="1">
        <f>IF(AL151&gt;20000000.0/100,1,0)</f>
        <v>0</v>
      </c>
    </row>
    <row r="152" spans="1:40" s="1" customFormat="1">
      <c r="A152" s="3">
        <v>45516</v>
      </c>
      <c r="B152" s="2" t="s">
        <v>22</v>
      </c>
      <c r="C152" s="1">
        <f>SUM(PL!H152:J152)</f>
        <v>0</v>
      </c>
      <c r="D152" s="1">
        <f>SUM(PL!K152:M152)</f>
        <v>0</v>
      </c>
      <c r="E152" s="1">
        <f>SUM(PL!N152:P152)</f>
        <v>0</v>
      </c>
      <c r="F152" s="1">
        <f>SUM(PL!Q152:S152)</f>
        <v>0</v>
      </c>
      <c r="G152" s="1">
        <f>SUM(PL!T152:V152)</f>
        <v>0</v>
      </c>
      <c r="H152" s="1">
        <f>SUM(C152:G152)</f>
        <v>0</v>
      </c>
      <c r="I152" s="1">
        <f>IF(C152 + I151 &lt; 0, C152 + I151, 0)</f>
        <v>0</v>
      </c>
      <c r="J152" s="1">
        <f>IF(D152 + J151 &lt; 0, D152 + J151, 0)</f>
        <v>0</v>
      </c>
      <c r="K152" s="1">
        <f>IF(E152 + K151 &lt; 0, E152 + K151, 0)</f>
        <v>0</v>
      </c>
      <c r="L152" s="1">
        <f>IF(F152 + L151 &lt; 0, F152 + L151, 0)</f>
        <v>0</v>
      </c>
      <c r="M152" s="1">
        <f>IF(G152 + M151 &lt; 0, G152 + M151, 0)</f>
        <v>0</v>
      </c>
      <c r="N152" s="1">
        <f>IF(H152 + N151 &lt; 0, H152 + N151, 0)</f>
        <v>0</v>
      </c>
      <c r="O152" s="1">
        <f>IF(N152 &lt; 0, 1 + O151, 0)</f>
        <v>0</v>
      </c>
      <c r="P152" s="1">
        <f>C152-((ABS(SUM(PL!H152:J152)))*0.125)</f>
        <v>0</v>
      </c>
      <c r="Q152" s="1">
        <f>D152-((ABS(SUM(PL!K152:M152)))*0.125)</f>
        <v>0</v>
      </c>
      <c r="R152" s="1">
        <f>E152-((ABS(SUM(PL!N152:P152)))*0.125)</f>
        <v>0</v>
      </c>
      <c r="S152" s="1">
        <f>F152-((ABS(SUM(PL!Q152:S152)))*0.125)</f>
        <v>0</v>
      </c>
      <c r="T152" s="1">
        <f>G152-((ABS(SUM(PL!T152:V152)))*0.125)</f>
        <v>0</v>
      </c>
      <c r="U152" s="1">
        <f>P152 + Q152 + R152 + S152 + T152</f>
        <v>0</v>
      </c>
      <c r="V152" s="1">
        <f>IF(P152 + V151 &lt; 0, P152 + V151, 0)</f>
        <v>0</v>
      </c>
      <c r="W152" s="1">
        <f>IF(Q152 + W151 &lt; 0, Q152 + W151, 0)</f>
        <v>0</v>
      </c>
      <c r="X152" s="1">
        <f>IF(R152 + X151 &lt; 0, R152 + X151, 0)</f>
        <v>0</v>
      </c>
      <c r="Y152" s="1">
        <f>IF(S152 + Y151 &lt; 0, S152 + Y151, 0)</f>
        <v>0</v>
      </c>
      <c r="Z152" s="1">
        <f>IF(T152 + Z151 &lt; 0, T152 + Z151, 0)</f>
        <v>0</v>
      </c>
      <c r="AA152" s="1">
        <f>IF(U152 + AA151 &lt; 0, U152 + AA151, 0)</f>
        <v>0</v>
      </c>
      <c r="AB152" s="1">
        <f>IF(AA152 &lt; 0, 1 + AB151, 0)</f>
        <v>0</v>
      </c>
      <c r="AC152" s="1">
        <f>IF(H152&lt;0,1,0)</f>
        <v>0</v>
      </c>
      <c r="AD152" s="1">
        <f>IF(AC152=1,H152,0)</f>
        <v>0</v>
      </c>
      <c r="AE152" s="1">
        <f>IF(H152&gt;0,1,0)</f>
        <v>0</v>
      </c>
      <c r="AF152" s="1">
        <f>IF(AE152=1,H152,0)</f>
        <v>0</v>
      </c>
      <c r="AG152" s="1">
        <f>IF(AD152&lt;-20000000.0/100,1,0)</f>
        <v>0</v>
      </c>
      <c r="AH152" s="1">
        <f>IF(AF152&gt;20000000.0/100,1,0)</f>
        <v>0</v>
      </c>
      <c r="AI152" s="1">
        <f>IF(U152&lt;0,1,0)</f>
        <v>0</v>
      </c>
      <c r="AJ152" s="1">
        <f>IF(AI152=1,U152,0)</f>
        <v>0</v>
      </c>
      <c r="AK152" s="1">
        <f>IF(U152&gt;0,1,0)</f>
        <v>0</v>
      </c>
      <c r="AL152" s="1">
        <f>IF(AK152=1,U152,0)</f>
        <v>0</v>
      </c>
      <c r="AM152" s="1">
        <f>IF(AJ152&lt;-20000000.0/100,1,0)</f>
        <v>0</v>
      </c>
      <c r="AN152" s="1">
        <f>IF(AL152&gt;20000000.0/100,1,0)</f>
        <v>0</v>
      </c>
    </row>
    <row r="153" spans="1:40" s="1" customFormat="1">
      <c r="A153" s="3">
        <v>45517</v>
      </c>
      <c r="B153" s="2" t="s">
        <v>23</v>
      </c>
      <c r="C153" s="1">
        <f>SUM(PL!H153:J153)</f>
        <v>0</v>
      </c>
      <c r="D153" s="1">
        <f>SUM(PL!K153:M153)</f>
        <v>0</v>
      </c>
      <c r="E153" s="1">
        <f>SUM(PL!N153:P153)</f>
        <v>0</v>
      </c>
      <c r="F153" s="1">
        <f>SUM(PL!Q153:S153)</f>
        <v>0</v>
      </c>
      <c r="G153" s="1">
        <f>SUM(PL!T153:V153)</f>
        <v>0</v>
      </c>
      <c r="H153" s="1">
        <f>SUM(C153:G153)</f>
        <v>0</v>
      </c>
      <c r="I153" s="1">
        <f>IF(C153 + I152 &lt; 0, C153 + I152, 0)</f>
        <v>0</v>
      </c>
      <c r="J153" s="1">
        <f>IF(D153 + J152 &lt; 0, D153 + J152, 0)</f>
        <v>0</v>
      </c>
      <c r="K153" s="1">
        <f>IF(E153 + K152 &lt; 0, E153 + K152, 0)</f>
        <v>0</v>
      </c>
      <c r="L153" s="1">
        <f>IF(F153 + L152 &lt; 0, F153 + L152, 0)</f>
        <v>0</v>
      </c>
      <c r="M153" s="1">
        <f>IF(G153 + M152 &lt; 0, G153 + M152, 0)</f>
        <v>0</v>
      </c>
      <c r="N153" s="1">
        <f>IF(H153 + N152 &lt; 0, H153 + N152, 0)</f>
        <v>0</v>
      </c>
      <c r="O153" s="1">
        <f>IF(N153 &lt; 0, 1 + O152, 0)</f>
        <v>0</v>
      </c>
      <c r="P153" s="1">
        <f>C153-((ABS(SUM(PL!H153:J153)))*0.125)</f>
        <v>0</v>
      </c>
      <c r="Q153" s="1">
        <f>D153-((ABS(SUM(PL!K153:M153)))*0.125)</f>
        <v>0</v>
      </c>
      <c r="R153" s="1">
        <f>E153-((ABS(SUM(PL!N153:P153)))*0.125)</f>
        <v>0</v>
      </c>
      <c r="S153" s="1">
        <f>F153-((ABS(SUM(PL!Q153:S153)))*0.125)</f>
        <v>0</v>
      </c>
      <c r="T153" s="1">
        <f>G153-((ABS(SUM(PL!T153:V153)))*0.125)</f>
        <v>0</v>
      </c>
      <c r="U153" s="1">
        <f>P153 + Q153 + R153 + S153 + T153</f>
        <v>0</v>
      </c>
      <c r="V153" s="1">
        <f>IF(P153 + V152 &lt; 0, P153 + V152, 0)</f>
        <v>0</v>
      </c>
      <c r="W153" s="1">
        <f>IF(Q153 + W152 &lt; 0, Q153 + W152, 0)</f>
        <v>0</v>
      </c>
      <c r="X153" s="1">
        <f>IF(R153 + X152 &lt; 0, R153 + X152, 0)</f>
        <v>0</v>
      </c>
      <c r="Y153" s="1">
        <f>IF(S153 + Y152 &lt; 0, S153 + Y152, 0)</f>
        <v>0</v>
      </c>
      <c r="Z153" s="1">
        <f>IF(T153 + Z152 &lt; 0, T153 + Z152, 0)</f>
        <v>0</v>
      </c>
      <c r="AA153" s="1">
        <f>IF(U153 + AA152 &lt; 0, U153 + AA152, 0)</f>
        <v>0</v>
      </c>
      <c r="AB153" s="1">
        <f>IF(AA153 &lt; 0, 1 + AB152, 0)</f>
        <v>0</v>
      </c>
      <c r="AC153" s="1">
        <f>IF(H153&lt;0,1,0)</f>
        <v>0</v>
      </c>
      <c r="AD153" s="1">
        <f>IF(AC153=1,H153,0)</f>
        <v>0</v>
      </c>
      <c r="AE153" s="1">
        <f>IF(H153&gt;0,1,0)</f>
        <v>0</v>
      </c>
      <c r="AF153" s="1">
        <f>IF(AE153=1,H153,0)</f>
        <v>0</v>
      </c>
      <c r="AG153" s="1">
        <f>IF(AD153&lt;-20000000.0/100,1,0)</f>
        <v>0</v>
      </c>
      <c r="AH153" s="1">
        <f>IF(AF153&gt;20000000.0/100,1,0)</f>
        <v>0</v>
      </c>
      <c r="AI153" s="1">
        <f>IF(U153&lt;0,1,0)</f>
        <v>0</v>
      </c>
      <c r="AJ153" s="1">
        <f>IF(AI153=1,U153,0)</f>
        <v>0</v>
      </c>
      <c r="AK153" s="1">
        <f>IF(U153&gt;0,1,0)</f>
        <v>0</v>
      </c>
      <c r="AL153" s="1">
        <f>IF(AK153=1,U153,0)</f>
        <v>0</v>
      </c>
      <c r="AM153" s="1">
        <f>IF(AJ153&lt;-20000000.0/100,1,0)</f>
        <v>0</v>
      </c>
      <c r="AN153" s="1">
        <f>IF(AL153&gt;20000000.0/100,1,0)</f>
        <v>0</v>
      </c>
    </row>
    <row r="154" spans="1:40" s="1" customFormat="1">
      <c r="A154" s="3">
        <v>45518</v>
      </c>
      <c r="B154" s="2" t="s">
        <v>24</v>
      </c>
      <c r="C154" s="1">
        <f>SUM(PL!H154:J154)</f>
        <v>0</v>
      </c>
      <c r="D154" s="1">
        <f>SUM(PL!K154:M154)</f>
        <v>0</v>
      </c>
      <c r="E154" s="1">
        <f>SUM(PL!N154:P154)</f>
        <v>0</v>
      </c>
      <c r="F154" s="1">
        <f>SUM(PL!Q154:S154)</f>
        <v>0</v>
      </c>
      <c r="G154" s="1">
        <f>SUM(PL!T154:V154)</f>
        <v>0</v>
      </c>
      <c r="H154" s="1">
        <f>SUM(C154:G154)</f>
        <v>0</v>
      </c>
      <c r="I154" s="1">
        <f>IF(C154 + I153 &lt; 0, C154 + I153, 0)</f>
        <v>0</v>
      </c>
      <c r="J154" s="1">
        <f>IF(D154 + J153 &lt; 0, D154 + J153, 0)</f>
        <v>0</v>
      </c>
      <c r="K154" s="1">
        <f>IF(E154 + K153 &lt; 0, E154 + K153, 0)</f>
        <v>0</v>
      </c>
      <c r="L154" s="1">
        <f>IF(F154 + L153 &lt; 0, F154 + L153, 0)</f>
        <v>0</v>
      </c>
      <c r="M154" s="1">
        <f>IF(G154 + M153 &lt; 0, G154 + M153, 0)</f>
        <v>0</v>
      </c>
      <c r="N154" s="1">
        <f>IF(H154 + N153 &lt; 0, H154 + N153, 0)</f>
        <v>0</v>
      </c>
      <c r="O154" s="1">
        <f>IF(N154 &lt; 0, 1 + O153, 0)</f>
        <v>0</v>
      </c>
      <c r="P154" s="1">
        <f>C154-((ABS(SUM(PL!H154:J154)))*0.125)</f>
        <v>0</v>
      </c>
      <c r="Q154" s="1">
        <f>D154-((ABS(SUM(PL!K154:M154)))*0.125)</f>
        <v>0</v>
      </c>
      <c r="R154" s="1">
        <f>E154-((ABS(SUM(PL!N154:P154)))*0.125)</f>
        <v>0</v>
      </c>
      <c r="S154" s="1">
        <f>F154-((ABS(SUM(PL!Q154:S154)))*0.125)</f>
        <v>0</v>
      </c>
      <c r="T154" s="1">
        <f>G154-((ABS(SUM(PL!T154:V154)))*0.125)</f>
        <v>0</v>
      </c>
      <c r="U154" s="1">
        <f>P154 + Q154 + R154 + S154 + T154</f>
        <v>0</v>
      </c>
      <c r="V154" s="1">
        <f>IF(P154 + V153 &lt; 0, P154 + V153, 0)</f>
        <v>0</v>
      </c>
      <c r="W154" s="1">
        <f>IF(Q154 + W153 &lt; 0, Q154 + W153, 0)</f>
        <v>0</v>
      </c>
      <c r="X154" s="1">
        <f>IF(R154 + X153 &lt; 0, R154 + X153, 0)</f>
        <v>0</v>
      </c>
      <c r="Y154" s="1">
        <f>IF(S154 + Y153 &lt; 0, S154 + Y153, 0)</f>
        <v>0</v>
      </c>
      <c r="Z154" s="1">
        <f>IF(T154 + Z153 &lt; 0, T154 + Z153, 0)</f>
        <v>0</v>
      </c>
      <c r="AA154" s="1">
        <f>IF(U154 + AA153 &lt; 0, U154 + AA153, 0)</f>
        <v>0</v>
      </c>
      <c r="AB154" s="1">
        <f>IF(AA154 &lt; 0, 1 + AB153, 0)</f>
        <v>0</v>
      </c>
      <c r="AC154" s="1">
        <f>IF(H154&lt;0,1,0)</f>
        <v>0</v>
      </c>
      <c r="AD154" s="1">
        <f>IF(AC154=1,H154,0)</f>
        <v>0</v>
      </c>
      <c r="AE154" s="1">
        <f>IF(H154&gt;0,1,0)</f>
        <v>0</v>
      </c>
      <c r="AF154" s="1">
        <f>IF(AE154=1,H154,0)</f>
        <v>0</v>
      </c>
      <c r="AG154" s="1">
        <f>IF(AD154&lt;-20000000.0/100,1,0)</f>
        <v>0</v>
      </c>
      <c r="AH154" s="1">
        <f>IF(AF154&gt;20000000.0/100,1,0)</f>
        <v>0</v>
      </c>
      <c r="AI154" s="1">
        <f>IF(U154&lt;0,1,0)</f>
        <v>0</v>
      </c>
      <c r="AJ154" s="1">
        <f>IF(AI154=1,U154,0)</f>
        <v>0</v>
      </c>
      <c r="AK154" s="1">
        <f>IF(U154&gt;0,1,0)</f>
        <v>0</v>
      </c>
      <c r="AL154" s="1">
        <f>IF(AK154=1,U154,0)</f>
        <v>0</v>
      </c>
      <c r="AM154" s="1">
        <f>IF(AJ154&lt;-20000000.0/100,1,0)</f>
        <v>0</v>
      </c>
      <c r="AN154" s="1">
        <f>IF(AL154&gt;20000000.0/100,1,0)</f>
        <v>0</v>
      </c>
    </row>
    <row r="155" spans="1:40" s="1" customFormat="1">
      <c r="A155" s="3">
        <v>45520</v>
      </c>
      <c r="B155" s="2" t="s">
        <v>26</v>
      </c>
      <c r="C155" s="1">
        <f>SUM(PL!H155:J155)</f>
        <v>0</v>
      </c>
      <c r="D155" s="1">
        <f>SUM(PL!K155:M155)</f>
        <v>0</v>
      </c>
      <c r="E155" s="1">
        <f>SUM(PL!N155:P155)</f>
        <v>0</v>
      </c>
      <c r="F155" s="1">
        <f>SUM(PL!Q155:S155)</f>
        <v>0</v>
      </c>
      <c r="G155" s="1">
        <f>SUM(PL!T155:V155)</f>
        <v>0</v>
      </c>
      <c r="H155" s="1">
        <f>SUM(C155:G155)</f>
        <v>0</v>
      </c>
      <c r="I155" s="1">
        <f>IF(C155 + I154 &lt; 0, C155 + I154, 0)</f>
        <v>0</v>
      </c>
      <c r="J155" s="1">
        <f>IF(D155 + J154 &lt; 0, D155 + J154, 0)</f>
        <v>0</v>
      </c>
      <c r="K155" s="1">
        <f>IF(E155 + K154 &lt; 0, E155 + K154, 0)</f>
        <v>0</v>
      </c>
      <c r="L155" s="1">
        <f>IF(F155 + L154 &lt; 0, F155 + L154, 0)</f>
        <v>0</v>
      </c>
      <c r="M155" s="1">
        <f>IF(G155 + M154 &lt; 0, G155 + M154, 0)</f>
        <v>0</v>
      </c>
      <c r="N155" s="1">
        <f>IF(H155 + N154 &lt; 0, H155 + N154, 0)</f>
        <v>0</v>
      </c>
      <c r="O155" s="1">
        <f>IF(N155 &lt; 0, 1 + O154, 0)</f>
        <v>0</v>
      </c>
      <c r="P155" s="1">
        <f>C155-((ABS(SUM(PL!H155:J155)))*0.125)</f>
        <v>0</v>
      </c>
      <c r="Q155" s="1">
        <f>D155-((ABS(SUM(PL!K155:M155)))*0.125)</f>
        <v>0</v>
      </c>
      <c r="R155" s="1">
        <f>E155-((ABS(SUM(PL!N155:P155)))*0.125)</f>
        <v>0</v>
      </c>
      <c r="S155" s="1">
        <f>F155-((ABS(SUM(PL!Q155:S155)))*0.125)</f>
        <v>0</v>
      </c>
      <c r="T155" s="1">
        <f>G155-((ABS(SUM(PL!T155:V155)))*0.125)</f>
        <v>0</v>
      </c>
      <c r="U155" s="1">
        <f>P155 + Q155 + R155 + S155 + T155</f>
        <v>0</v>
      </c>
      <c r="V155" s="1">
        <f>IF(P155 + V154 &lt; 0, P155 + V154, 0)</f>
        <v>0</v>
      </c>
      <c r="W155" s="1">
        <f>IF(Q155 + W154 &lt; 0, Q155 + W154, 0)</f>
        <v>0</v>
      </c>
      <c r="X155" s="1">
        <f>IF(R155 + X154 &lt; 0, R155 + X154, 0)</f>
        <v>0</v>
      </c>
      <c r="Y155" s="1">
        <f>IF(S155 + Y154 &lt; 0, S155 + Y154, 0)</f>
        <v>0</v>
      </c>
      <c r="Z155" s="1">
        <f>IF(T155 + Z154 &lt; 0, T155 + Z154, 0)</f>
        <v>0</v>
      </c>
      <c r="AA155" s="1">
        <f>IF(U155 + AA154 &lt; 0, U155 + AA154, 0)</f>
        <v>0</v>
      </c>
      <c r="AB155" s="1">
        <f>IF(AA155 &lt; 0, 1 + AB154, 0)</f>
        <v>0</v>
      </c>
      <c r="AC155" s="1">
        <f>IF(H155&lt;0,1,0)</f>
        <v>0</v>
      </c>
      <c r="AD155" s="1">
        <f>IF(AC155=1,H155,0)</f>
        <v>0</v>
      </c>
      <c r="AE155" s="1">
        <f>IF(H155&gt;0,1,0)</f>
        <v>0</v>
      </c>
      <c r="AF155" s="1">
        <f>IF(AE155=1,H155,0)</f>
        <v>0</v>
      </c>
      <c r="AG155" s="1">
        <f>IF(AD155&lt;-20000000.0/100,1,0)</f>
        <v>0</v>
      </c>
      <c r="AH155" s="1">
        <f>IF(AF155&gt;20000000.0/100,1,0)</f>
        <v>0</v>
      </c>
      <c r="AI155" s="1">
        <f>IF(U155&lt;0,1,0)</f>
        <v>0</v>
      </c>
      <c r="AJ155" s="1">
        <f>IF(AI155=1,U155,0)</f>
        <v>0</v>
      </c>
      <c r="AK155" s="1">
        <f>IF(U155&gt;0,1,0)</f>
        <v>0</v>
      </c>
      <c r="AL155" s="1">
        <f>IF(AK155=1,U155,0)</f>
        <v>0</v>
      </c>
      <c r="AM155" s="1">
        <f>IF(AJ155&lt;-20000000.0/100,1,0)</f>
        <v>0</v>
      </c>
      <c r="AN155" s="1">
        <f>IF(AL155&gt;20000000.0/100,1,0)</f>
        <v>0</v>
      </c>
    </row>
    <row r="156" spans="1:40" s="1" customFormat="1">
      <c r="A156" s="3">
        <v>45523</v>
      </c>
      <c r="B156" s="2" t="s">
        <v>22</v>
      </c>
      <c r="C156" s="1">
        <f>SUM(PL!H156:J156)</f>
        <v>0</v>
      </c>
      <c r="D156" s="1">
        <f>SUM(PL!K156:M156)</f>
        <v>0</v>
      </c>
      <c r="E156" s="1">
        <f>SUM(PL!N156:P156)</f>
        <v>0</v>
      </c>
      <c r="F156" s="1">
        <f>SUM(PL!Q156:S156)</f>
        <v>0</v>
      </c>
      <c r="G156" s="1">
        <f>SUM(PL!T156:V156)</f>
        <v>0</v>
      </c>
      <c r="H156" s="1">
        <f>SUM(C156:G156)</f>
        <v>0</v>
      </c>
      <c r="I156" s="1">
        <f>IF(C156 + I155 &lt; 0, C156 + I155, 0)</f>
        <v>0</v>
      </c>
      <c r="J156" s="1">
        <f>IF(D156 + J155 &lt; 0, D156 + J155, 0)</f>
        <v>0</v>
      </c>
      <c r="K156" s="1">
        <f>IF(E156 + K155 &lt; 0, E156 + K155, 0)</f>
        <v>0</v>
      </c>
      <c r="L156" s="1">
        <f>IF(F156 + L155 &lt; 0, F156 + L155, 0)</f>
        <v>0</v>
      </c>
      <c r="M156" s="1">
        <f>IF(G156 + M155 &lt; 0, G156 + M155, 0)</f>
        <v>0</v>
      </c>
      <c r="N156" s="1">
        <f>IF(H156 + N155 &lt; 0, H156 + N155, 0)</f>
        <v>0</v>
      </c>
      <c r="O156" s="1">
        <f>IF(N156 &lt; 0, 1 + O155, 0)</f>
        <v>0</v>
      </c>
      <c r="P156" s="1">
        <f>C156-((ABS(SUM(PL!H156:J156)))*0.125)</f>
        <v>0</v>
      </c>
      <c r="Q156" s="1">
        <f>D156-((ABS(SUM(PL!K156:M156)))*0.125)</f>
        <v>0</v>
      </c>
      <c r="R156" s="1">
        <f>E156-((ABS(SUM(PL!N156:P156)))*0.125)</f>
        <v>0</v>
      </c>
      <c r="S156" s="1">
        <f>F156-((ABS(SUM(PL!Q156:S156)))*0.125)</f>
        <v>0</v>
      </c>
      <c r="T156" s="1">
        <f>G156-((ABS(SUM(PL!T156:V156)))*0.125)</f>
        <v>0</v>
      </c>
      <c r="U156" s="1">
        <f>P156 + Q156 + R156 + S156 + T156</f>
        <v>0</v>
      </c>
      <c r="V156" s="1">
        <f>IF(P156 + V155 &lt; 0, P156 + V155, 0)</f>
        <v>0</v>
      </c>
      <c r="W156" s="1">
        <f>IF(Q156 + W155 &lt; 0, Q156 + W155, 0)</f>
        <v>0</v>
      </c>
      <c r="X156" s="1">
        <f>IF(R156 + X155 &lt; 0, R156 + X155, 0)</f>
        <v>0</v>
      </c>
      <c r="Y156" s="1">
        <f>IF(S156 + Y155 &lt; 0, S156 + Y155, 0)</f>
        <v>0</v>
      </c>
      <c r="Z156" s="1">
        <f>IF(T156 + Z155 &lt; 0, T156 + Z155, 0)</f>
        <v>0</v>
      </c>
      <c r="AA156" s="1">
        <f>IF(U156 + AA155 &lt; 0, U156 + AA155, 0)</f>
        <v>0</v>
      </c>
      <c r="AB156" s="1">
        <f>IF(AA156 &lt; 0, 1 + AB155, 0)</f>
        <v>0</v>
      </c>
      <c r="AC156" s="1">
        <f>IF(H156&lt;0,1,0)</f>
        <v>0</v>
      </c>
      <c r="AD156" s="1">
        <f>IF(AC156=1,H156,0)</f>
        <v>0</v>
      </c>
      <c r="AE156" s="1">
        <f>IF(H156&gt;0,1,0)</f>
        <v>0</v>
      </c>
      <c r="AF156" s="1">
        <f>IF(AE156=1,H156,0)</f>
        <v>0</v>
      </c>
      <c r="AG156" s="1">
        <f>IF(AD156&lt;-20000000.0/100,1,0)</f>
        <v>0</v>
      </c>
      <c r="AH156" s="1">
        <f>IF(AF156&gt;20000000.0/100,1,0)</f>
        <v>0</v>
      </c>
      <c r="AI156" s="1">
        <f>IF(U156&lt;0,1,0)</f>
        <v>0</v>
      </c>
      <c r="AJ156" s="1">
        <f>IF(AI156=1,U156,0)</f>
        <v>0</v>
      </c>
      <c r="AK156" s="1">
        <f>IF(U156&gt;0,1,0)</f>
        <v>0</v>
      </c>
      <c r="AL156" s="1">
        <f>IF(AK156=1,U156,0)</f>
        <v>0</v>
      </c>
      <c r="AM156" s="1">
        <f>IF(AJ156&lt;-20000000.0/100,1,0)</f>
        <v>0</v>
      </c>
      <c r="AN156" s="1">
        <f>IF(AL156&gt;20000000.0/100,1,0)</f>
        <v>0</v>
      </c>
    </row>
    <row r="157" spans="1:40" s="1" customFormat="1">
      <c r="A157" s="3">
        <v>45524</v>
      </c>
      <c r="B157" s="2" t="s">
        <v>23</v>
      </c>
      <c r="C157" s="1">
        <f>SUM(PL!H157:J157)</f>
        <v>0</v>
      </c>
      <c r="D157" s="1">
        <f>SUM(PL!K157:M157)</f>
        <v>0</v>
      </c>
      <c r="E157" s="1">
        <f>SUM(PL!N157:P157)</f>
        <v>0</v>
      </c>
      <c r="F157" s="1">
        <f>SUM(PL!Q157:S157)</f>
        <v>0</v>
      </c>
      <c r="G157" s="1">
        <f>SUM(PL!T157:V157)</f>
        <v>0</v>
      </c>
      <c r="H157" s="1">
        <f>SUM(C157:G157)</f>
        <v>0</v>
      </c>
      <c r="I157" s="1">
        <f>IF(C157 + I156 &lt; 0, C157 + I156, 0)</f>
        <v>0</v>
      </c>
      <c r="J157" s="1">
        <f>IF(D157 + J156 &lt; 0, D157 + J156, 0)</f>
        <v>0</v>
      </c>
      <c r="K157" s="1">
        <f>IF(E157 + K156 &lt; 0, E157 + K156, 0)</f>
        <v>0</v>
      </c>
      <c r="L157" s="1">
        <f>IF(F157 + L156 &lt; 0, F157 + L156, 0)</f>
        <v>0</v>
      </c>
      <c r="M157" s="1">
        <f>IF(G157 + M156 &lt; 0, G157 + M156, 0)</f>
        <v>0</v>
      </c>
      <c r="N157" s="1">
        <f>IF(H157 + N156 &lt; 0, H157 + N156, 0)</f>
        <v>0</v>
      </c>
      <c r="O157" s="1">
        <f>IF(N157 &lt; 0, 1 + O156, 0)</f>
        <v>0</v>
      </c>
      <c r="P157" s="1">
        <f>C157-((ABS(SUM(PL!H157:J157)))*0.125)</f>
        <v>0</v>
      </c>
      <c r="Q157" s="1">
        <f>D157-((ABS(SUM(PL!K157:M157)))*0.125)</f>
        <v>0</v>
      </c>
      <c r="R157" s="1">
        <f>E157-((ABS(SUM(PL!N157:P157)))*0.125)</f>
        <v>0</v>
      </c>
      <c r="S157" s="1">
        <f>F157-((ABS(SUM(PL!Q157:S157)))*0.125)</f>
        <v>0</v>
      </c>
      <c r="T157" s="1">
        <f>G157-((ABS(SUM(PL!T157:V157)))*0.125)</f>
        <v>0</v>
      </c>
      <c r="U157" s="1">
        <f>P157 + Q157 + R157 + S157 + T157</f>
        <v>0</v>
      </c>
      <c r="V157" s="1">
        <f>IF(P157 + V156 &lt; 0, P157 + V156, 0)</f>
        <v>0</v>
      </c>
      <c r="W157" s="1">
        <f>IF(Q157 + W156 &lt; 0, Q157 + W156, 0)</f>
        <v>0</v>
      </c>
      <c r="X157" s="1">
        <f>IF(R157 + X156 &lt; 0, R157 + X156, 0)</f>
        <v>0</v>
      </c>
      <c r="Y157" s="1">
        <f>IF(S157 + Y156 &lt; 0, S157 + Y156, 0)</f>
        <v>0</v>
      </c>
      <c r="Z157" s="1">
        <f>IF(T157 + Z156 &lt; 0, T157 + Z156, 0)</f>
        <v>0</v>
      </c>
      <c r="AA157" s="1">
        <f>IF(U157 + AA156 &lt; 0, U157 + AA156, 0)</f>
        <v>0</v>
      </c>
      <c r="AB157" s="1">
        <f>IF(AA157 &lt; 0, 1 + AB156, 0)</f>
        <v>0</v>
      </c>
      <c r="AC157" s="1">
        <f>IF(H157&lt;0,1,0)</f>
        <v>0</v>
      </c>
      <c r="AD157" s="1">
        <f>IF(AC157=1,H157,0)</f>
        <v>0</v>
      </c>
      <c r="AE157" s="1">
        <f>IF(H157&gt;0,1,0)</f>
        <v>0</v>
      </c>
      <c r="AF157" s="1">
        <f>IF(AE157=1,H157,0)</f>
        <v>0</v>
      </c>
      <c r="AG157" s="1">
        <f>IF(AD157&lt;-20000000.0/100,1,0)</f>
        <v>0</v>
      </c>
      <c r="AH157" s="1">
        <f>IF(AF157&gt;20000000.0/100,1,0)</f>
        <v>0</v>
      </c>
      <c r="AI157" s="1">
        <f>IF(U157&lt;0,1,0)</f>
        <v>0</v>
      </c>
      <c r="AJ157" s="1">
        <f>IF(AI157=1,U157,0)</f>
        <v>0</v>
      </c>
      <c r="AK157" s="1">
        <f>IF(U157&gt;0,1,0)</f>
        <v>0</v>
      </c>
      <c r="AL157" s="1">
        <f>IF(AK157=1,U157,0)</f>
        <v>0</v>
      </c>
      <c r="AM157" s="1">
        <f>IF(AJ157&lt;-20000000.0/100,1,0)</f>
        <v>0</v>
      </c>
      <c r="AN157" s="1">
        <f>IF(AL157&gt;20000000.0/100,1,0)</f>
        <v>0</v>
      </c>
    </row>
    <row r="158" spans="1:40" s="1" customFormat="1">
      <c r="A158" s="3">
        <v>45525</v>
      </c>
      <c r="B158" s="2" t="s">
        <v>24</v>
      </c>
      <c r="C158" s="1">
        <f>SUM(PL!H158:J158)</f>
        <v>0</v>
      </c>
      <c r="D158" s="1">
        <f>SUM(PL!K158:M158)</f>
        <v>0</v>
      </c>
      <c r="E158" s="1">
        <f>SUM(PL!N158:P158)</f>
        <v>0</v>
      </c>
      <c r="F158" s="1">
        <f>SUM(PL!Q158:S158)</f>
        <v>0</v>
      </c>
      <c r="G158" s="1">
        <f>SUM(PL!T158:V158)</f>
        <v>0</v>
      </c>
      <c r="H158" s="1">
        <f>SUM(C158:G158)</f>
        <v>0</v>
      </c>
      <c r="I158" s="1">
        <f>IF(C158 + I157 &lt; 0, C158 + I157, 0)</f>
        <v>0</v>
      </c>
      <c r="J158" s="1">
        <f>IF(D158 + J157 &lt; 0, D158 + J157, 0)</f>
        <v>0</v>
      </c>
      <c r="K158" s="1">
        <f>IF(E158 + K157 &lt; 0, E158 + K157, 0)</f>
        <v>0</v>
      </c>
      <c r="L158" s="1">
        <f>IF(F158 + L157 &lt; 0, F158 + L157, 0)</f>
        <v>0</v>
      </c>
      <c r="M158" s="1">
        <f>IF(G158 + M157 &lt; 0, G158 + M157, 0)</f>
        <v>0</v>
      </c>
      <c r="N158" s="1">
        <f>IF(H158 + N157 &lt; 0, H158 + N157, 0)</f>
        <v>0</v>
      </c>
      <c r="O158" s="1">
        <f>IF(N158 &lt; 0, 1 + O157, 0)</f>
        <v>0</v>
      </c>
      <c r="P158" s="1">
        <f>C158-((ABS(SUM(PL!H158:J158)))*0.125)</f>
        <v>0</v>
      </c>
      <c r="Q158" s="1">
        <f>D158-((ABS(SUM(PL!K158:M158)))*0.125)</f>
        <v>0</v>
      </c>
      <c r="R158" s="1">
        <f>E158-((ABS(SUM(PL!N158:P158)))*0.125)</f>
        <v>0</v>
      </c>
      <c r="S158" s="1">
        <f>F158-((ABS(SUM(PL!Q158:S158)))*0.125)</f>
        <v>0</v>
      </c>
      <c r="T158" s="1">
        <f>G158-((ABS(SUM(PL!T158:V158)))*0.125)</f>
        <v>0</v>
      </c>
      <c r="U158" s="1">
        <f>P158 + Q158 + R158 + S158 + T158</f>
        <v>0</v>
      </c>
      <c r="V158" s="1">
        <f>IF(P158 + V157 &lt; 0, P158 + V157, 0)</f>
        <v>0</v>
      </c>
      <c r="W158" s="1">
        <f>IF(Q158 + W157 &lt; 0, Q158 + W157, 0)</f>
        <v>0</v>
      </c>
      <c r="X158" s="1">
        <f>IF(R158 + X157 &lt; 0, R158 + X157, 0)</f>
        <v>0</v>
      </c>
      <c r="Y158" s="1">
        <f>IF(S158 + Y157 &lt; 0, S158 + Y157, 0)</f>
        <v>0</v>
      </c>
      <c r="Z158" s="1">
        <f>IF(T158 + Z157 &lt; 0, T158 + Z157, 0)</f>
        <v>0</v>
      </c>
      <c r="AA158" s="1">
        <f>IF(U158 + AA157 &lt; 0, U158 + AA157, 0)</f>
        <v>0</v>
      </c>
      <c r="AB158" s="1">
        <f>IF(AA158 &lt; 0, 1 + AB157, 0)</f>
        <v>0</v>
      </c>
      <c r="AC158" s="1">
        <f>IF(H158&lt;0,1,0)</f>
        <v>0</v>
      </c>
      <c r="AD158" s="1">
        <f>IF(AC158=1,H158,0)</f>
        <v>0</v>
      </c>
      <c r="AE158" s="1">
        <f>IF(H158&gt;0,1,0)</f>
        <v>0</v>
      </c>
      <c r="AF158" s="1">
        <f>IF(AE158=1,H158,0)</f>
        <v>0</v>
      </c>
      <c r="AG158" s="1">
        <f>IF(AD158&lt;-20000000.0/100,1,0)</f>
        <v>0</v>
      </c>
      <c r="AH158" s="1">
        <f>IF(AF158&gt;20000000.0/100,1,0)</f>
        <v>0</v>
      </c>
      <c r="AI158" s="1">
        <f>IF(U158&lt;0,1,0)</f>
        <v>0</v>
      </c>
      <c r="AJ158" s="1">
        <f>IF(AI158=1,U158,0)</f>
        <v>0</v>
      </c>
      <c r="AK158" s="1">
        <f>IF(U158&gt;0,1,0)</f>
        <v>0</v>
      </c>
      <c r="AL158" s="1">
        <f>IF(AK158=1,U158,0)</f>
        <v>0</v>
      </c>
      <c r="AM158" s="1">
        <f>IF(AJ158&lt;-20000000.0/100,1,0)</f>
        <v>0</v>
      </c>
      <c r="AN158" s="1">
        <f>IF(AL158&gt;20000000.0/100,1,0)</f>
        <v>0</v>
      </c>
    </row>
    <row r="159" spans="1:40" s="1" customFormat="1">
      <c r="A159" s="3">
        <v>45526</v>
      </c>
      <c r="B159" s="2" t="s">
        <v>25</v>
      </c>
      <c r="C159" s="1">
        <f>SUM(PL!H159:J159)</f>
        <v>0</v>
      </c>
      <c r="D159" s="1">
        <f>SUM(PL!K159:M159)</f>
        <v>0</v>
      </c>
      <c r="E159" s="1">
        <f>SUM(PL!N159:P159)</f>
        <v>0</v>
      </c>
      <c r="F159" s="1">
        <f>SUM(PL!Q159:S159)</f>
        <v>0</v>
      </c>
      <c r="G159" s="1">
        <f>SUM(PL!T159:V159)</f>
        <v>0</v>
      </c>
      <c r="H159" s="1">
        <f>SUM(C159:G159)</f>
        <v>0</v>
      </c>
      <c r="I159" s="1">
        <f>IF(C159 + I158 &lt; 0, C159 + I158, 0)</f>
        <v>0</v>
      </c>
      <c r="J159" s="1">
        <f>IF(D159 + J158 &lt; 0, D159 + J158, 0)</f>
        <v>0</v>
      </c>
      <c r="K159" s="1">
        <f>IF(E159 + K158 &lt; 0, E159 + K158, 0)</f>
        <v>0</v>
      </c>
      <c r="L159" s="1">
        <f>IF(F159 + L158 &lt; 0, F159 + L158, 0)</f>
        <v>0</v>
      </c>
      <c r="M159" s="1">
        <f>IF(G159 + M158 &lt; 0, G159 + M158, 0)</f>
        <v>0</v>
      </c>
      <c r="N159" s="1">
        <f>IF(H159 + N158 &lt; 0, H159 + N158, 0)</f>
        <v>0</v>
      </c>
      <c r="O159" s="1">
        <f>IF(N159 &lt; 0, 1 + O158, 0)</f>
        <v>0</v>
      </c>
      <c r="P159" s="1">
        <f>C159-((ABS(SUM(PL!H159:J159)))*0.125)</f>
        <v>0</v>
      </c>
      <c r="Q159" s="1">
        <f>D159-((ABS(SUM(PL!K159:M159)))*0.125)</f>
        <v>0</v>
      </c>
      <c r="R159" s="1">
        <f>E159-((ABS(SUM(PL!N159:P159)))*0.125)</f>
        <v>0</v>
      </c>
      <c r="S159" s="1">
        <f>F159-((ABS(SUM(PL!Q159:S159)))*0.125)</f>
        <v>0</v>
      </c>
      <c r="T159" s="1">
        <f>G159-((ABS(SUM(PL!T159:V159)))*0.125)</f>
        <v>0</v>
      </c>
      <c r="U159" s="1">
        <f>P159 + Q159 + R159 + S159 + T159</f>
        <v>0</v>
      </c>
      <c r="V159" s="1">
        <f>IF(P159 + V158 &lt; 0, P159 + V158, 0)</f>
        <v>0</v>
      </c>
      <c r="W159" s="1">
        <f>IF(Q159 + W158 &lt; 0, Q159 + W158, 0)</f>
        <v>0</v>
      </c>
      <c r="X159" s="1">
        <f>IF(R159 + X158 &lt; 0, R159 + X158, 0)</f>
        <v>0</v>
      </c>
      <c r="Y159" s="1">
        <f>IF(S159 + Y158 &lt; 0, S159 + Y158, 0)</f>
        <v>0</v>
      </c>
      <c r="Z159" s="1">
        <f>IF(T159 + Z158 &lt; 0, T159 + Z158, 0)</f>
        <v>0</v>
      </c>
      <c r="AA159" s="1">
        <f>IF(U159 + AA158 &lt; 0, U159 + AA158, 0)</f>
        <v>0</v>
      </c>
      <c r="AB159" s="1">
        <f>IF(AA159 &lt; 0, 1 + AB158, 0)</f>
        <v>0</v>
      </c>
      <c r="AC159" s="1">
        <f>IF(H159&lt;0,1,0)</f>
        <v>0</v>
      </c>
      <c r="AD159" s="1">
        <f>IF(AC159=1,H159,0)</f>
        <v>0</v>
      </c>
      <c r="AE159" s="1">
        <f>IF(H159&gt;0,1,0)</f>
        <v>0</v>
      </c>
      <c r="AF159" s="1">
        <f>IF(AE159=1,H159,0)</f>
        <v>0</v>
      </c>
      <c r="AG159" s="1">
        <f>IF(AD159&lt;-20000000.0/100,1,0)</f>
        <v>0</v>
      </c>
      <c r="AH159" s="1">
        <f>IF(AF159&gt;20000000.0/100,1,0)</f>
        <v>0</v>
      </c>
      <c r="AI159" s="1">
        <f>IF(U159&lt;0,1,0)</f>
        <v>0</v>
      </c>
      <c r="AJ159" s="1">
        <f>IF(AI159=1,U159,0)</f>
        <v>0</v>
      </c>
      <c r="AK159" s="1">
        <f>IF(U159&gt;0,1,0)</f>
        <v>0</v>
      </c>
      <c r="AL159" s="1">
        <f>IF(AK159=1,U159,0)</f>
        <v>0</v>
      </c>
      <c r="AM159" s="1">
        <f>IF(AJ159&lt;-20000000.0/100,1,0)</f>
        <v>0</v>
      </c>
      <c r="AN159" s="1">
        <f>IF(AL159&gt;20000000.0/100,1,0)</f>
        <v>0</v>
      </c>
    </row>
    <row r="160" spans="1:40" s="1" customFormat="1">
      <c r="A160" s="3">
        <v>45527</v>
      </c>
      <c r="B160" s="2" t="s">
        <v>26</v>
      </c>
      <c r="C160" s="1">
        <f>SUM(PL!H160:J160)</f>
        <v>0</v>
      </c>
      <c r="D160" s="1">
        <f>SUM(PL!K160:M160)</f>
        <v>0</v>
      </c>
      <c r="E160" s="1">
        <f>SUM(PL!N160:P160)</f>
        <v>0</v>
      </c>
      <c r="F160" s="1">
        <f>SUM(PL!Q160:S160)</f>
        <v>0</v>
      </c>
      <c r="G160" s="1">
        <f>SUM(PL!T160:V160)</f>
        <v>0</v>
      </c>
      <c r="H160" s="1">
        <f>SUM(C160:G160)</f>
        <v>0</v>
      </c>
      <c r="I160" s="1">
        <f>IF(C160 + I159 &lt; 0, C160 + I159, 0)</f>
        <v>0</v>
      </c>
      <c r="J160" s="1">
        <f>IF(D160 + J159 &lt; 0, D160 + J159, 0)</f>
        <v>0</v>
      </c>
      <c r="K160" s="1">
        <f>IF(E160 + K159 &lt; 0, E160 + K159, 0)</f>
        <v>0</v>
      </c>
      <c r="L160" s="1">
        <f>IF(F160 + L159 &lt; 0, F160 + L159, 0)</f>
        <v>0</v>
      </c>
      <c r="M160" s="1">
        <f>IF(G160 + M159 &lt; 0, G160 + M159, 0)</f>
        <v>0</v>
      </c>
      <c r="N160" s="1">
        <f>IF(H160 + N159 &lt; 0, H160 + N159, 0)</f>
        <v>0</v>
      </c>
      <c r="O160" s="1">
        <f>IF(N160 &lt; 0, 1 + O159, 0)</f>
        <v>0</v>
      </c>
      <c r="P160" s="1">
        <f>C160-((ABS(SUM(PL!H160:J160)))*0.125)</f>
        <v>0</v>
      </c>
      <c r="Q160" s="1">
        <f>D160-((ABS(SUM(PL!K160:M160)))*0.125)</f>
        <v>0</v>
      </c>
      <c r="R160" s="1">
        <f>E160-((ABS(SUM(PL!N160:P160)))*0.125)</f>
        <v>0</v>
      </c>
      <c r="S160" s="1">
        <f>F160-((ABS(SUM(PL!Q160:S160)))*0.125)</f>
        <v>0</v>
      </c>
      <c r="T160" s="1">
        <f>G160-((ABS(SUM(PL!T160:V160)))*0.125)</f>
        <v>0</v>
      </c>
      <c r="U160" s="1">
        <f>P160 + Q160 + R160 + S160 + T160</f>
        <v>0</v>
      </c>
      <c r="V160" s="1">
        <f>IF(P160 + V159 &lt; 0, P160 + V159, 0)</f>
        <v>0</v>
      </c>
      <c r="W160" s="1">
        <f>IF(Q160 + W159 &lt; 0, Q160 + W159, 0)</f>
        <v>0</v>
      </c>
      <c r="X160" s="1">
        <f>IF(R160 + X159 &lt; 0, R160 + X159, 0)</f>
        <v>0</v>
      </c>
      <c r="Y160" s="1">
        <f>IF(S160 + Y159 &lt; 0, S160 + Y159, 0)</f>
        <v>0</v>
      </c>
      <c r="Z160" s="1">
        <f>IF(T160 + Z159 &lt; 0, T160 + Z159, 0)</f>
        <v>0</v>
      </c>
      <c r="AA160" s="1">
        <f>IF(U160 + AA159 &lt; 0, U160 + AA159, 0)</f>
        <v>0</v>
      </c>
      <c r="AB160" s="1">
        <f>IF(AA160 &lt; 0, 1 + AB159, 0)</f>
        <v>0</v>
      </c>
      <c r="AC160" s="1">
        <f>IF(H160&lt;0,1,0)</f>
        <v>0</v>
      </c>
      <c r="AD160" s="1">
        <f>IF(AC160=1,H160,0)</f>
        <v>0</v>
      </c>
      <c r="AE160" s="1">
        <f>IF(H160&gt;0,1,0)</f>
        <v>0</v>
      </c>
      <c r="AF160" s="1">
        <f>IF(AE160=1,H160,0)</f>
        <v>0</v>
      </c>
      <c r="AG160" s="1">
        <f>IF(AD160&lt;-20000000.0/100,1,0)</f>
        <v>0</v>
      </c>
      <c r="AH160" s="1">
        <f>IF(AF160&gt;20000000.0/100,1,0)</f>
        <v>0</v>
      </c>
      <c r="AI160" s="1">
        <f>IF(U160&lt;0,1,0)</f>
        <v>0</v>
      </c>
      <c r="AJ160" s="1">
        <f>IF(AI160=1,U160,0)</f>
        <v>0</v>
      </c>
      <c r="AK160" s="1">
        <f>IF(U160&gt;0,1,0)</f>
        <v>0</v>
      </c>
      <c r="AL160" s="1">
        <f>IF(AK160=1,U160,0)</f>
        <v>0</v>
      </c>
      <c r="AM160" s="1">
        <f>IF(AJ160&lt;-20000000.0/100,1,0)</f>
        <v>0</v>
      </c>
      <c r="AN160" s="1">
        <f>IF(AL160&gt;20000000.0/100,1,0)</f>
        <v>0</v>
      </c>
    </row>
    <row r="161" spans="1:40" s="1" customFormat="1">
      <c r="A161" s="3">
        <v>45530</v>
      </c>
      <c r="B161" s="2" t="s">
        <v>22</v>
      </c>
      <c r="C161" s="1">
        <f>SUM(PL!H161:J161)</f>
        <v>0</v>
      </c>
      <c r="D161" s="1">
        <f>SUM(PL!K161:M161)</f>
        <v>0</v>
      </c>
      <c r="E161" s="1">
        <f>SUM(PL!N161:P161)</f>
        <v>0</v>
      </c>
      <c r="F161" s="1">
        <f>SUM(PL!Q161:S161)</f>
        <v>0</v>
      </c>
      <c r="G161" s="1">
        <f>SUM(PL!T161:V161)</f>
        <v>0</v>
      </c>
      <c r="H161" s="1">
        <f>SUM(C161:G161)</f>
        <v>0</v>
      </c>
      <c r="I161" s="1">
        <f>IF(C161 + I160 &lt; 0, C161 + I160, 0)</f>
        <v>0</v>
      </c>
      <c r="J161" s="1">
        <f>IF(D161 + J160 &lt; 0, D161 + J160, 0)</f>
        <v>0</v>
      </c>
      <c r="K161" s="1">
        <f>IF(E161 + K160 &lt; 0, E161 + K160, 0)</f>
        <v>0</v>
      </c>
      <c r="L161" s="1">
        <f>IF(F161 + L160 &lt; 0, F161 + L160, 0)</f>
        <v>0</v>
      </c>
      <c r="M161" s="1">
        <f>IF(G161 + M160 &lt; 0, G161 + M160, 0)</f>
        <v>0</v>
      </c>
      <c r="N161" s="1">
        <f>IF(H161 + N160 &lt; 0, H161 + N160, 0)</f>
        <v>0</v>
      </c>
      <c r="O161" s="1">
        <f>IF(N161 &lt; 0, 1 + O160, 0)</f>
        <v>0</v>
      </c>
      <c r="P161" s="1">
        <f>C161-((ABS(SUM(PL!H161:J161)))*0.125)</f>
        <v>0</v>
      </c>
      <c r="Q161" s="1">
        <f>D161-((ABS(SUM(PL!K161:M161)))*0.125)</f>
        <v>0</v>
      </c>
      <c r="R161" s="1">
        <f>E161-((ABS(SUM(PL!N161:P161)))*0.125)</f>
        <v>0</v>
      </c>
      <c r="S161" s="1">
        <f>F161-((ABS(SUM(PL!Q161:S161)))*0.125)</f>
        <v>0</v>
      </c>
      <c r="T161" s="1">
        <f>G161-((ABS(SUM(PL!T161:V161)))*0.125)</f>
        <v>0</v>
      </c>
      <c r="U161" s="1">
        <f>P161 + Q161 + R161 + S161 + T161</f>
        <v>0</v>
      </c>
      <c r="V161" s="1">
        <f>IF(P161 + V160 &lt; 0, P161 + V160, 0)</f>
        <v>0</v>
      </c>
      <c r="W161" s="1">
        <f>IF(Q161 + W160 &lt; 0, Q161 + W160, 0)</f>
        <v>0</v>
      </c>
      <c r="X161" s="1">
        <f>IF(R161 + X160 &lt; 0, R161 + X160, 0)</f>
        <v>0</v>
      </c>
      <c r="Y161" s="1">
        <f>IF(S161 + Y160 &lt; 0, S161 + Y160, 0)</f>
        <v>0</v>
      </c>
      <c r="Z161" s="1">
        <f>IF(T161 + Z160 &lt; 0, T161 + Z160, 0)</f>
        <v>0</v>
      </c>
      <c r="AA161" s="1">
        <f>IF(U161 + AA160 &lt; 0, U161 + AA160, 0)</f>
        <v>0</v>
      </c>
      <c r="AB161" s="1">
        <f>IF(AA161 &lt; 0, 1 + AB160, 0)</f>
        <v>0</v>
      </c>
      <c r="AC161" s="1">
        <f>IF(H161&lt;0,1,0)</f>
        <v>0</v>
      </c>
      <c r="AD161" s="1">
        <f>IF(AC161=1,H161,0)</f>
        <v>0</v>
      </c>
      <c r="AE161" s="1">
        <f>IF(H161&gt;0,1,0)</f>
        <v>0</v>
      </c>
      <c r="AF161" s="1">
        <f>IF(AE161=1,H161,0)</f>
        <v>0</v>
      </c>
      <c r="AG161" s="1">
        <f>IF(AD161&lt;-20000000.0/100,1,0)</f>
        <v>0</v>
      </c>
      <c r="AH161" s="1">
        <f>IF(AF161&gt;20000000.0/100,1,0)</f>
        <v>0</v>
      </c>
      <c r="AI161" s="1">
        <f>IF(U161&lt;0,1,0)</f>
        <v>0</v>
      </c>
      <c r="AJ161" s="1">
        <f>IF(AI161=1,U161,0)</f>
        <v>0</v>
      </c>
      <c r="AK161" s="1">
        <f>IF(U161&gt;0,1,0)</f>
        <v>0</v>
      </c>
      <c r="AL161" s="1">
        <f>IF(AK161=1,U161,0)</f>
        <v>0</v>
      </c>
      <c r="AM161" s="1">
        <f>IF(AJ161&lt;-20000000.0/100,1,0)</f>
        <v>0</v>
      </c>
      <c r="AN161" s="1">
        <f>IF(AL161&gt;20000000.0/100,1,0)</f>
        <v>0</v>
      </c>
    </row>
    <row r="162" spans="1:40" s="1" customFormat="1">
      <c r="A162" s="3">
        <v>45531</v>
      </c>
      <c r="B162" s="2" t="s">
        <v>23</v>
      </c>
      <c r="C162" s="1">
        <f>SUM(PL!H162:J162)</f>
        <v>0</v>
      </c>
      <c r="D162" s="1">
        <f>SUM(PL!K162:M162)</f>
        <v>0</v>
      </c>
      <c r="E162" s="1">
        <f>SUM(PL!N162:P162)</f>
        <v>0</v>
      </c>
      <c r="F162" s="1">
        <f>SUM(PL!Q162:S162)</f>
        <v>0</v>
      </c>
      <c r="G162" s="1">
        <f>SUM(PL!T162:V162)</f>
        <v>0</v>
      </c>
      <c r="H162" s="1">
        <f>SUM(C162:G162)</f>
        <v>0</v>
      </c>
      <c r="I162" s="1">
        <f>IF(C162 + I161 &lt; 0, C162 + I161, 0)</f>
        <v>0</v>
      </c>
      <c r="J162" s="1">
        <f>IF(D162 + J161 &lt; 0, D162 + J161, 0)</f>
        <v>0</v>
      </c>
      <c r="K162" s="1">
        <f>IF(E162 + K161 &lt; 0, E162 + K161, 0)</f>
        <v>0</v>
      </c>
      <c r="L162" s="1">
        <f>IF(F162 + L161 &lt; 0, F162 + L161, 0)</f>
        <v>0</v>
      </c>
      <c r="M162" s="1">
        <f>IF(G162 + M161 &lt; 0, G162 + M161, 0)</f>
        <v>0</v>
      </c>
      <c r="N162" s="1">
        <f>IF(H162 + N161 &lt; 0, H162 + N161, 0)</f>
        <v>0</v>
      </c>
      <c r="O162" s="1">
        <f>IF(N162 &lt; 0, 1 + O161, 0)</f>
        <v>0</v>
      </c>
      <c r="P162" s="1">
        <f>C162-((ABS(SUM(PL!H162:J162)))*0.125)</f>
        <v>0</v>
      </c>
      <c r="Q162" s="1">
        <f>D162-((ABS(SUM(PL!K162:M162)))*0.125)</f>
        <v>0</v>
      </c>
      <c r="R162" s="1">
        <f>E162-((ABS(SUM(PL!N162:P162)))*0.125)</f>
        <v>0</v>
      </c>
      <c r="S162" s="1">
        <f>F162-((ABS(SUM(PL!Q162:S162)))*0.125)</f>
        <v>0</v>
      </c>
      <c r="T162" s="1">
        <f>G162-((ABS(SUM(PL!T162:V162)))*0.125)</f>
        <v>0</v>
      </c>
      <c r="U162" s="1">
        <f>P162 + Q162 + R162 + S162 + T162</f>
        <v>0</v>
      </c>
      <c r="V162" s="1">
        <f>IF(P162 + V161 &lt; 0, P162 + V161, 0)</f>
        <v>0</v>
      </c>
      <c r="W162" s="1">
        <f>IF(Q162 + W161 &lt; 0, Q162 + W161, 0)</f>
        <v>0</v>
      </c>
      <c r="X162" s="1">
        <f>IF(R162 + X161 &lt; 0, R162 + X161, 0)</f>
        <v>0</v>
      </c>
      <c r="Y162" s="1">
        <f>IF(S162 + Y161 &lt; 0, S162 + Y161, 0)</f>
        <v>0</v>
      </c>
      <c r="Z162" s="1">
        <f>IF(T162 + Z161 &lt; 0, T162 + Z161, 0)</f>
        <v>0</v>
      </c>
      <c r="AA162" s="1">
        <f>IF(U162 + AA161 &lt; 0, U162 + AA161, 0)</f>
        <v>0</v>
      </c>
      <c r="AB162" s="1">
        <f>IF(AA162 &lt; 0, 1 + AB161, 0)</f>
        <v>0</v>
      </c>
      <c r="AC162" s="1">
        <f>IF(H162&lt;0,1,0)</f>
        <v>0</v>
      </c>
      <c r="AD162" s="1">
        <f>IF(AC162=1,H162,0)</f>
        <v>0</v>
      </c>
      <c r="AE162" s="1">
        <f>IF(H162&gt;0,1,0)</f>
        <v>0</v>
      </c>
      <c r="AF162" s="1">
        <f>IF(AE162=1,H162,0)</f>
        <v>0</v>
      </c>
      <c r="AG162" s="1">
        <f>IF(AD162&lt;-20000000.0/100,1,0)</f>
        <v>0</v>
      </c>
      <c r="AH162" s="1">
        <f>IF(AF162&gt;20000000.0/100,1,0)</f>
        <v>0</v>
      </c>
      <c r="AI162" s="1">
        <f>IF(U162&lt;0,1,0)</f>
        <v>0</v>
      </c>
      <c r="AJ162" s="1">
        <f>IF(AI162=1,U162,0)</f>
        <v>0</v>
      </c>
      <c r="AK162" s="1">
        <f>IF(U162&gt;0,1,0)</f>
        <v>0</v>
      </c>
      <c r="AL162" s="1">
        <f>IF(AK162=1,U162,0)</f>
        <v>0</v>
      </c>
      <c r="AM162" s="1">
        <f>IF(AJ162&lt;-20000000.0/100,1,0)</f>
        <v>0</v>
      </c>
      <c r="AN162" s="1">
        <f>IF(AL162&gt;20000000.0/100,1,0)</f>
        <v>0</v>
      </c>
    </row>
    <row r="163" spans="1:40" s="1" customFormat="1">
      <c r="A163" s="3">
        <v>45532</v>
      </c>
      <c r="B163" s="2" t="s">
        <v>24</v>
      </c>
      <c r="C163" s="1">
        <f>SUM(PL!H163:J163)</f>
        <v>0</v>
      </c>
      <c r="D163" s="1">
        <f>SUM(PL!K163:M163)</f>
        <v>0</v>
      </c>
      <c r="E163" s="1">
        <f>SUM(PL!N163:P163)</f>
        <v>0</v>
      </c>
      <c r="F163" s="1">
        <f>SUM(PL!Q163:S163)</f>
        <v>0</v>
      </c>
      <c r="G163" s="1">
        <f>SUM(PL!T163:V163)</f>
        <v>0</v>
      </c>
      <c r="H163" s="1">
        <f>SUM(C163:G163)</f>
        <v>0</v>
      </c>
      <c r="I163" s="1">
        <f>IF(C163 + I162 &lt; 0, C163 + I162, 0)</f>
        <v>0</v>
      </c>
      <c r="J163" s="1">
        <f>IF(D163 + J162 &lt; 0, D163 + J162, 0)</f>
        <v>0</v>
      </c>
      <c r="K163" s="1">
        <f>IF(E163 + K162 &lt; 0, E163 + K162, 0)</f>
        <v>0</v>
      </c>
      <c r="L163" s="1">
        <f>IF(F163 + L162 &lt; 0, F163 + L162, 0)</f>
        <v>0</v>
      </c>
      <c r="M163" s="1">
        <f>IF(G163 + M162 &lt; 0, G163 + M162, 0)</f>
        <v>0</v>
      </c>
      <c r="N163" s="1">
        <f>IF(H163 + N162 &lt; 0, H163 + N162, 0)</f>
        <v>0</v>
      </c>
      <c r="O163" s="1">
        <f>IF(N163 &lt; 0, 1 + O162, 0)</f>
        <v>0</v>
      </c>
      <c r="P163" s="1">
        <f>C163-((ABS(SUM(PL!H163:J163)))*0.125)</f>
        <v>0</v>
      </c>
      <c r="Q163" s="1">
        <f>D163-((ABS(SUM(PL!K163:M163)))*0.125)</f>
        <v>0</v>
      </c>
      <c r="R163" s="1">
        <f>E163-((ABS(SUM(PL!N163:P163)))*0.125)</f>
        <v>0</v>
      </c>
      <c r="S163" s="1">
        <f>F163-((ABS(SUM(PL!Q163:S163)))*0.125)</f>
        <v>0</v>
      </c>
      <c r="T163" s="1">
        <f>G163-((ABS(SUM(PL!T163:V163)))*0.125)</f>
        <v>0</v>
      </c>
      <c r="U163" s="1">
        <f>P163 + Q163 + R163 + S163 + T163</f>
        <v>0</v>
      </c>
      <c r="V163" s="1">
        <f>IF(P163 + V162 &lt; 0, P163 + V162, 0)</f>
        <v>0</v>
      </c>
      <c r="W163" s="1">
        <f>IF(Q163 + W162 &lt; 0, Q163 + W162, 0)</f>
        <v>0</v>
      </c>
      <c r="X163" s="1">
        <f>IF(R163 + X162 &lt; 0, R163 + X162, 0)</f>
        <v>0</v>
      </c>
      <c r="Y163" s="1">
        <f>IF(S163 + Y162 &lt; 0, S163 + Y162, 0)</f>
        <v>0</v>
      </c>
      <c r="Z163" s="1">
        <f>IF(T163 + Z162 &lt; 0, T163 + Z162, 0)</f>
        <v>0</v>
      </c>
      <c r="AA163" s="1">
        <f>IF(U163 + AA162 &lt; 0, U163 + AA162, 0)</f>
        <v>0</v>
      </c>
      <c r="AB163" s="1">
        <f>IF(AA163 &lt; 0, 1 + AB162, 0)</f>
        <v>0</v>
      </c>
      <c r="AC163" s="1">
        <f>IF(H163&lt;0,1,0)</f>
        <v>0</v>
      </c>
      <c r="AD163" s="1">
        <f>IF(AC163=1,H163,0)</f>
        <v>0</v>
      </c>
      <c r="AE163" s="1">
        <f>IF(H163&gt;0,1,0)</f>
        <v>0</v>
      </c>
      <c r="AF163" s="1">
        <f>IF(AE163=1,H163,0)</f>
        <v>0</v>
      </c>
      <c r="AG163" s="1">
        <f>IF(AD163&lt;-20000000.0/100,1,0)</f>
        <v>0</v>
      </c>
      <c r="AH163" s="1">
        <f>IF(AF163&gt;20000000.0/100,1,0)</f>
        <v>0</v>
      </c>
      <c r="AI163" s="1">
        <f>IF(U163&lt;0,1,0)</f>
        <v>0</v>
      </c>
      <c r="AJ163" s="1">
        <f>IF(AI163=1,U163,0)</f>
        <v>0</v>
      </c>
      <c r="AK163" s="1">
        <f>IF(U163&gt;0,1,0)</f>
        <v>0</v>
      </c>
      <c r="AL163" s="1">
        <f>IF(AK163=1,U163,0)</f>
        <v>0</v>
      </c>
      <c r="AM163" s="1">
        <f>IF(AJ163&lt;-20000000.0/100,1,0)</f>
        <v>0</v>
      </c>
      <c r="AN163" s="1">
        <f>IF(AL163&gt;20000000.0/100,1,0)</f>
        <v>0</v>
      </c>
    </row>
    <row r="164" spans="1:40" s="1" customFormat="1">
      <c r="A164" s="3">
        <v>45533</v>
      </c>
      <c r="B164" s="2" t="s">
        <v>25</v>
      </c>
      <c r="C164" s="1">
        <f>SUM(PL!H164:J164)</f>
        <v>0</v>
      </c>
      <c r="D164" s="1">
        <f>SUM(PL!K164:M164)</f>
        <v>0</v>
      </c>
      <c r="E164" s="1">
        <f>SUM(PL!N164:P164)</f>
        <v>0</v>
      </c>
      <c r="F164" s="1">
        <f>SUM(PL!Q164:S164)</f>
        <v>0</v>
      </c>
      <c r="G164" s="1">
        <f>SUM(PL!T164:V164)</f>
        <v>0</v>
      </c>
      <c r="H164" s="1">
        <f>SUM(C164:G164)</f>
        <v>0</v>
      </c>
      <c r="I164" s="1">
        <f>IF(C164 + I163 &lt; 0, C164 + I163, 0)</f>
        <v>0</v>
      </c>
      <c r="J164" s="1">
        <f>IF(D164 + J163 &lt; 0, D164 + J163, 0)</f>
        <v>0</v>
      </c>
      <c r="K164" s="1">
        <f>IF(E164 + K163 &lt; 0, E164 + K163, 0)</f>
        <v>0</v>
      </c>
      <c r="L164" s="1">
        <f>IF(F164 + L163 &lt; 0, F164 + L163, 0)</f>
        <v>0</v>
      </c>
      <c r="M164" s="1">
        <f>IF(G164 + M163 &lt; 0, G164 + M163, 0)</f>
        <v>0</v>
      </c>
      <c r="N164" s="1">
        <f>IF(H164 + N163 &lt; 0, H164 + N163, 0)</f>
        <v>0</v>
      </c>
      <c r="O164" s="1">
        <f>IF(N164 &lt; 0, 1 + O163, 0)</f>
        <v>0</v>
      </c>
      <c r="P164" s="1">
        <f>C164-((ABS(SUM(PL!H164:J164)))*0.125)</f>
        <v>0</v>
      </c>
      <c r="Q164" s="1">
        <f>D164-((ABS(SUM(PL!K164:M164)))*0.125)</f>
        <v>0</v>
      </c>
      <c r="R164" s="1">
        <f>E164-((ABS(SUM(PL!N164:P164)))*0.125)</f>
        <v>0</v>
      </c>
      <c r="S164" s="1">
        <f>F164-((ABS(SUM(PL!Q164:S164)))*0.125)</f>
        <v>0</v>
      </c>
      <c r="T164" s="1">
        <f>G164-((ABS(SUM(PL!T164:V164)))*0.125)</f>
        <v>0</v>
      </c>
      <c r="U164" s="1">
        <f>P164 + Q164 + R164 + S164 + T164</f>
        <v>0</v>
      </c>
      <c r="V164" s="1">
        <f>IF(P164 + V163 &lt; 0, P164 + V163, 0)</f>
        <v>0</v>
      </c>
      <c r="W164" s="1">
        <f>IF(Q164 + W163 &lt; 0, Q164 + W163, 0)</f>
        <v>0</v>
      </c>
      <c r="X164" s="1">
        <f>IF(R164 + X163 &lt; 0, R164 + X163, 0)</f>
        <v>0</v>
      </c>
      <c r="Y164" s="1">
        <f>IF(S164 + Y163 &lt; 0, S164 + Y163, 0)</f>
        <v>0</v>
      </c>
      <c r="Z164" s="1">
        <f>IF(T164 + Z163 &lt; 0, T164 + Z163, 0)</f>
        <v>0</v>
      </c>
      <c r="AA164" s="1">
        <f>IF(U164 + AA163 &lt; 0, U164 + AA163, 0)</f>
        <v>0</v>
      </c>
      <c r="AB164" s="1">
        <f>IF(AA164 &lt; 0, 1 + AB163, 0)</f>
        <v>0</v>
      </c>
      <c r="AC164" s="1">
        <f>IF(H164&lt;0,1,0)</f>
        <v>0</v>
      </c>
      <c r="AD164" s="1">
        <f>IF(AC164=1,H164,0)</f>
        <v>0</v>
      </c>
      <c r="AE164" s="1">
        <f>IF(H164&gt;0,1,0)</f>
        <v>0</v>
      </c>
      <c r="AF164" s="1">
        <f>IF(AE164=1,H164,0)</f>
        <v>0</v>
      </c>
      <c r="AG164" s="1">
        <f>IF(AD164&lt;-20000000.0/100,1,0)</f>
        <v>0</v>
      </c>
      <c r="AH164" s="1">
        <f>IF(AF164&gt;20000000.0/100,1,0)</f>
        <v>0</v>
      </c>
      <c r="AI164" s="1">
        <f>IF(U164&lt;0,1,0)</f>
        <v>0</v>
      </c>
      <c r="AJ164" s="1">
        <f>IF(AI164=1,U164,0)</f>
        <v>0</v>
      </c>
      <c r="AK164" s="1">
        <f>IF(U164&gt;0,1,0)</f>
        <v>0</v>
      </c>
      <c r="AL164" s="1">
        <f>IF(AK164=1,U164,0)</f>
        <v>0</v>
      </c>
      <c r="AM164" s="1">
        <f>IF(AJ164&lt;-20000000.0/100,1,0)</f>
        <v>0</v>
      </c>
      <c r="AN164" s="1">
        <f>IF(AL164&gt;20000000.0/100,1,0)</f>
        <v>0</v>
      </c>
    </row>
    <row r="165" spans="1:40" s="1" customFormat="1">
      <c r="A165" s="3">
        <v>45534</v>
      </c>
      <c r="B165" s="2" t="s">
        <v>26</v>
      </c>
      <c r="C165" s="1">
        <f>SUM(PL!H165:J165)</f>
        <v>0</v>
      </c>
      <c r="D165" s="1">
        <f>SUM(PL!K165:M165)</f>
        <v>0</v>
      </c>
      <c r="E165" s="1">
        <f>SUM(PL!N165:P165)</f>
        <v>0</v>
      </c>
      <c r="F165" s="1">
        <f>SUM(PL!Q165:S165)</f>
        <v>0</v>
      </c>
      <c r="G165" s="1">
        <f>SUM(PL!T165:V165)</f>
        <v>0</v>
      </c>
      <c r="H165" s="1">
        <f>SUM(C165:G165)</f>
        <v>0</v>
      </c>
      <c r="I165" s="1">
        <f>IF(C165 + I164 &lt; 0, C165 + I164, 0)</f>
        <v>0</v>
      </c>
      <c r="J165" s="1">
        <f>IF(D165 + J164 &lt; 0, D165 + J164, 0)</f>
        <v>0</v>
      </c>
      <c r="K165" s="1">
        <f>IF(E165 + K164 &lt; 0, E165 + K164, 0)</f>
        <v>0</v>
      </c>
      <c r="L165" s="1">
        <f>IF(F165 + L164 &lt; 0, F165 + L164, 0)</f>
        <v>0</v>
      </c>
      <c r="M165" s="1">
        <f>IF(G165 + M164 &lt; 0, G165 + M164, 0)</f>
        <v>0</v>
      </c>
      <c r="N165" s="1">
        <f>IF(H165 + N164 &lt; 0, H165 + N164, 0)</f>
        <v>0</v>
      </c>
      <c r="O165" s="1">
        <f>IF(N165 &lt; 0, 1 + O164, 0)</f>
        <v>0</v>
      </c>
      <c r="P165" s="1">
        <f>C165-((ABS(SUM(PL!H165:J165)))*0.125)</f>
        <v>0</v>
      </c>
      <c r="Q165" s="1">
        <f>D165-((ABS(SUM(PL!K165:M165)))*0.125)</f>
        <v>0</v>
      </c>
      <c r="R165" s="1">
        <f>E165-((ABS(SUM(PL!N165:P165)))*0.125)</f>
        <v>0</v>
      </c>
      <c r="S165" s="1">
        <f>F165-((ABS(SUM(PL!Q165:S165)))*0.125)</f>
        <v>0</v>
      </c>
      <c r="T165" s="1">
        <f>G165-((ABS(SUM(PL!T165:V165)))*0.125)</f>
        <v>0</v>
      </c>
      <c r="U165" s="1">
        <f>P165 + Q165 + R165 + S165 + T165</f>
        <v>0</v>
      </c>
      <c r="V165" s="1">
        <f>IF(P165 + V164 &lt; 0, P165 + V164, 0)</f>
        <v>0</v>
      </c>
      <c r="W165" s="1">
        <f>IF(Q165 + W164 &lt; 0, Q165 + W164, 0)</f>
        <v>0</v>
      </c>
      <c r="X165" s="1">
        <f>IF(R165 + X164 &lt; 0, R165 + X164, 0)</f>
        <v>0</v>
      </c>
      <c r="Y165" s="1">
        <f>IF(S165 + Y164 &lt; 0, S165 + Y164, 0)</f>
        <v>0</v>
      </c>
      <c r="Z165" s="1">
        <f>IF(T165 + Z164 &lt; 0, T165 + Z164, 0)</f>
        <v>0</v>
      </c>
      <c r="AA165" s="1">
        <f>IF(U165 + AA164 &lt; 0, U165 + AA164, 0)</f>
        <v>0</v>
      </c>
      <c r="AB165" s="1">
        <f>IF(AA165 &lt; 0, 1 + AB164, 0)</f>
        <v>0</v>
      </c>
      <c r="AC165" s="1">
        <f>IF(H165&lt;0,1,0)</f>
        <v>0</v>
      </c>
      <c r="AD165" s="1">
        <f>IF(AC165=1,H165,0)</f>
        <v>0</v>
      </c>
      <c r="AE165" s="1">
        <f>IF(H165&gt;0,1,0)</f>
        <v>0</v>
      </c>
      <c r="AF165" s="1">
        <f>IF(AE165=1,H165,0)</f>
        <v>0</v>
      </c>
      <c r="AG165" s="1">
        <f>IF(AD165&lt;-20000000.0/100,1,0)</f>
        <v>0</v>
      </c>
      <c r="AH165" s="1">
        <f>IF(AF165&gt;20000000.0/100,1,0)</f>
        <v>0</v>
      </c>
      <c r="AI165" s="1">
        <f>IF(U165&lt;0,1,0)</f>
        <v>0</v>
      </c>
      <c r="AJ165" s="1">
        <f>IF(AI165=1,U165,0)</f>
        <v>0</v>
      </c>
      <c r="AK165" s="1">
        <f>IF(U165&gt;0,1,0)</f>
        <v>0</v>
      </c>
      <c r="AL165" s="1">
        <f>IF(AK165=1,U165,0)</f>
        <v>0</v>
      </c>
      <c r="AM165" s="1">
        <f>IF(AJ165&lt;-20000000.0/100,1,0)</f>
        <v>0</v>
      </c>
      <c r="AN165" s="1">
        <f>IF(AL165&gt;20000000.0/100,1,0)</f>
        <v>0</v>
      </c>
    </row>
    <row r="166" spans="1:40" s="1" customFormat="1">
      <c r="A166" s="3">
        <v>45537</v>
      </c>
      <c r="B166" s="2" t="s">
        <v>22</v>
      </c>
      <c r="C166" s="1">
        <f>SUM(PL!H166:J166)</f>
        <v>0</v>
      </c>
      <c r="D166" s="1">
        <f>SUM(PL!K166:M166)</f>
        <v>0</v>
      </c>
      <c r="E166" s="1">
        <f>SUM(PL!N166:P166)</f>
        <v>0</v>
      </c>
      <c r="F166" s="1">
        <f>SUM(PL!Q166:S166)</f>
        <v>0</v>
      </c>
      <c r="G166" s="1">
        <f>SUM(PL!T166:V166)</f>
        <v>0</v>
      </c>
      <c r="H166" s="1">
        <f>SUM(C166:G166)</f>
        <v>0</v>
      </c>
      <c r="I166" s="1">
        <f>IF(C166 + I165 &lt; 0, C166 + I165, 0)</f>
        <v>0</v>
      </c>
      <c r="J166" s="1">
        <f>IF(D166 + J165 &lt; 0, D166 + J165, 0)</f>
        <v>0</v>
      </c>
      <c r="K166" s="1">
        <f>IF(E166 + K165 &lt; 0, E166 + K165, 0)</f>
        <v>0</v>
      </c>
      <c r="L166" s="1">
        <f>IF(F166 + L165 &lt; 0, F166 + L165, 0)</f>
        <v>0</v>
      </c>
      <c r="M166" s="1">
        <f>IF(G166 + M165 &lt; 0, G166 + M165, 0)</f>
        <v>0</v>
      </c>
      <c r="N166" s="1">
        <f>IF(H166 + N165 &lt; 0, H166 + N165, 0)</f>
        <v>0</v>
      </c>
      <c r="O166" s="1">
        <f>IF(N166 &lt; 0, 1 + O165, 0)</f>
        <v>0</v>
      </c>
      <c r="P166" s="1">
        <f>C166-((ABS(SUM(PL!H166:J166)))*0.125)</f>
        <v>0</v>
      </c>
      <c r="Q166" s="1">
        <f>D166-((ABS(SUM(PL!K166:M166)))*0.125)</f>
        <v>0</v>
      </c>
      <c r="R166" s="1">
        <f>E166-((ABS(SUM(PL!N166:P166)))*0.125)</f>
        <v>0</v>
      </c>
      <c r="S166" s="1">
        <f>F166-((ABS(SUM(PL!Q166:S166)))*0.125)</f>
        <v>0</v>
      </c>
      <c r="T166" s="1">
        <f>G166-((ABS(SUM(PL!T166:V166)))*0.125)</f>
        <v>0</v>
      </c>
      <c r="U166" s="1">
        <f>P166 + Q166 + R166 + S166 + T166</f>
        <v>0</v>
      </c>
      <c r="V166" s="1">
        <f>IF(P166 + V165 &lt; 0, P166 + V165, 0)</f>
        <v>0</v>
      </c>
      <c r="W166" s="1">
        <f>IF(Q166 + W165 &lt; 0, Q166 + W165, 0)</f>
        <v>0</v>
      </c>
      <c r="X166" s="1">
        <f>IF(R166 + X165 &lt; 0, R166 + X165, 0)</f>
        <v>0</v>
      </c>
      <c r="Y166" s="1">
        <f>IF(S166 + Y165 &lt; 0, S166 + Y165, 0)</f>
        <v>0</v>
      </c>
      <c r="Z166" s="1">
        <f>IF(T166 + Z165 &lt; 0, T166 + Z165, 0)</f>
        <v>0</v>
      </c>
      <c r="AA166" s="1">
        <f>IF(U166 + AA165 &lt; 0, U166 + AA165, 0)</f>
        <v>0</v>
      </c>
      <c r="AB166" s="1">
        <f>IF(AA166 &lt; 0, 1 + AB165, 0)</f>
        <v>0</v>
      </c>
      <c r="AC166" s="1">
        <f>IF(H166&lt;0,1,0)</f>
        <v>0</v>
      </c>
      <c r="AD166" s="1">
        <f>IF(AC166=1,H166,0)</f>
        <v>0</v>
      </c>
      <c r="AE166" s="1">
        <f>IF(H166&gt;0,1,0)</f>
        <v>0</v>
      </c>
      <c r="AF166" s="1">
        <f>IF(AE166=1,H166,0)</f>
        <v>0</v>
      </c>
      <c r="AG166" s="1">
        <f>IF(AD166&lt;-20000000.0/100,1,0)</f>
        <v>0</v>
      </c>
      <c r="AH166" s="1">
        <f>IF(AF166&gt;20000000.0/100,1,0)</f>
        <v>0</v>
      </c>
      <c r="AI166" s="1">
        <f>IF(U166&lt;0,1,0)</f>
        <v>0</v>
      </c>
      <c r="AJ166" s="1">
        <f>IF(AI166=1,U166,0)</f>
        <v>0</v>
      </c>
      <c r="AK166" s="1">
        <f>IF(U166&gt;0,1,0)</f>
        <v>0</v>
      </c>
      <c r="AL166" s="1">
        <f>IF(AK166=1,U166,0)</f>
        <v>0</v>
      </c>
      <c r="AM166" s="1">
        <f>IF(AJ166&lt;-20000000.0/100,1,0)</f>
        <v>0</v>
      </c>
      <c r="AN166" s="1">
        <f>IF(AL166&gt;20000000.0/100,1,0)</f>
        <v>0</v>
      </c>
    </row>
    <row r="167" spans="1:40" s="1" customFormat="1">
      <c r="A167" s="3">
        <v>45538</v>
      </c>
      <c r="B167" s="2" t="s">
        <v>23</v>
      </c>
      <c r="C167" s="1">
        <f>SUM(PL!H167:J167)</f>
        <v>0</v>
      </c>
      <c r="D167" s="1">
        <f>SUM(PL!K167:M167)</f>
        <v>0</v>
      </c>
      <c r="E167" s="1">
        <f>SUM(PL!N167:P167)</f>
        <v>0</v>
      </c>
      <c r="F167" s="1">
        <f>SUM(PL!Q167:S167)</f>
        <v>0</v>
      </c>
      <c r="G167" s="1">
        <f>SUM(PL!T167:V167)</f>
        <v>0</v>
      </c>
      <c r="H167" s="1">
        <f>SUM(C167:G167)</f>
        <v>0</v>
      </c>
      <c r="I167" s="1">
        <f>IF(C167 + I166 &lt; 0, C167 + I166, 0)</f>
        <v>0</v>
      </c>
      <c r="J167" s="1">
        <f>IF(D167 + J166 &lt; 0, D167 + J166, 0)</f>
        <v>0</v>
      </c>
      <c r="K167" s="1">
        <f>IF(E167 + K166 &lt; 0, E167 + K166, 0)</f>
        <v>0</v>
      </c>
      <c r="L167" s="1">
        <f>IF(F167 + L166 &lt; 0, F167 + L166, 0)</f>
        <v>0</v>
      </c>
      <c r="M167" s="1">
        <f>IF(G167 + M166 &lt; 0, G167 + M166, 0)</f>
        <v>0</v>
      </c>
      <c r="N167" s="1">
        <f>IF(H167 + N166 &lt; 0, H167 + N166, 0)</f>
        <v>0</v>
      </c>
      <c r="O167" s="1">
        <f>IF(N167 &lt; 0, 1 + O166, 0)</f>
        <v>0</v>
      </c>
      <c r="P167" s="1">
        <f>C167-((ABS(SUM(PL!H167:J167)))*0.125)</f>
        <v>0</v>
      </c>
      <c r="Q167" s="1">
        <f>D167-((ABS(SUM(PL!K167:M167)))*0.125)</f>
        <v>0</v>
      </c>
      <c r="R167" s="1">
        <f>E167-((ABS(SUM(PL!N167:P167)))*0.125)</f>
        <v>0</v>
      </c>
      <c r="S167" s="1">
        <f>F167-((ABS(SUM(PL!Q167:S167)))*0.125)</f>
        <v>0</v>
      </c>
      <c r="T167" s="1">
        <f>G167-((ABS(SUM(PL!T167:V167)))*0.125)</f>
        <v>0</v>
      </c>
      <c r="U167" s="1">
        <f>P167 + Q167 + R167 + S167 + T167</f>
        <v>0</v>
      </c>
      <c r="V167" s="1">
        <f>IF(P167 + V166 &lt; 0, P167 + V166, 0)</f>
        <v>0</v>
      </c>
      <c r="W167" s="1">
        <f>IF(Q167 + W166 &lt; 0, Q167 + W166, 0)</f>
        <v>0</v>
      </c>
      <c r="X167" s="1">
        <f>IF(R167 + X166 &lt; 0, R167 + X166, 0)</f>
        <v>0</v>
      </c>
      <c r="Y167" s="1">
        <f>IF(S167 + Y166 &lt; 0, S167 + Y166, 0)</f>
        <v>0</v>
      </c>
      <c r="Z167" s="1">
        <f>IF(T167 + Z166 &lt; 0, T167 + Z166, 0)</f>
        <v>0</v>
      </c>
      <c r="AA167" s="1">
        <f>IF(U167 + AA166 &lt; 0, U167 + AA166, 0)</f>
        <v>0</v>
      </c>
      <c r="AB167" s="1">
        <f>IF(AA167 &lt; 0, 1 + AB166, 0)</f>
        <v>0</v>
      </c>
      <c r="AC167" s="1">
        <f>IF(H167&lt;0,1,0)</f>
        <v>0</v>
      </c>
      <c r="AD167" s="1">
        <f>IF(AC167=1,H167,0)</f>
        <v>0</v>
      </c>
      <c r="AE167" s="1">
        <f>IF(H167&gt;0,1,0)</f>
        <v>0</v>
      </c>
      <c r="AF167" s="1">
        <f>IF(AE167=1,H167,0)</f>
        <v>0</v>
      </c>
      <c r="AG167" s="1">
        <f>IF(AD167&lt;-20000000.0/100,1,0)</f>
        <v>0</v>
      </c>
      <c r="AH167" s="1">
        <f>IF(AF167&gt;20000000.0/100,1,0)</f>
        <v>0</v>
      </c>
      <c r="AI167" s="1">
        <f>IF(U167&lt;0,1,0)</f>
        <v>0</v>
      </c>
      <c r="AJ167" s="1">
        <f>IF(AI167=1,U167,0)</f>
        <v>0</v>
      </c>
      <c r="AK167" s="1">
        <f>IF(U167&gt;0,1,0)</f>
        <v>0</v>
      </c>
      <c r="AL167" s="1">
        <f>IF(AK167=1,U167,0)</f>
        <v>0</v>
      </c>
      <c r="AM167" s="1">
        <f>IF(AJ167&lt;-20000000.0/100,1,0)</f>
        <v>0</v>
      </c>
      <c r="AN167" s="1">
        <f>IF(AL167&gt;20000000.0/100,1,0)</f>
        <v>0</v>
      </c>
    </row>
    <row r="168" spans="1:40" s="1" customFormat="1">
      <c r="A168" s="3">
        <v>45539</v>
      </c>
      <c r="B168" s="2" t="s">
        <v>24</v>
      </c>
      <c r="C168" s="1">
        <f>SUM(PL!H168:J168)</f>
        <v>0</v>
      </c>
      <c r="D168" s="1">
        <f>SUM(PL!K168:M168)</f>
        <v>0</v>
      </c>
      <c r="E168" s="1">
        <f>SUM(PL!N168:P168)</f>
        <v>0</v>
      </c>
      <c r="F168" s="1">
        <f>SUM(PL!Q168:S168)</f>
        <v>0</v>
      </c>
      <c r="G168" s="1">
        <f>SUM(PL!T168:V168)</f>
        <v>0</v>
      </c>
      <c r="H168" s="1">
        <f>SUM(C168:G168)</f>
        <v>0</v>
      </c>
      <c r="I168" s="1">
        <f>IF(C168 + I167 &lt; 0, C168 + I167, 0)</f>
        <v>0</v>
      </c>
      <c r="J168" s="1">
        <f>IF(D168 + J167 &lt; 0, D168 + J167, 0)</f>
        <v>0</v>
      </c>
      <c r="K168" s="1">
        <f>IF(E168 + K167 &lt; 0, E168 + K167, 0)</f>
        <v>0</v>
      </c>
      <c r="L168" s="1">
        <f>IF(F168 + L167 &lt; 0, F168 + L167, 0)</f>
        <v>0</v>
      </c>
      <c r="M168" s="1">
        <f>IF(G168 + M167 &lt; 0, G168 + M167, 0)</f>
        <v>0</v>
      </c>
      <c r="N168" s="1">
        <f>IF(H168 + N167 &lt; 0, H168 + N167, 0)</f>
        <v>0</v>
      </c>
      <c r="O168" s="1">
        <f>IF(N168 &lt; 0, 1 + O167, 0)</f>
        <v>0</v>
      </c>
      <c r="P168" s="1">
        <f>C168-((ABS(SUM(PL!H168:J168)))*0.125)</f>
        <v>0</v>
      </c>
      <c r="Q168" s="1">
        <f>D168-((ABS(SUM(PL!K168:M168)))*0.125)</f>
        <v>0</v>
      </c>
      <c r="R168" s="1">
        <f>E168-((ABS(SUM(PL!N168:P168)))*0.125)</f>
        <v>0</v>
      </c>
      <c r="S168" s="1">
        <f>F168-((ABS(SUM(PL!Q168:S168)))*0.125)</f>
        <v>0</v>
      </c>
      <c r="T168" s="1">
        <f>G168-((ABS(SUM(PL!T168:V168)))*0.125)</f>
        <v>0</v>
      </c>
      <c r="U168" s="1">
        <f>P168 + Q168 + R168 + S168 + T168</f>
        <v>0</v>
      </c>
      <c r="V168" s="1">
        <f>IF(P168 + V167 &lt; 0, P168 + V167, 0)</f>
        <v>0</v>
      </c>
      <c r="W168" s="1">
        <f>IF(Q168 + W167 &lt; 0, Q168 + W167, 0)</f>
        <v>0</v>
      </c>
      <c r="X168" s="1">
        <f>IF(R168 + X167 &lt; 0, R168 + X167, 0)</f>
        <v>0</v>
      </c>
      <c r="Y168" s="1">
        <f>IF(S168 + Y167 &lt; 0, S168 + Y167, 0)</f>
        <v>0</v>
      </c>
      <c r="Z168" s="1">
        <f>IF(T168 + Z167 &lt; 0, T168 + Z167, 0)</f>
        <v>0</v>
      </c>
      <c r="AA168" s="1">
        <f>IF(U168 + AA167 &lt; 0, U168 + AA167, 0)</f>
        <v>0</v>
      </c>
      <c r="AB168" s="1">
        <f>IF(AA168 &lt; 0, 1 + AB167, 0)</f>
        <v>0</v>
      </c>
      <c r="AC168" s="1">
        <f>IF(H168&lt;0,1,0)</f>
        <v>0</v>
      </c>
      <c r="AD168" s="1">
        <f>IF(AC168=1,H168,0)</f>
        <v>0</v>
      </c>
      <c r="AE168" s="1">
        <f>IF(H168&gt;0,1,0)</f>
        <v>0</v>
      </c>
      <c r="AF168" s="1">
        <f>IF(AE168=1,H168,0)</f>
        <v>0</v>
      </c>
      <c r="AG168" s="1">
        <f>IF(AD168&lt;-20000000.0/100,1,0)</f>
        <v>0</v>
      </c>
      <c r="AH168" s="1">
        <f>IF(AF168&gt;20000000.0/100,1,0)</f>
        <v>0</v>
      </c>
      <c r="AI168" s="1">
        <f>IF(U168&lt;0,1,0)</f>
        <v>0</v>
      </c>
      <c r="AJ168" s="1">
        <f>IF(AI168=1,U168,0)</f>
        <v>0</v>
      </c>
      <c r="AK168" s="1">
        <f>IF(U168&gt;0,1,0)</f>
        <v>0</v>
      </c>
      <c r="AL168" s="1">
        <f>IF(AK168=1,U168,0)</f>
        <v>0</v>
      </c>
      <c r="AM168" s="1">
        <f>IF(AJ168&lt;-20000000.0/100,1,0)</f>
        <v>0</v>
      </c>
      <c r="AN168" s="1">
        <f>IF(AL168&gt;20000000.0/100,1,0)</f>
        <v>0</v>
      </c>
    </row>
    <row r="169" spans="1:40" s="1" customFormat="1">
      <c r="A169" s="3">
        <v>45540</v>
      </c>
      <c r="B169" s="2" t="s">
        <v>25</v>
      </c>
      <c r="C169" s="1">
        <f>SUM(PL!H169:J169)</f>
        <v>0</v>
      </c>
      <c r="D169" s="1">
        <f>SUM(PL!K169:M169)</f>
        <v>0</v>
      </c>
      <c r="E169" s="1">
        <f>SUM(PL!N169:P169)</f>
        <v>0</v>
      </c>
      <c r="F169" s="1">
        <f>SUM(PL!Q169:S169)</f>
        <v>0</v>
      </c>
      <c r="G169" s="1">
        <f>SUM(PL!T169:V169)</f>
        <v>0</v>
      </c>
      <c r="H169" s="1">
        <f>SUM(C169:G169)</f>
        <v>0</v>
      </c>
      <c r="I169" s="1">
        <f>IF(C169 + I168 &lt; 0, C169 + I168, 0)</f>
        <v>0</v>
      </c>
      <c r="J169" s="1">
        <f>IF(D169 + J168 &lt; 0, D169 + J168, 0)</f>
        <v>0</v>
      </c>
      <c r="K169" s="1">
        <f>IF(E169 + K168 &lt; 0, E169 + K168, 0)</f>
        <v>0</v>
      </c>
      <c r="L169" s="1">
        <f>IF(F169 + L168 &lt; 0, F169 + L168, 0)</f>
        <v>0</v>
      </c>
      <c r="M169" s="1">
        <f>IF(G169 + M168 &lt; 0, G169 + M168, 0)</f>
        <v>0</v>
      </c>
      <c r="N169" s="1">
        <f>IF(H169 + N168 &lt; 0, H169 + N168, 0)</f>
        <v>0</v>
      </c>
      <c r="O169" s="1">
        <f>IF(N169 &lt; 0, 1 + O168, 0)</f>
        <v>0</v>
      </c>
      <c r="P169" s="1">
        <f>C169-((ABS(SUM(PL!H169:J169)))*0.125)</f>
        <v>0</v>
      </c>
      <c r="Q169" s="1">
        <f>D169-((ABS(SUM(PL!K169:M169)))*0.125)</f>
        <v>0</v>
      </c>
      <c r="R169" s="1">
        <f>E169-((ABS(SUM(PL!N169:P169)))*0.125)</f>
        <v>0</v>
      </c>
      <c r="S169" s="1">
        <f>F169-((ABS(SUM(PL!Q169:S169)))*0.125)</f>
        <v>0</v>
      </c>
      <c r="T169" s="1">
        <f>G169-((ABS(SUM(PL!T169:V169)))*0.125)</f>
        <v>0</v>
      </c>
      <c r="U169" s="1">
        <f>P169 + Q169 + R169 + S169 + T169</f>
        <v>0</v>
      </c>
      <c r="V169" s="1">
        <f>IF(P169 + V168 &lt; 0, P169 + V168, 0)</f>
        <v>0</v>
      </c>
      <c r="W169" s="1">
        <f>IF(Q169 + W168 &lt; 0, Q169 + W168, 0)</f>
        <v>0</v>
      </c>
      <c r="X169" s="1">
        <f>IF(R169 + X168 &lt; 0, R169 + X168, 0)</f>
        <v>0</v>
      </c>
      <c r="Y169" s="1">
        <f>IF(S169 + Y168 &lt; 0, S169 + Y168, 0)</f>
        <v>0</v>
      </c>
      <c r="Z169" s="1">
        <f>IF(T169 + Z168 &lt; 0, T169 + Z168, 0)</f>
        <v>0</v>
      </c>
      <c r="AA169" s="1">
        <f>IF(U169 + AA168 &lt; 0, U169 + AA168, 0)</f>
        <v>0</v>
      </c>
      <c r="AB169" s="1">
        <f>IF(AA169 &lt; 0, 1 + AB168, 0)</f>
        <v>0</v>
      </c>
      <c r="AC169" s="1">
        <f>IF(H169&lt;0,1,0)</f>
        <v>0</v>
      </c>
      <c r="AD169" s="1">
        <f>IF(AC169=1,H169,0)</f>
        <v>0</v>
      </c>
      <c r="AE169" s="1">
        <f>IF(H169&gt;0,1,0)</f>
        <v>0</v>
      </c>
      <c r="AF169" s="1">
        <f>IF(AE169=1,H169,0)</f>
        <v>0</v>
      </c>
      <c r="AG169" s="1">
        <f>IF(AD169&lt;-20000000.0/100,1,0)</f>
        <v>0</v>
      </c>
      <c r="AH169" s="1">
        <f>IF(AF169&gt;20000000.0/100,1,0)</f>
        <v>0</v>
      </c>
      <c r="AI169" s="1">
        <f>IF(U169&lt;0,1,0)</f>
        <v>0</v>
      </c>
      <c r="AJ169" s="1">
        <f>IF(AI169=1,U169,0)</f>
        <v>0</v>
      </c>
      <c r="AK169" s="1">
        <f>IF(U169&gt;0,1,0)</f>
        <v>0</v>
      </c>
      <c r="AL169" s="1">
        <f>IF(AK169=1,U169,0)</f>
        <v>0</v>
      </c>
      <c r="AM169" s="1">
        <f>IF(AJ169&lt;-20000000.0/100,1,0)</f>
        <v>0</v>
      </c>
      <c r="AN169" s="1">
        <f>IF(AL169&gt;20000000.0/100,1,0)</f>
        <v>0</v>
      </c>
    </row>
    <row r="170" spans="1:40" s="1" customFormat="1">
      <c r="A170" s="3">
        <v>45541</v>
      </c>
      <c r="B170" s="2" t="s">
        <v>26</v>
      </c>
      <c r="C170" s="1">
        <f>SUM(PL!H170:J170)</f>
        <v>0</v>
      </c>
      <c r="D170" s="1">
        <f>SUM(PL!K170:M170)</f>
        <v>0</v>
      </c>
      <c r="E170" s="1">
        <f>SUM(PL!N170:P170)</f>
        <v>0</v>
      </c>
      <c r="F170" s="1">
        <f>SUM(PL!Q170:S170)</f>
        <v>0</v>
      </c>
      <c r="G170" s="1">
        <f>SUM(PL!T170:V170)</f>
        <v>0</v>
      </c>
      <c r="H170" s="1">
        <f>SUM(C170:G170)</f>
        <v>0</v>
      </c>
      <c r="I170" s="1">
        <f>IF(C170 + I169 &lt; 0, C170 + I169, 0)</f>
        <v>0</v>
      </c>
      <c r="J170" s="1">
        <f>IF(D170 + J169 &lt; 0, D170 + J169, 0)</f>
        <v>0</v>
      </c>
      <c r="K170" s="1">
        <f>IF(E170 + K169 &lt; 0, E170 + K169, 0)</f>
        <v>0</v>
      </c>
      <c r="L170" s="1">
        <f>IF(F170 + L169 &lt; 0, F170 + L169, 0)</f>
        <v>0</v>
      </c>
      <c r="M170" s="1">
        <f>IF(G170 + M169 &lt; 0, G170 + M169, 0)</f>
        <v>0</v>
      </c>
      <c r="N170" s="1">
        <f>IF(H170 + N169 &lt; 0, H170 + N169, 0)</f>
        <v>0</v>
      </c>
      <c r="O170" s="1">
        <f>IF(N170 &lt; 0, 1 + O169, 0)</f>
        <v>0</v>
      </c>
      <c r="P170" s="1">
        <f>C170-((ABS(SUM(PL!H170:J170)))*0.125)</f>
        <v>0</v>
      </c>
      <c r="Q170" s="1">
        <f>D170-((ABS(SUM(PL!K170:M170)))*0.125)</f>
        <v>0</v>
      </c>
      <c r="R170" s="1">
        <f>E170-((ABS(SUM(PL!N170:P170)))*0.125)</f>
        <v>0</v>
      </c>
      <c r="S170" s="1">
        <f>F170-((ABS(SUM(PL!Q170:S170)))*0.125)</f>
        <v>0</v>
      </c>
      <c r="T170" s="1">
        <f>G170-((ABS(SUM(PL!T170:V170)))*0.125)</f>
        <v>0</v>
      </c>
      <c r="U170" s="1">
        <f>P170 + Q170 + R170 + S170 + T170</f>
        <v>0</v>
      </c>
      <c r="V170" s="1">
        <f>IF(P170 + V169 &lt; 0, P170 + V169, 0)</f>
        <v>0</v>
      </c>
      <c r="W170" s="1">
        <f>IF(Q170 + W169 &lt; 0, Q170 + W169, 0)</f>
        <v>0</v>
      </c>
      <c r="X170" s="1">
        <f>IF(R170 + X169 &lt; 0, R170 + X169, 0)</f>
        <v>0</v>
      </c>
      <c r="Y170" s="1">
        <f>IF(S170 + Y169 &lt; 0, S170 + Y169, 0)</f>
        <v>0</v>
      </c>
      <c r="Z170" s="1">
        <f>IF(T170 + Z169 &lt; 0, T170 + Z169, 0)</f>
        <v>0</v>
      </c>
      <c r="AA170" s="1">
        <f>IF(U170 + AA169 &lt; 0, U170 + AA169, 0)</f>
        <v>0</v>
      </c>
      <c r="AB170" s="1">
        <f>IF(AA170 &lt; 0, 1 + AB169, 0)</f>
        <v>0</v>
      </c>
      <c r="AC170" s="1">
        <f>IF(H170&lt;0,1,0)</f>
        <v>0</v>
      </c>
      <c r="AD170" s="1">
        <f>IF(AC170=1,H170,0)</f>
        <v>0</v>
      </c>
      <c r="AE170" s="1">
        <f>IF(H170&gt;0,1,0)</f>
        <v>0</v>
      </c>
      <c r="AF170" s="1">
        <f>IF(AE170=1,H170,0)</f>
        <v>0</v>
      </c>
      <c r="AG170" s="1">
        <f>IF(AD170&lt;-20000000.0/100,1,0)</f>
        <v>0</v>
      </c>
      <c r="AH170" s="1">
        <f>IF(AF170&gt;20000000.0/100,1,0)</f>
        <v>0</v>
      </c>
      <c r="AI170" s="1">
        <f>IF(U170&lt;0,1,0)</f>
        <v>0</v>
      </c>
      <c r="AJ170" s="1">
        <f>IF(AI170=1,U170,0)</f>
        <v>0</v>
      </c>
      <c r="AK170" s="1">
        <f>IF(U170&gt;0,1,0)</f>
        <v>0</v>
      </c>
      <c r="AL170" s="1">
        <f>IF(AK170=1,U170,0)</f>
        <v>0</v>
      </c>
      <c r="AM170" s="1">
        <f>IF(AJ170&lt;-20000000.0/100,1,0)</f>
        <v>0</v>
      </c>
      <c r="AN170" s="1">
        <f>IF(AL170&gt;20000000.0/100,1,0)</f>
        <v>0</v>
      </c>
    </row>
    <row r="171" spans="1:40" s="1" customFormat="1">
      <c r="A171" s="3">
        <v>45544</v>
      </c>
      <c r="B171" s="2" t="s">
        <v>22</v>
      </c>
      <c r="C171" s="1">
        <f>SUM(PL!H171:J171)</f>
        <v>0</v>
      </c>
      <c r="D171" s="1">
        <f>SUM(PL!K171:M171)</f>
        <v>0</v>
      </c>
      <c r="E171" s="1">
        <f>SUM(PL!N171:P171)</f>
        <v>0</v>
      </c>
      <c r="F171" s="1">
        <f>SUM(PL!Q171:S171)</f>
        <v>0</v>
      </c>
      <c r="G171" s="1">
        <f>SUM(PL!T171:V171)</f>
        <v>0</v>
      </c>
      <c r="H171" s="1">
        <f>SUM(C171:G171)</f>
        <v>0</v>
      </c>
      <c r="I171" s="1">
        <f>IF(C171 + I170 &lt; 0, C171 + I170, 0)</f>
        <v>0</v>
      </c>
      <c r="J171" s="1">
        <f>IF(D171 + J170 &lt; 0, D171 + J170, 0)</f>
        <v>0</v>
      </c>
      <c r="K171" s="1">
        <f>IF(E171 + K170 &lt; 0, E171 + K170, 0)</f>
        <v>0</v>
      </c>
      <c r="L171" s="1">
        <f>IF(F171 + L170 &lt; 0, F171 + L170, 0)</f>
        <v>0</v>
      </c>
      <c r="M171" s="1">
        <f>IF(G171 + M170 &lt; 0, G171 + M170, 0)</f>
        <v>0</v>
      </c>
      <c r="N171" s="1">
        <f>IF(H171 + N170 &lt; 0, H171 + N170, 0)</f>
        <v>0</v>
      </c>
      <c r="O171" s="1">
        <f>IF(N171 &lt; 0, 1 + O170, 0)</f>
        <v>0</v>
      </c>
      <c r="P171" s="1">
        <f>C171-((ABS(SUM(PL!H171:J171)))*0.125)</f>
        <v>0</v>
      </c>
      <c r="Q171" s="1">
        <f>D171-((ABS(SUM(PL!K171:M171)))*0.125)</f>
        <v>0</v>
      </c>
      <c r="R171" s="1">
        <f>E171-((ABS(SUM(PL!N171:P171)))*0.125)</f>
        <v>0</v>
      </c>
      <c r="S171" s="1">
        <f>F171-((ABS(SUM(PL!Q171:S171)))*0.125)</f>
        <v>0</v>
      </c>
      <c r="T171" s="1">
        <f>G171-((ABS(SUM(PL!T171:V171)))*0.125)</f>
        <v>0</v>
      </c>
      <c r="U171" s="1">
        <f>P171 + Q171 + R171 + S171 + T171</f>
        <v>0</v>
      </c>
      <c r="V171" s="1">
        <f>IF(P171 + V170 &lt; 0, P171 + V170, 0)</f>
        <v>0</v>
      </c>
      <c r="W171" s="1">
        <f>IF(Q171 + W170 &lt; 0, Q171 + W170, 0)</f>
        <v>0</v>
      </c>
      <c r="X171" s="1">
        <f>IF(R171 + X170 &lt; 0, R171 + X170, 0)</f>
        <v>0</v>
      </c>
      <c r="Y171" s="1">
        <f>IF(S171 + Y170 &lt; 0, S171 + Y170, 0)</f>
        <v>0</v>
      </c>
      <c r="Z171" s="1">
        <f>IF(T171 + Z170 &lt; 0, T171 + Z170, 0)</f>
        <v>0</v>
      </c>
      <c r="AA171" s="1">
        <f>IF(U171 + AA170 &lt; 0, U171 + AA170, 0)</f>
        <v>0</v>
      </c>
      <c r="AB171" s="1">
        <f>IF(AA171 &lt; 0, 1 + AB170, 0)</f>
        <v>0</v>
      </c>
      <c r="AC171" s="1">
        <f>IF(H171&lt;0,1,0)</f>
        <v>0</v>
      </c>
      <c r="AD171" s="1">
        <f>IF(AC171=1,H171,0)</f>
        <v>0</v>
      </c>
      <c r="AE171" s="1">
        <f>IF(H171&gt;0,1,0)</f>
        <v>0</v>
      </c>
      <c r="AF171" s="1">
        <f>IF(AE171=1,H171,0)</f>
        <v>0</v>
      </c>
      <c r="AG171" s="1">
        <f>IF(AD171&lt;-20000000.0/100,1,0)</f>
        <v>0</v>
      </c>
      <c r="AH171" s="1">
        <f>IF(AF171&gt;20000000.0/100,1,0)</f>
        <v>0</v>
      </c>
      <c r="AI171" s="1">
        <f>IF(U171&lt;0,1,0)</f>
        <v>0</v>
      </c>
      <c r="AJ171" s="1">
        <f>IF(AI171=1,U171,0)</f>
        <v>0</v>
      </c>
      <c r="AK171" s="1">
        <f>IF(U171&gt;0,1,0)</f>
        <v>0</v>
      </c>
      <c r="AL171" s="1">
        <f>IF(AK171=1,U171,0)</f>
        <v>0</v>
      </c>
      <c r="AM171" s="1">
        <f>IF(AJ171&lt;-20000000.0/100,1,0)</f>
        <v>0</v>
      </c>
      <c r="AN171" s="1">
        <f>IF(AL171&gt;20000000.0/100,1,0)</f>
        <v>0</v>
      </c>
    </row>
    <row r="172" spans="1:40" s="1" customFormat="1">
      <c r="A172" s="3">
        <v>45545</v>
      </c>
      <c r="B172" s="2" t="s">
        <v>23</v>
      </c>
      <c r="C172" s="1">
        <f>SUM(PL!H172:J172)</f>
        <v>0</v>
      </c>
      <c r="D172" s="1">
        <f>SUM(PL!K172:M172)</f>
        <v>0</v>
      </c>
      <c r="E172" s="1">
        <f>SUM(PL!N172:P172)</f>
        <v>0</v>
      </c>
      <c r="F172" s="1">
        <f>SUM(PL!Q172:S172)</f>
        <v>0</v>
      </c>
      <c r="G172" s="1">
        <f>SUM(PL!T172:V172)</f>
        <v>0</v>
      </c>
      <c r="H172" s="1">
        <f>SUM(C172:G172)</f>
        <v>0</v>
      </c>
      <c r="I172" s="1">
        <f>IF(C172 + I171 &lt; 0, C172 + I171, 0)</f>
        <v>0</v>
      </c>
      <c r="J172" s="1">
        <f>IF(D172 + J171 &lt; 0, D172 + J171, 0)</f>
        <v>0</v>
      </c>
      <c r="K172" s="1">
        <f>IF(E172 + K171 &lt; 0, E172 + K171, 0)</f>
        <v>0</v>
      </c>
      <c r="L172" s="1">
        <f>IF(F172 + L171 &lt; 0, F172 + L171, 0)</f>
        <v>0</v>
      </c>
      <c r="M172" s="1">
        <f>IF(G172 + M171 &lt; 0, G172 + M171, 0)</f>
        <v>0</v>
      </c>
      <c r="N172" s="1">
        <f>IF(H172 + N171 &lt; 0, H172 + N171, 0)</f>
        <v>0</v>
      </c>
      <c r="O172" s="1">
        <f>IF(N172 &lt; 0, 1 + O171, 0)</f>
        <v>0</v>
      </c>
      <c r="P172" s="1">
        <f>C172-((ABS(SUM(PL!H172:J172)))*0.125)</f>
        <v>0</v>
      </c>
      <c r="Q172" s="1">
        <f>D172-((ABS(SUM(PL!K172:M172)))*0.125)</f>
        <v>0</v>
      </c>
      <c r="R172" s="1">
        <f>E172-((ABS(SUM(PL!N172:P172)))*0.125)</f>
        <v>0</v>
      </c>
      <c r="S172" s="1">
        <f>F172-((ABS(SUM(PL!Q172:S172)))*0.125)</f>
        <v>0</v>
      </c>
      <c r="T172" s="1">
        <f>G172-((ABS(SUM(PL!T172:V172)))*0.125)</f>
        <v>0</v>
      </c>
      <c r="U172" s="1">
        <f>P172 + Q172 + R172 + S172 + T172</f>
        <v>0</v>
      </c>
      <c r="V172" s="1">
        <f>IF(P172 + V171 &lt; 0, P172 + V171, 0)</f>
        <v>0</v>
      </c>
      <c r="W172" s="1">
        <f>IF(Q172 + W171 &lt; 0, Q172 + W171, 0)</f>
        <v>0</v>
      </c>
      <c r="X172" s="1">
        <f>IF(R172 + X171 &lt; 0, R172 + X171, 0)</f>
        <v>0</v>
      </c>
      <c r="Y172" s="1">
        <f>IF(S172 + Y171 &lt; 0, S172 + Y171, 0)</f>
        <v>0</v>
      </c>
      <c r="Z172" s="1">
        <f>IF(T172 + Z171 &lt; 0, T172 + Z171, 0)</f>
        <v>0</v>
      </c>
      <c r="AA172" s="1">
        <f>IF(U172 + AA171 &lt; 0, U172 + AA171, 0)</f>
        <v>0</v>
      </c>
      <c r="AB172" s="1">
        <f>IF(AA172 &lt; 0, 1 + AB171, 0)</f>
        <v>0</v>
      </c>
      <c r="AC172" s="1">
        <f>IF(H172&lt;0,1,0)</f>
        <v>0</v>
      </c>
      <c r="AD172" s="1">
        <f>IF(AC172=1,H172,0)</f>
        <v>0</v>
      </c>
      <c r="AE172" s="1">
        <f>IF(H172&gt;0,1,0)</f>
        <v>0</v>
      </c>
      <c r="AF172" s="1">
        <f>IF(AE172=1,H172,0)</f>
        <v>0</v>
      </c>
      <c r="AG172" s="1">
        <f>IF(AD172&lt;-20000000.0/100,1,0)</f>
        <v>0</v>
      </c>
      <c r="AH172" s="1">
        <f>IF(AF172&gt;20000000.0/100,1,0)</f>
        <v>0</v>
      </c>
      <c r="AI172" s="1">
        <f>IF(U172&lt;0,1,0)</f>
        <v>0</v>
      </c>
      <c r="AJ172" s="1">
        <f>IF(AI172=1,U172,0)</f>
        <v>0</v>
      </c>
      <c r="AK172" s="1">
        <f>IF(U172&gt;0,1,0)</f>
        <v>0</v>
      </c>
      <c r="AL172" s="1">
        <f>IF(AK172=1,U172,0)</f>
        <v>0</v>
      </c>
      <c r="AM172" s="1">
        <f>IF(AJ172&lt;-20000000.0/100,1,0)</f>
        <v>0</v>
      </c>
      <c r="AN172" s="1">
        <f>IF(AL172&gt;20000000.0/100,1,0)</f>
        <v>0</v>
      </c>
    </row>
    <row r="173" spans="1:40" s="1" customFormat="1">
      <c r="A173" s="3">
        <v>45546</v>
      </c>
      <c r="B173" s="2" t="s">
        <v>24</v>
      </c>
      <c r="C173" s="1">
        <f>SUM(PL!H173:J173)</f>
        <v>0</v>
      </c>
      <c r="D173" s="1">
        <f>SUM(PL!K173:M173)</f>
        <v>0</v>
      </c>
      <c r="E173" s="1">
        <f>SUM(PL!N173:P173)</f>
        <v>0</v>
      </c>
      <c r="F173" s="1">
        <f>SUM(PL!Q173:S173)</f>
        <v>0</v>
      </c>
      <c r="G173" s="1">
        <f>SUM(PL!T173:V173)</f>
        <v>0</v>
      </c>
      <c r="H173" s="1">
        <f>SUM(C173:G173)</f>
        <v>0</v>
      </c>
      <c r="I173" s="1">
        <f>IF(C173 + I172 &lt; 0, C173 + I172, 0)</f>
        <v>0</v>
      </c>
      <c r="J173" s="1">
        <f>IF(D173 + J172 &lt; 0, D173 + J172, 0)</f>
        <v>0</v>
      </c>
      <c r="K173" s="1">
        <f>IF(E173 + K172 &lt; 0, E173 + K172, 0)</f>
        <v>0</v>
      </c>
      <c r="L173" s="1">
        <f>IF(F173 + L172 &lt; 0, F173 + L172, 0)</f>
        <v>0</v>
      </c>
      <c r="M173" s="1">
        <f>IF(G173 + M172 &lt; 0, G173 + M172, 0)</f>
        <v>0</v>
      </c>
      <c r="N173" s="1">
        <f>IF(H173 + N172 &lt; 0, H173 + N172, 0)</f>
        <v>0</v>
      </c>
      <c r="O173" s="1">
        <f>IF(N173 &lt; 0, 1 + O172, 0)</f>
        <v>0</v>
      </c>
      <c r="P173" s="1">
        <f>C173-((ABS(SUM(PL!H173:J173)))*0.125)</f>
        <v>0</v>
      </c>
      <c r="Q173" s="1">
        <f>D173-((ABS(SUM(PL!K173:M173)))*0.125)</f>
        <v>0</v>
      </c>
      <c r="R173" s="1">
        <f>E173-((ABS(SUM(PL!N173:P173)))*0.125)</f>
        <v>0</v>
      </c>
      <c r="S173" s="1">
        <f>F173-((ABS(SUM(PL!Q173:S173)))*0.125)</f>
        <v>0</v>
      </c>
      <c r="T173" s="1">
        <f>G173-((ABS(SUM(PL!T173:V173)))*0.125)</f>
        <v>0</v>
      </c>
      <c r="U173" s="1">
        <f>P173 + Q173 + R173 + S173 + T173</f>
        <v>0</v>
      </c>
      <c r="V173" s="1">
        <f>IF(P173 + V172 &lt; 0, P173 + V172, 0)</f>
        <v>0</v>
      </c>
      <c r="W173" s="1">
        <f>IF(Q173 + W172 &lt; 0, Q173 + W172, 0)</f>
        <v>0</v>
      </c>
      <c r="X173" s="1">
        <f>IF(R173 + X172 &lt; 0, R173 + X172, 0)</f>
        <v>0</v>
      </c>
      <c r="Y173" s="1">
        <f>IF(S173 + Y172 &lt; 0, S173 + Y172, 0)</f>
        <v>0</v>
      </c>
      <c r="Z173" s="1">
        <f>IF(T173 + Z172 &lt; 0, T173 + Z172, 0)</f>
        <v>0</v>
      </c>
      <c r="AA173" s="1">
        <f>IF(U173 + AA172 &lt; 0, U173 + AA172, 0)</f>
        <v>0</v>
      </c>
      <c r="AB173" s="1">
        <f>IF(AA173 &lt; 0, 1 + AB172, 0)</f>
        <v>0</v>
      </c>
      <c r="AC173" s="1">
        <f>IF(H173&lt;0,1,0)</f>
        <v>0</v>
      </c>
      <c r="AD173" s="1">
        <f>IF(AC173=1,H173,0)</f>
        <v>0</v>
      </c>
      <c r="AE173" s="1">
        <f>IF(H173&gt;0,1,0)</f>
        <v>0</v>
      </c>
      <c r="AF173" s="1">
        <f>IF(AE173=1,H173,0)</f>
        <v>0</v>
      </c>
      <c r="AG173" s="1">
        <f>IF(AD173&lt;-20000000.0/100,1,0)</f>
        <v>0</v>
      </c>
      <c r="AH173" s="1">
        <f>IF(AF173&gt;20000000.0/100,1,0)</f>
        <v>0</v>
      </c>
      <c r="AI173" s="1">
        <f>IF(U173&lt;0,1,0)</f>
        <v>0</v>
      </c>
      <c r="AJ173" s="1">
        <f>IF(AI173=1,U173,0)</f>
        <v>0</v>
      </c>
      <c r="AK173" s="1">
        <f>IF(U173&gt;0,1,0)</f>
        <v>0</v>
      </c>
      <c r="AL173" s="1">
        <f>IF(AK173=1,U173,0)</f>
        <v>0</v>
      </c>
      <c r="AM173" s="1">
        <f>IF(AJ173&lt;-20000000.0/100,1,0)</f>
        <v>0</v>
      </c>
      <c r="AN173" s="1">
        <f>IF(AL173&gt;20000000.0/100,1,0)</f>
        <v>0</v>
      </c>
    </row>
    <row r="174" spans="1:40" s="1" customFormat="1">
      <c r="A174" s="3">
        <v>45547</v>
      </c>
      <c r="B174" s="2" t="s">
        <v>25</v>
      </c>
      <c r="C174" s="1">
        <f>SUM(PL!H174:J174)</f>
        <v>0</v>
      </c>
      <c r="D174" s="1">
        <f>SUM(PL!K174:M174)</f>
        <v>0</v>
      </c>
      <c r="E174" s="1">
        <f>SUM(PL!N174:P174)</f>
        <v>0</v>
      </c>
      <c r="F174" s="1">
        <f>SUM(PL!Q174:S174)</f>
        <v>0</v>
      </c>
      <c r="G174" s="1">
        <f>SUM(PL!T174:V174)</f>
        <v>0</v>
      </c>
      <c r="H174" s="1">
        <f>SUM(C174:G174)</f>
        <v>0</v>
      </c>
      <c r="I174" s="1">
        <f>IF(C174 + I173 &lt; 0, C174 + I173, 0)</f>
        <v>0</v>
      </c>
      <c r="J174" s="1">
        <f>IF(D174 + J173 &lt; 0, D174 + J173, 0)</f>
        <v>0</v>
      </c>
      <c r="K174" s="1">
        <f>IF(E174 + K173 &lt; 0, E174 + K173, 0)</f>
        <v>0</v>
      </c>
      <c r="L174" s="1">
        <f>IF(F174 + L173 &lt; 0, F174 + L173, 0)</f>
        <v>0</v>
      </c>
      <c r="M174" s="1">
        <f>IF(G174 + M173 &lt; 0, G174 + M173, 0)</f>
        <v>0</v>
      </c>
      <c r="N174" s="1">
        <f>IF(H174 + N173 &lt; 0, H174 + N173, 0)</f>
        <v>0</v>
      </c>
      <c r="O174" s="1">
        <f>IF(N174 &lt; 0, 1 + O173, 0)</f>
        <v>0</v>
      </c>
      <c r="P174" s="1">
        <f>C174-((ABS(SUM(PL!H174:J174)))*0.125)</f>
        <v>0</v>
      </c>
      <c r="Q174" s="1">
        <f>D174-((ABS(SUM(PL!K174:M174)))*0.125)</f>
        <v>0</v>
      </c>
      <c r="R174" s="1">
        <f>E174-((ABS(SUM(PL!N174:P174)))*0.125)</f>
        <v>0</v>
      </c>
      <c r="S174" s="1">
        <f>F174-((ABS(SUM(PL!Q174:S174)))*0.125)</f>
        <v>0</v>
      </c>
      <c r="T174" s="1">
        <f>G174-((ABS(SUM(PL!T174:V174)))*0.125)</f>
        <v>0</v>
      </c>
      <c r="U174" s="1">
        <f>P174 + Q174 + R174 + S174 + T174</f>
        <v>0</v>
      </c>
      <c r="V174" s="1">
        <f>IF(P174 + V173 &lt; 0, P174 + V173, 0)</f>
        <v>0</v>
      </c>
      <c r="W174" s="1">
        <f>IF(Q174 + W173 &lt; 0, Q174 + W173, 0)</f>
        <v>0</v>
      </c>
      <c r="X174" s="1">
        <f>IF(R174 + X173 &lt; 0, R174 + X173, 0)</f>
        <v>0</v>
      </c>
      <c r="Y174" s="1">
        <f>IF(S174 + Y173 &lt; 0, S174 + Y173, 0)</f>
        <v>0</v>
      </c>
      <c r="Z174" s="1">
        <f>IF(T174 + Z173 &lt; 0, T174 + Z173, 0)</f>
        <v>0</v>
      </c>
      <c r="AA174" s="1">
        <f>IF(U174 + AA173 &lt; 0, U174 + AA173, 0)</f>
        <v>0</v>
      </c>
      <c r="AB174" s="1">
        <f>IF(AA174 &lt; 0, 1 + AB173, 0)</f>
        <v>0</v>
      </c>
      <c r="AC174" s="1">
        <f>IF(H174&lt;0,1,0)</f>
        <v>0</v>
      </c>
      <c r="AD174" s="1">
        <f>IF(AC174=1,H174,0)</f>
        <v>0</v>
      </c>
      <c r="AE174" s="1">
        <f>IF(H174&gt;0,1,0)</f>
        <v>0</v>
      </c>
      <c r="AF174" s="1">
        <f>IF(AE174=1,H174,0)</f>
        <v>0</v>
      </c>
      <c r="AG174" s="1">
        <f>IF(AD174&lt;-20000000.0/100,1,0)</f>
        <v>0</v>
      </c>
      <c r="AH174" s="1">
        <f>IF(AF174&gt;20000000.0/100,1,0)</f>
        <v>0</v>
      </c>
      <c r="AI174" s="1">
        <f>IF(U174&lt;0,1,0)</f>
        <v>0</v>
      </c>
      <c r="AJ174" s="1">
        <f>IF(AI174=1,U174,0)</f>
        <v>0</v>
      </c>
      <c r="AK174" s="1">
        <f>IF(U174&gt;0,1,0)</f>
        <v>0</v>
      </c>
      <c r="AL174" s="1">
        <f>IF(AK174=1,U174,0)</f>
        <v>0</v>
      </c>
      <c r="AM174" s="1">
        <f>IF(AJ174&lt;-20000000.0/100,1,0)</f>
        <v>0</v>
      </c>
      <c r="AN174" s="1">
        <f>IF(AL174&gt;20000000.0/100,1,0)</f>
        <v>0</v>
      </c>
    </row>
    <row r="175" spans="1:40" s="1" customFormat="1">
      <c r="A175" s="3">
        <v>45548</v>
      </c>
      <c r="B175" s="2" t="s">
        <v>26</v>
      </c>
      <c r="C175" s="1">
        <f>SUM(PL!H175:J175)</f>
        <v>0</v>
      </c>
      <c r="D175" s="1">
        <f>SUM(PL!K175:M175)</f>
        <v>0</v>
      </c>
      <c r="E175" s="1">
        <f>SUM(PL!N175:P175)</f>
        <v>0</v>
      </c>
      <c r="F175" s="1">
        <f>SUM(PL!Q175:S175)</f>
        <v>0</v>
      </c>
      <c r="G175" s="1">
        <f>SUM(PL!T175:V175)</f>
        <v>0</v>
      </c>
      <c r="H175" s="1">
        <f>SUM(C175:G175)</f>
        <v>0</v>
      </c>
      <c r="I175" s="1">
        <f>IF(C175 + I174 &lt; 0, C175 + I174, 0)</f>
        <v>0</v>
      </c>
      <c r="J175" s="1">
        <f>IF(D175 + J174 &lt; 0, D175 + J174, 0)</f>
        <v>0</v>
      </c>
      <c r="K175" s="1">
        <f>IF(E175 + K174 &lt; 0, E175 + K174, 0)</f>
        <v>0</v>
      </c>
      <c r="L175" s="1">
        <f>IF(F175 + L174 &lt; 0, F175 + L174, 0)</f>
        <v>0</v>
      </c>
      <c r="M175" s="1">
        <f>IF(G175 + M174 &lt; 0, G175 + M174, 0)</f>
        <v>0</v>
      </c>
      <c r="N175" s="1">
        <f>IF(H175 + N174 &lt; 0, H175 + N174, 0)</f>
        <v>0</v>
      </c>
      <c r="O175" s="1">
        <f>IF(N175 &lt; 0, 1 + O174, 0)</f>
        <v>0</v>
      </c>
      <c r="P175" s="1">
        <f>C175-((ABS(SUM(PL!H175:J175)))*0.125)</f>
        <v>0</v>
      </c>
      <c r="Q175" s="1">
        <f>D175-((ABS(SUM(PL!K175:M175)))*0.125)</f>
        <v>0</v>
      </c>
      <c r="R175" s="1">
        <f>E175-((ABS(SUM(PL!N175:P175)))*0.125)</f>
        <v>0</v>
      </c>
      <c r="S175" s="1">
        <f>F175-((ABS(SUM(PL!Q175:S175)))*0.125)</f>
        <v>0</v>
      </c>
      <c r="T175" s="1">
        <f>G175-((ABS(SUM(PL!T175:V175)))*0.125)</f>
        <v>0</v>
      </c>
      <c r="U175" s="1">
        <f>P175 + Q175 + R175 + S175 + T175</f>
        <v>0</v>
      </c>
      <c r="V175" s="1">
        <f>IF(P175 + V174 &lt; 0, P175 + V174, 0)</f>
        <v>0</v>
      </c>
      <c r="W175" s="1">
        <f>IF(Q175 + W174 &lt; 0, Q175 + W174, 0)</f>
        <v>0</v>
      </c>
      <c r="X175" s="1">
        <f>IF(R175 + X174 &lt; 0, R175 + X174, 0)</f>
        <v>0</v>
      </c>
      <c r="Y175" s="1">
        <f>IF(S175 + Y174 &lt; 0, S175 + Y174, 0)</f>
        <v>0</v>
      </c>
      <c r="Z175" s="1">
        <f>IF(T175 + Z174 &lt; 0, T175 + Z174, 0)</f>
        <v>0</v>
      </c>
      <c r="AA175" s="1">
        <f>IF(U175 + AA174 &lt; 0, U175 + AA174, 0)</f>
        <v>0</v>
      </c>
      <c r="AB175" s="1">
        <f>IF(AA175 &lt; 0, 1 + AB174, 0)</f>
        <v>0</v>
      </c>
      <c r="AC175" s="1">
        <f>IF(H175&lt;0,1,0)</f>
        <v>0</v>
      </c>
      <c r="AD175" s="1">
        <f>IF(AC175=1,H175,0)</f>
        <v>0</v>
      </c>
      <c r="AE175" s="1">
        <f>IF(H175&gt;0,1,0)</f>
        <v>0</v>
      </c>
      <c r="AF175" s="1">
        <f>IF(AE175=1,H175,0)</f>
        <v>0</v>
      </c>
      <c r="AG175" s="1">
        <f>IF(AD175&lt;-20000000.0/100,1,0)</f>
        <v>0</v>
      </c>
      <c r="AH175" s="1">
        <f>IF(AF175&gt;20000000.0/100,1,0)</f>
        <v>0</v>
      </c>
      <c r="AI175" s="1">
        <f>IF(U175&lt;0,1,0)</f>
        <v>0</v>
      </c>
      <c r="AJ175" s="1">
        <f>IF(AI175=1,U175,0)</f>
        <v>0</v>
      </c>
      <c r="AK175" s="1">
        <f>IF(U175&gt;0,1,0)</f>
        <v>0</v>
      </c>
      <c r="AL175" s="1">
        <f>IF(AK175=1,U175,0)</f>
        <v>0</v>
      </c>
      <c r="AM175" s="1">
        <f>IF(AJ175&lt;-20000000.0/100,1,0)</f>
        <v>0</v>
      </c>
      <c r="AN175" s="1">
        <f>IF(AL175&gt;20000000.0/100,1,0)</f>
        <v>0</v>
      </c>
    </row>
    <row r="176" spans="1:40" s="1" customFormat="1">
      <c r="A176" s="3">
        <v>45551</v>
      </c>
      <c r="B176" s="2" t="s">
        <v>22</v>
      </c>
      <c r="C176" s="1">
        <f>SUM(PL!H176:J176)</f>
        <v>0</v>
      </c>
      <c r="D176" s="1">
        <f>SUM(PL!K176:M176)</f>
        <v>0</v>
      </c>
      <c r="E176" s="1">
        <f>SUM(PL!N176:P176)</f>
        <v>0</v>
      </c>
      <c r="F176" s="1">
        <f>SUM(PL!Q176:S176)</f>
        <v>0</v>
      </c>
      <c r="G176" s="1">
        <f>SUM(PL!T176:V176)</f>
        <v>0</v>
      </c>
      <c r="H176" s="1">
        <f>SUM(C176:G176)</f>
        <v>0</v>
      </c>
      <c r="I176" s="1">
        <f>IF(C176 + I175 &lt; 0, C176 + I175, 0)</f>
        <v>0</v>
      </c>
      <c r="J176" s="1">
        <f>IF(D176 + J175 &lt; 0, D176 + J175, 0)</f>
        <v>0</v>
      </c>
      <c r="K176" s="1">
        <f>IF(E176 + K175 &lt; 0, E176 + K175, 0)</f>
        <v>0</v>
      </c>
      <c r="L176" s="1">
        <f>IF(F176 + L175 &lt; 0, F176 + L175, 0)</f>
        <v>0</v>
      </c>
      <c r="M176" s="1">
        <f>IF(G176 + M175 &lt; 0, G176 + M175, 0)</f>
        <v>0</v>
      </c>
      <c r="N176" s="1">
        <f>IF(H176 + N175 &lt; 0, H176 + N175, 0)</f>
        <v>0</v>
      </c>
      <c r="O176" s="1">
        <f>IF(N176 &lt; 0, 1 + O175, 0)</f>
        <v>0</v>
      </c>
      <c r="P176" s="1">
        <f>C176-((ABS(SUM(PL!H176:J176)))*0.125)</f>
        <v>0</v>
      </c>
      <c r="Q176" s="1">
        <f>D176-((ABS(SUM(PL!K176:M176)))*0.125)</f>
        <v>0</v>
      </c>
      <c r="R176" s="1">
        <f>E176-((ABS(SUM(PL!N176:P176)))*0.125)</f>
        <v>0</v>
      </c>
      <c r="S176" s="1">
        <f>F176-((ABS(SUM(PL!Q176:S176)))*0.125)</f>
        <v>0</v>
      </c>
      <c r="T176" s="1">
        <f>G176-((ABS(SUM(PL!T176:V176)))*0.125)</f>
        <v>0</v>
      </c>
      <c r="U176" s="1">
        <f>P176 + Q176 + R176 + S176 + T176</f>
        <v>0</v>
      </c>
      <c r="V176" s="1">
        <f>IF(P176 + V175 &lt; 0, P176 + V175, 0)</f>
        <v>0</v>
      </c>
      <c r="W176" s="1">
        <f>IF(Q176 + W175 &lt; 0, Q176 + W175, 0)</f>
        <v>0</v>
      </c>
      <c r="X176" s="1">
        <f>IF(R176 + X175 &lt; 0, R176 + X175, 0)</f>
        <v>0</v>
      </c>
      <c r="Y176" s="1">
        <f>IF(S176 + Y175 &lt; 0, S176 + Y175, 0)</f>
        <v>0</v>
      </c>
      <c r="Z176" s="1">
        <f>IF(T176 + Z175 &lt; 0, T176 + Z175, 0)</f>
        <v>0</v>
      </c>
      <c r="AA176" s="1">
        <f>IF(U176 + AA175 &lt; 0, U176 + AA175, 0)</f>
        <v>0</v>
      </c>
      <c r="AB176" s="1">
        <f>IF(AA176 &lt; 0, 1 + AB175, 0)</f>
        <v>0</v>
      </c>
      <c r="AC176" s="1">
        <f>IF(H176&lt;0,1,0)</f>
        <v>0</v>
      </c>
      <c r="AD176" s="1">
        <f>IF(AC176=1,H176,0)</f>
        <v>0</v>
      </c>
      <c r="AE176" s="1">
        <f>IF(H176&gt;0,1,0)</f>
        <v>0</v>
      </c>
      <c r="AF176" s="1">
        <f>IF(AE176=1,H176,0)</f>
        <v>0</v>
      </c>
      <c r="AG176" s="1">
        <f>IF(AD176&lt;-20000000.0/100,1,0)</f>
        <v>0</v>
      </c>
      <c r="AH176" s="1">
        <f>IF(AF176&gt;20000000.0/100,1,0)</f>
        <v>0</v>
      </c>
      <c r="AI176" s="1">
        <f>IF(U176&lt;0,1,0)</f>
        <v>0</v>
      </c>
      <c r="AJ176" s="1">
        <f>IF(AI176=1,U176,0)</f>
        <v>0</v>
      </c>
      <c r="AK176" s="1">
        <f>IF(U176&gt;0,1,0)</f>
        <v>0</v>
      </c>
      <c r="AL176" s="1">
        <f>IF(AK176=1,U176,0)</f>
        <v>0</v>
      </c>
      <c r="AM176" s="1">
        <f>IF(AJ176&lt;-20000000.0/100,1,0)</f>
        <v>0</v>
      </c>
      <c r="AN176" s="1">
        <f>IF(AL176&gt;20000000.0/100,1,0)</f>
        <v>0</v>
      </c>
    </row>
    <row r="177" spans="1:40" s="1" customFormat="1">
      <c r="A177" s="3">
        <v>45552</v>
      </c>
      <c r="B177" s="2" t="s">
        <v>23</v>
      </c>
      <c r="C177" s="1">
        <f>SUM(PL!H177:J177)</f>
        <v>0</v>
      </c>
      <c r="D177" s="1">
        <f>SUM(PL!K177:M177)</f>
        <v>0</v>
      </c>
      <c r="E177" s="1">
        <f>SUM(PL!N177:P177)</f>
        <v>0</v>
      </c>
      <c r="F177" s="1">
        <f>SUM(PL!Q177:S177)</f>
        <v>0</v>
      </c>
      <c r="G177" s="1">
        <f>SUM(PL!T177:V177)</f>
        <v>0</v>
      </c>
      <c r="H177" s="1">
        <f>SUM(C177:G177)</f>
        <v>0</v>
      </c>
      <c r="I177" s="1">
        <f>IF(C177 + I176 &lt; 0, C177 + I176, 0)</f>
        <v>0</v>
      </c>
      <c r="J177" s="1">
        <f>IF(D177 + J176 &lt; 0, D177 + J176, 0)</f>
        <v>0</v>
      </c>
      <c r="K177" s="1">
        <f>IF(E177 + K176 &lt; 0, E177 + K176, 0)</f>
        <v>0</v>
      </c>
      <c r="L177" s="1">
        <f>IF(F177 + L176 &lt; 0, F177 + L176, 0)</f>
        <v>0</v>
      </c>
      <c r="M177" s="1">
        <f>IF(G177 + M176 &lt; 0, G177 + M176, 0)</f>
        <v>0</v>
      </c>
      <c r="N177" s="1">
        <f>IF(H177 + N176 &lt; 0, H177 + N176, 0)</f>
        <v>0</v>
      </c>
      <c r="O177" s="1">
        <f>IF(N177 &lt; 0, 1 + O176, 0)</f>
        <v>0</v>
      </c>
      <c r="P177" s="1">
        <f>C177-((ABS(SUM(PL!H177:J177)))*0.125)</f>
        <v>0</v>
      </c>
      <c r="Q177" s="1">
        <f>D177-((ABS(SUM(PL!K177:M177)))*0.125)</f>
        <v>0</v>
      </c>
      <c r="R177" s="1">
        <f>E177-((ABS(SUM(PL!N177:P177)))*0.125)</f>
        <v>0</v>
      </c>
      <c r="S177" s="1">
        <f>F177-((ABS(SUM(PL!Q177:S177)))*0.125)</f>
        <v>0</v>
      </c>
      <c r="T177" s="1">
        <f>G177-((ABS(SUM(PL!T177:V177)))*0.125)</f>
        <v>0</v>
      </c>
      <c r="U177" s="1">
        <f>P177 + Q177 + R177 + S177 + T177</f>
        <v>0</v>
      </c>
      <c r="V177" s="1">
        <f>IF(P177 + V176 &lt; 0, P177 + V176, 0)</f>
        <v>0</v>
      </c>
      <c r="W177" s="1">
        <f>IF(Q177 + W176 &lt; 0, Q177 + W176, 0)</f>
        <v>0</v>
      </c>
      <c r="X177" s="1">
        <f>IF(R177 + X176 &lt; 0, R177 + X176, 0)</f>
        <v>0</v>
      </c>
      <c r="Y177" s="1">
        <f>IF(S177 + Y176 &lt; 0, S177 + Y176, 0)</f>
        <v>0</v>
      </c>
      <c r="Z177" s="1">
        <f>IF(T177 + Z176 &lt; 0, T177 + Z176, 0)</f>
        <v>0</v>
      </c>
      <c r="AA177" s="1">
        <f>IF(U177 + AA176 &lt; 0, U177 + AA176, 0)</f>
        <v>0</v>
      </c>
      <c r="AB177" s="1">
        <f>IF(AA177 &lt; 0, 1 + AB176, 0)</f>
        <v>0</v>
      </c>
      <c r="AC177" s="1">
        <f>IF(H177&lt;0,1,0)</f>
        <v>0</v>
      </c>
      <c r="AD177" s="1">
        <f>IF(AC177=1,H177,0)</f>
        <v>0</v>
      </c>
      <c r="AE177" s="1">
        <f>IF(H177&gt;0,1,0)</f>
        <v>0</v>
      </c>
      <c r="AF177" s="1">
        <f>IF(AE177=1,H177,0)</f>
        <v>0</v>
      </c>
      <c r="AG177" s="1">
        <f>IF(AD177&lt;-20000000.0/100,1,0)</f>
        <v>0</v>
      </c>
      <c r="AH177" s="1">
        <f>IF(AF177&gt;20000000.0/100,1,0)</f>
        <v>0</v>
      </c>
      <c r="AI177" s="1">
        <f>IF(U177&lt;0,1,0)</f>
        <v>0</v>
      </c>
      <c r="AJ177" s="1">
        <f>IF(AI177=1,U177,0)</f>
        <v>0</v>
      </c>
      <c r="AK177" s="1">
        <f>IF(U177&gt;0,1,0)</f>
        <v>0</v>
      </c>
      <c r="AL177" s="1">
        <f>IF(AK177=1,U177,0)</f>
        <v>0</v>
      </c>
      <c r="AM177" s="1">
        <f>IF(AJ177&lt;-20000000.0/100,1,0)</f>
        <v>0</v>
      </c>
      <c r="AN177" s="1">
        <f>IF(AL177&gt;20000000.0/100,1,0)</f>
        <v>0</v>
      </c>
    </row>
    <row r="178" spans="1:40" s="1" customFormat="1">
      <c r="A178" s="3">
        <v>45553</v>
      </c>
      <c r="B178" s="2" t="s">
        <v>24</v>
      </c>
      <c r="C178" s="1">
        <f>SUM(PL!H178:J178)</f>
        <v>0</v>
      </c>
      <c r="D178" s="1">
        <f>SUM(PL!K178:M178)</f>
        <v>0</v>
      </c>
      <c r="E178" s="1">
        <f>SUM(PL!N178:P178)</f>
        <v>0</v>
      </c>
      <c r="F178" s="1">
        <f>SUM(PL!Q178:S178)</f>
        <v>0</v>
      </c>
      <c r="G178" s="1">
        <f>SUM(PL!T178:V178)</f>
        <v>0</v>
      </c>
      <c r="H178" s="1">
        <f>SUM(C178:G178)</f>
        <v>0</v>
      </c>
      <c r="I178" s="1">
        <f>IF(C178 + I177 &lt; 0, C178 + I177, 0)</f>
        <v>0</v>
      </c>
      <c r="J178" s="1">
        <f>IF(D178 + J177 &lt; 0, D178 + J177, 0)</f>
        <v>0</v>
      </c>
      <c r="K178" s="1">
        <f>IF(E178 + K177 &lt; 0, E178 + K177, 0)</f>
        <v>0</v>
      </c>
      <c r="L178" s="1">
        <f>IF(F178 + L177 &lt; 0, F178 + L177, 0)</f>
        <v>0</v>
      </c>
      <c r="M178" s="1">
        <f>IF(G178 + M177 &lt; 0, G178 + M177, 0)</f>
        <v>0</v>
      </c>
      <c r="N178" s="1">
        <f>IF(H178 + N177 &lt; 0, H178 + N177, 0)</f>
        <v>0</v>
      </c>
      <c r="O178" s="1">
        <f>IF(N178 &lt; 0, 1 + O177, 0)</f>
        <v>0</v>
      </c>
      <c r="P178" s="1">
        <f>C178-((ABS(SUM(PL!H178:J178)))*0.125)</f>
        <v>0</v>
      </c>
      <c r="Q178" s="1">
        <f>D178-((ABS(SUM(PL!K178:M178)))*0.125)</f>
        <v>0</v>
      </c>
      <c r="R178" s="1">
        <f>E178-((ABS(SUM(PL!N178:P178)))*0.125)</f>
        <v>0</v>
      </c>
      <c r="S178" s="1">
        <f>F178-((ABS(SUM(PL!Q178:S178)))*0.125)</f>
        <v>0</v>
      </c>
      <c r="T178" s="1">
        <f>G178-((ABS(SUM(PL!T178:V178)))*0.125)</f>
        <v>0</v>
      </c>
      <c r="U178" s="1">
        <f>P178 + Q178 + R178 + S178 + T178</f>
        <v>0</v>
      </c>
      <c r="V178" s="1">
        <f>IF(P178 + V177 &lt; 0, P178 + V177, 0)</f>
        <v>0</v>
      </c>
      <c r="W178" s="1">
        <f>IF(Q178 + W177 &lt; 0, Q178 + W177, 0)</f>
        <v>0</v>
      </c>
      <c r="X178" s="1">
        <f>IF(R178 + X177 &lt; 0, R178 + X177, 0)</f>
        <v>0</v>
      </c>
      <c r="Y178" s="1">
        <f>IF(S178 + Y177 &lt; 0, S178 + Y177, 0)</f>
        <v>0</v>
      </c>
      <c r="Z178" s="1">
        <f>IF(T178 + Z177 &lt; 0, T178 + Z177, 0)</f>
        <v>0</v>
      </c>
      <c r="AA178" s="1">
        <f>IF(U178 + AA177 &lt; 0, U178 + AA177, 0)</f>
        <v>0</v>
      </c>
      <c r="AB178" s="1">
        <f>IF(AA178 &lt; 0, 1 + AB177, 0)</f>
        <v>0</v>
      </c>
      <c r="AC178" s="1">
        <f>IF(H178&lt;0,1,0)</f>
        <v>0</v>
      </c>
      <c r="AD178" s="1">
        <f>IF(AC178=1,H178,0)</f>
        <v>0</v>
      </c>
      <c r="AE178" s="1">
        <f>IF(H178&gt;0,1,0)</f>
        <v>0</v>
      </c>
      <c r="AF178" s="1">
        <f>IF(AE178=1,H178,0)</f>
        <v>0</v>
      </c>
      <c r="AG178" s="1">
        <f>IF(AD178&lt;-20000000.0/100,1,0)</f>
        <v>0</v>
      </c>
      <c r="AH178" s="1">
        <f>IF(AF178&gt;20000000.0/100,1,0)</f>
        <v>0</v>
      </c>
      <c r="AI178" s="1">
        <f>IF(U178&lt;0,1,0)</f>
        <v>0</v>
      </c>
      <c r="AJ178" s="1">
        <f>IF(AI178=1,U178,0)</f>
        <v>0</v>
      </c>
      <c r="AK178" s="1">
        <f>IF(U178&gt;0,1,0)</f>
        <v>0</v>
      </c>
      <c r="AL178" s="1">
        <f>IF(AK178=1,U178,0)</f>
        <v>0</v>
      </c>
      <c r="AM178" s="1">
        <f>IF(AJ178&lt;-20000000.0/100,1,0)</f>
        <v>0</v>
      </c>
      <c r="AN178" s="1">
        <f>IF(AL178&gt;20000000.0/100,1,0)</f>
        <v>0</v>
      </c>
    </row>
    <row r="179" spans="1:40" s="1" customFormat="1">
      <c r="A179" s="3">
        <v>45554</v>
      </c>
      <c r="B179" s="2" t="s">
        <v>25</v>
      </c>
      <c r="C179" s="1">
        <f>SUM(PL!H179:J179)</f>
        <v>0</v>
      </c>
      <c r="D179" s="1">
        <f>SUM(PL!K179:M179)</f>
        <v>0</v>
      </c>
      <c r="E179" s="1">
        <f>SUM(PL!N179:P179)</f>
        <v>0</v>
      </c>
      <c r="F179" s="1">
        <f>SUM(PL!Q179:S179)</f>
        <v>0</v>
      </c>
      <c r="G179" s="1">
        <f>SUM(PL!T179:V179)</f>
        <v>0</v>
      </c>
      <c r="H179" s="1">
        <f>SUM(C179:G179)</f>
        <v>0</v>
      </c>
      <c r="I179" s="1">
        <f>IF(C179 + I178 &lt; 0, C179 + I178, 0)</f>
        <v>0</v>
      </c>
      <c r="J179" s="1">
        <f>IF(D179 + J178 &lt; 0, D179 + J178, 0)</f>
        <v>0</v>
      </c>
      <c r="K179" s="1">
        <f>IF(E179 + K178 &lt; 0, E179 + K178, 0)</f>
        <v>0</v>
      </c>
      <c r="L179" s="1">
        <f>IF(F179 + L178 &lt; 0, F179 + L178, 0)</f>
        <v>0</v>
      </c>
      <c r="M179" s="1">
        <f>IF(G179 + M178 &lt; 0, G179 + M178, 0)</f>
        <v>0</v>
      </c>
      <c r="N179" s="1">
        <f>IF(H179 + N178 &lt; 0, H179 + N178, 0)</f>
        <v>0</v>
      </c>
      <c r="O179" s="1">
        <f>IF(N179 &lt; 0, 1 + O178, 0)</f>
        <v>0</v>
      </c>
      <c r="P179" s="1">
        <f>C179-((ABS(SUM(PL!H179:J179)))*0.125)</f>
        <v>0</v>
      </c>
      <c r="Q179" s="1">
        <f>D179-((ABS(SUM(PL!K179:M179)))*0.125)</f>
        <v>0</v>
      </c>
      <c r="R179" s="1">
        <f>E179-((ABS(SUM(PL!N179:P179)))*0.125)</f>
        <v>0</v>
      </c>
      <c r="S179" s="1">
        <f>F179-((ABS(SUM(PL!Q179:S179)))*0.125)</f>
        <v>0</v>
      </c>
      <c r="T179" s="1">
        <f>G179-((ABS(SUM(PL!T179:V179)))*0.125)</f>
        <v>0</v>
      </c>
      <c r="U179" s="1">
        <f>P179 + Q179 + R179 + S179 + T179</f>
        <v>0</v>
      </c>
      <c r="V179" s="1">
        <f>IF(P179 + V178 &lt; 0, P179 + V178, 0)</f>
        <v>0</v>
      </c>
      <c r="W179" s="1">
        <f>IF(Q179 + W178 &lt; 0, Q179 + W178, 0)</f>
        <v>0</v>
      </c>
      <c r="X179" s="1">
        <f>IF(R179 + X178 &lt; 0, R179 + X178, 0)</f>
        <v>0</v>
      </c>
      <c r="Y179" s="1">
        <f>IF(S179 + Y178 &lt; 0, S179 + Y178, 0)</f>
        <v>0</v>
      </c>
      <c r="Z179" s="1">
        <f>IF(T179 + Z178 &lt; 0, T179 + Z178, 0)</f>
        <v>0</v>
      </c>
      <c r="AA179" s="1">
        <f>IF(U179 + AA178 &lt; 0, U179 + AA178, 0)</f>
        <v>0</v>
      </c>
      <c r="AB179" s="1">
        <f>IF(AA179 &lt; 0, 1 + AB178, 0)</f>
        <v>0</v>
      </c>
      <c r="AC179" s="1">
        <f>IF(H179&lt;0,1,0)</f>
        <v>0</v>
      </c>
      <c r="AD179" s="1">
        <f>IF(AC179=1,H179,0)</f>
        <v>0</v>
      </c>
      <c r="AE179" s="1">
        <f>IF(H179&gt;0,1,0)</f>
        <v>0</v>
      </c>
      <c r="AF179" s="1">
        <f>IF(AE179=1,H179,0)</f>
        <v>0</v>
      </c>
      <c r="AG179" s="1">
        <f>IF(AD179&lt;-20000000.0/100,1,0)</f>
        <v>0</v>
      </c>
      <c r="AH179" s="1">
        <f>IF(AF179&gt;20000000.0/100,1,0)</f>
        <v>0</v>
      </c>
      <c r="AI179" s="1">
        <f>IF(U179&lt;0,1,0)</f>
        <v>0</v>
      </c>
      <c r="AJ179" s="1">
        <f>IF(AI179=1,U179,0)</f>
        <v>0</v>
      </c>
      <c r="AK179" s="1">
        <f>IF(U179&gt;0,1,0)</f>
        <v>0</v>
      </c>
      <c r="AL179" s="1">
        <f>IF(AK179=1,U179,0)</f>
        <v>0</v>
      </c>
      <c r="AM179" s="1">
        <f>IF(AJ179&lt;-20000000.0/100,1,0)</f>
        <v>0</v>
      </c>
      <c r="AN179" s="1">
        <f>IF(AL179&gt;20000000.0/100,1,0)</f>
        <v>0</v>
      </c>
    </row>
    <row r="180" spans="1:40" s="1" customFormat="1">
      <c r="A180" s="3">
        <v>45555</v>
      </c>
      <c r="B180" s="2" t="s">
        <v>26</v>
      </c>
      <c r="C180" s="1">
        <f>SUM(PL!H180:J180)</f>
        <v>0</v>
      </c>
      <c r="D180" s="1">
        <f>SUM(PL!K180:M180)</f>
        <v>0</v>
      </c>
      <c r="E180" s="1">
        <f>SUM(PL!N180:P180)</f>
        <v>0</v>
      </c>
      <c r="F180" s="1">
        <f>SUM(PL!Q180:S180)</f>
        <v>0</v>
      </c>
      <c r="G180" s="1">
        <f>SUM(PL!T180:V180)</f>
        <v>0</v>
      </c>
      <c r="H180" s="1">
        <f>SUM(C180:G180)</f>
        <v>0</v>
      </c>
      <c r="I180" s="1">
        <f>IF(C180 + I179 &lt; 0, C180 + I179, 0)</f>
        <v>0</v>
      </c>
      <c r="J180" s="1">
        <f>IF(D180 + J179 &lt; 0, D180 + J179, 0)</f>
        <v>0</v>
      </c>
      <c r="K180" s="1">
        <f>IF(E180 + K179 &lt; 0, E180 + K179, 0)</f>
        <v>0</v>
      </c>
      <c r="L180" s="1">
        <f>IF(F180 + L179 &lt; 0, F180 + L179, 0)</f>
        <v>0</v>
      </c>
      <c r="M180" s="1">
        <f>IF(G180 + M179 &lt; 0, G180 + M179, 0)</f>
        <v>0</v>
      </c>
      <c r="N180" s="1">
        <f>IF(H180 + N179 &lt; 0, H180 + N179, 0)</f>
        <v>0</v>
      </c>
      <c r="O180" s="1">
        <f>IF(N180 &lt; 0, 1 + O179, 0)</f>
        <v>0</v>
      </c>
      <c r="P180" s="1">
        <f>C180-((ABS(SUM(PL!H180:J180)))*0.125)</f>
        <v>0</v>
      </c>
      <c r="Q180" s="1">
        <f>D180-((ABS(SUM(PL!K180:M180)))*0.125)</f>
        <v>0</v>
      </c>
      <c r="R180" s="1">
        <f>E180-((ABS(SUM(PL!N180:P180)))*0.125)</f>
        <v>0</v>
      </c>
      <c r="S180" s="1">
        <f>F180-((ABS(SUM(PL!Q180:S180)))*0.125)</f>
        <v>0</v>
      </c>
      <c r="T180" s="1">
        <f>G180-((ABS(SUM(PL!T180:V180)))*0.125)</f>
        <v>0</v>
      </c>
      <c r="U180" s="1">
        <f>P180 + Q180 + R180 + S180 + T180</f>
        <v>0</v>
      </c>
      <c r="V180" s="1">
        <f>IF(P180 + V179 &lt; 0, P180 + V179, 0)</f>
        <v>0</v>
      </c>
      <c r="W180" s="1">
        <f>IF(Q180 + W179 &lt; 0, Q180 + W179, 0)</f>
        <v>0</v>
      </c>
      <c r="X180" s="1">
        <f>IF(R180 + X179 &lt; 0, R180 + X179, 0)</f>
        <v>0</v>
      </c>
      <c r="Y180" s="1">
        <f>IF(S180 + Y179 &lt; 0, S180 + Y179, 0)</f>
        <v>0</v>
      </c>
      <c r="Z180" s="1">
        <f>IF(T180 + Z179 &lt; 0, T180 + Z179, 0)</f>
        <v>0</v>
      </c>
      <c r="AA180" s="1">
        <f>IF(U180 + AA179 &lt; 0, U180 + AA179, 0)</f>
        <v>0</v>
      </c>
      <c r="AB180" s="1">
        <f>IF(AA180 &lt; 0, 1 + AB179, 0)</f>
        <v>0</v>
      </c>
      <c r="AC180" s="1">
        <f>IF(H180&lt;0,1,0)</f>
        <v>0</v>
      </c>
      <c r="AD180" s="1">
        <f>IF(AC180=1,H180,0)</f>
        <v>0</v>
      </c>
      <c r="AE180" s="1">
        <f>IF(H180&gt;0,1,0)</f>
        <v>0</v>
      </c>
      <c r="AF180" s="1">
        <f>IF(AE180=1,H180,0)</f>
        <v>0</v>
      </c>
      <c r="AG180" s="1">
        <f>IF(AD180&lt;-20000000.0/100,1,0)</f>
        <v>0</v>
      </c>
      <c r="AH180" s="1">
        <f>IF(AF180&gt;20000000.0/100,1,0)</f>
        <v>0</v>
      </c>
      <c r="AI180" s="1">
        <f>IF(U180&lt;0,1,0)</f>
        <v>0</v>
      </c>
      <c r="AJ180" s="1">
        <f>IF(AI180=1,U180,0)</f>
        <v>0</v>
      </c>
      <c r="AK180" s="1">
        <f>IF(U180&gt;0,1,0)</f>
        <v>0</v>
      </c>
      <c r="AL180" s="1">
        <f>IF(AK180=1,U180,0)</f>
        <v>0</v>
      </c>
      <c r="AM180" s="1">
        <f>IF(AJ180&lt;-20000000.0/100,1,0)</f>
        <v>0</v>
      </c>
      <c r="AN180" s="1">
        <f>IF(AL180&gt;20000000.0/100,1,0)</f>
        <v>0</v>
      </c>
    </row>
    <row r="181" spans="1:40" s="1" customFormat="1">
      <c r="A181" s="3">
        <v>45558</v>
      </c>
      <c r="B181" s="2" t="s">
        <v>22</v>
      </c>
      <c r="C181" s="1">
        <f>SUM(PL!H181:J181)</f>
        <v>0</v>
      </c>
      <c r="D181" s="1">
        <f>SUM(PL!K181:M181)</f>
        <v>0</v>
      </c>
      <c r="E181" s="1">
        <f>SUM(PL!N181:P181)</f>
        <v>0</v>
      </c>
      <c r="F181" s="1">
        <f>SUM(PL!Q181:S181)</f>
        <v>0</v>
      </c>
      <c r="G181" s="1">
        <f>SUM(PL!T181:V181)</f>
        <v>0</v>
      </c>
      <c r="H181" s="1">
        <f>SUM(C181:G181)</f>
        <v>0</v>
      </c>
      <c r="I181" s="1">
        <f>IF(C181 + I180 &lt; 0, C181 + I180, 0)</f>
        <v>0</v>
      </c>
      <c r="J181" s="1">
        <f>IF(D181 + J180 &lt; 0, D181 + J180, 0)</f>
        <v>0</v>
      </c>
      <c r="K181" s="1">
        <f>IF(E181 + K180 &lt; 0, E181 + K180, 0)</f>
        <v>0</v>
      </c>
      <c r="L181" s="1">
        <f>IF(F181 + L180 &lt; 0, F181 + L180, 0)</f>
        <v>0</v>
      </c>
      <c r="M181" s="1">
        <f>IF(G181 + M180 &lt; 0, G181 + M180, 0)</f>
        <v>0</v>
      </c>
      <c r="N181" s="1">
        <f>IF(H181 + N180 &lt; 0, H181 + N180, 0)</f>
        <v>0</v>
      </c>
      <c r="O181" s="1">
        <f>IF(N181 &lt; 0, 1 + O180, 0)</f>
        <v>0</v>
      </c>
      <c r="P181" s="1">
        <f>C181-((ABS(SUM(PL!H181:J181)))*0.125)</f>
        <v>0</v>
      </c>
      <c r="Q181" s="1">
        <f>D181-((ABS(SUM(PL!K181:M181)))*0.125)</f>
        <v>0</v>
      </c>
      <c r="R181" s="1">
        <f>E181-((ABS(SUM(PL!N181:P181)))*0.125)</f>
        <v>0</v>
      </c>
      <c r="S181" s="1">
        <f>F181-((ABS(SUM(PL!Q181:S181)))*0.125)</f>
        <v>0</v>
      </c>
      <c r="T181" s="1">
        <f>G181-((ABS(SUM(PL!T181:V181)))*0.125)</f>
        <v>0</v>
      </c>
      <c r="U181" s="1">
        <f>P181 + Q181 + R181 + S181 + T181</f>
        <v>0</v>
      </c>
      <c r="V181" s="1">
        <f>IF(P181 + V180 &lt; 0, P181 + V180, 0)</f>
        <v>0</v>
      </c>
      <c r="W181" s="1">
        <f>IF(Q181 + W180 &lt; 0, Q181 + W180, 0)</f>
        <v>0</v>
      </c>
      <c r="X181" s="1">
        <f>IF(R181 + X180 &lt; 0, R181 + X180, 0)</f>
        <v>0</v>
      </c>
      <c r="Y181" s="1">
        <f>IF(S181 + Y180 &lt; 0, S181 + Y180, 0)</f>
        <v>0</v>
      </c>
      <c r="Z181" s="1">
        <f>IF(T181 + Z180 &lt; 0, T181 + Z180, 0)</f>
        <v>0</v>
      </c>
      <c r="AA181" s="1">
        <f>IF(U181 + AA180 &lt; 0, U181 + AA180, 0)</f>
        <v>0</v>
      </c>
      <c r="AB181" s="1">
        <f>IF(AA181 &lt; 0, 1 + AB180, 0)</f>
        <v>0</v>
      </c>
      <c r="AC181" s="1">
        <f>IF(H181&lt;0,1,0)</f>
        <v>0</v>
      </c>
      <c r="AD181" s="1">
        <f>IF(AC181=1,H181,0)</f>
        <v>0</v>
      </c>
      <c r="AE181" s="1">
        <f>IF(H181&gt;0,1,0)</f>
        <v>0</v>
      </c>
      <c r="AF181" s="1">
        <f>IF(AE181=1,H181,0)</f>
        <v>0</v>
      </c>
      <c r="AG181" s="1">
        <f>IF(AD181&lt;-20000000.0/100,1,0)</f>
        <v>0</v>
      </c>
      <c r="AH181" s="1">
        <f>IF(AF181&gt;20000000.0/100,1,0)</f>
        <v>0</v>
      </c>
      <c r="AI181" s="1">
        <f>IF(U181&lt;0,1,0)</f>
        <v>0</v>
      </c>
      <c r="AJ181" s="1">
        <f>IF(AI181=1,U181,0)</f>
        <v>0</v>
      </c>
      <c r="AK181" s="1">
        <f>IF(U181&gt;0,1,0)</f>
        <v>0</v>
      </c>
      <c r="AL181" s="1">
        <f>IF(AK181=1,U181,0)</f>
        <v>0</v>
      </c>
      <c r="AM181" s="1">
        <f>IF(AJ181&lt;-20000000.0/100,1,0)</f>
        <v>0</v>
      </c>
      <c r="AN181" s="1">
        <f>IF(AL181&gt;20000000.0/100,1,0)</f>
        <v>0</v>
      </c>
    </row>
    <row r="182" spans="1:40" s="1" customFormat="1">
      <c r="A182" s="3">
        <v>45559</v>
      </c>
      <c r="B182" s="2" t="s">
        <v>23</v>
      </c>
      <c r="C182" s="1">
        <f>SUM(PL!H182:J182)</f>
        <v>0</v>
      </c>
      <c r="D182" s="1">
        <f>SUM(PL!K182:M182)</f>
        <v>0</v>
      </c>
      <c r="E182" s="1">
        <f>SUM(PL!N182:P182)</f>
        <v>0</v>
      </c>
      <c r="F182" s="1">
        <f>SUM(PL!Q182:S182)</f>
        <v>0</v>
      </c>
      <c r="G182" s="1">
        <f>SUM(PL!T182:V182)</f>
        <v>0</v>
      </c>
      <c r="H182" s="1">
        <f>SUM(C182:G182)</f>
        <v>0</v>
      </c>
      <c r="I182" s="1">
        <f>IF(C182 + I181 &lt; 0, C182 + I181, 0)</f>
        <v>0</v>
      </c>
      <c r="J182" s="1">
        <f>IF(D182 + J181 &lt; 0, D182 + J181, 0)</f>
        <v>0</v>
      </c>
      <c r="K182" s="1">
        <f>IF(E182 + K181 &lt; 0, E182 + K181, 0)</f>
        <v>0</v>
      </c>
      <c r="L182" s="1">
        <f>IF(F182 + L181 &lt; 0, F182 + L181, 0)</f>
        <v>0</v>
      </c>
      <c r="M182" s="1">
        <f>IF(G182 + M181 &lt; 0, G182 + M181, 0)</f>
        <v>0</v>
      </c>
      <c r="N182" s="1">
        <f>IF(H182 + N181 &lt; 0, H182 + N181, 0)</f>
        <v>0</v>
      </c>
      <c r="O182" s="1">
        <f>IF(N182 &lt; 0, 1 + O181, 0)</f>
        <v>0</v>
      </c>
      <c r="P182" s="1">
        <f>C182-((ABS(SUM(PL!H182:J182)))*0.125)</f>
        <v>0</v>
      </c>
      <c r="Q182" s="1">
        <f>D182-((ABS(SUM(PL!K182:M182)))*0.125)</f>
        <v>0</v>
      </c>
      <c r="R182" s="1">
        <f>E182-((ABS(SUM(PL!N182:P182)))*0.125)</f>
        <v>0</v>
      </c>
      <c r="S182" s="1">
        <f>F182-((ABS(SUM(PL!Q182:S182)))*0.125)</f>
        <v>0</v>
      </c>
      <c r="T182" s="1">
        <f>G182-((ABS(SUM(PL!T182:V182)))*0.125)</f>
        <v>0</v>
      </c>
      <c r="U182" s="1">
        <f>P182 + Q182 + R182 + S182 + T182</f>
        <v>0</v>
      </c>
      <c r="V182" s="1">
        <f>IF(P182 + V181 &lt; 0, P182 + V181, 0)</f>
        <v>0</v>
      </c>
      <c r="W182" s="1">
        <f>IF(Q182 + W181 &lt; 0, Q182 + W181, 0)</f>
        <v>0</v>
      </c>
      <c r="X182" s="1">
        <f>IF(R182 + X181 &lt; 0, R182 + X181, 0)</f>
        <v>0</v>
      </c>
      <c r="Y182" s="1">
        <f>IF(S182 + Y181 &lt; 0, S182 + Y181, 0)</f>
        <v>0</v>
      </c>
      <c r="Z182" s="1">
        <f>IF(T182 + Z181 &lt; 0, T182 + Z181, 0)</f>
        <v>0</v>
      </c>
      <c r="AA182" s="1">
        <f>IF(U182 + AA181 &lt; 0, U182 + AA181, 0)</f>
        <v>0</v>
      </c>
      <c r="AB182" s="1">
        <f>IF(AA182 &lt; 0, 1 + AB181, 0)</f>
        <v>0</v>
      </c>
      <c r="AC182" s="1">
        <f>IF(H182&lt;0,1,0)</f>
        <v>0</v>
      </c>
      <c r="AD182" s="1">
        <f>IF(AC182=1,H182,0)</f>
        <v>0</v>
      </c>
      <c r="AE182" s="1">
        <f>IF(H182&gt;0,1,0)</f>
        <v>0</v>
      </c>
      <c r="AF182" s="1">
        <f>IF(AE182=1,H182,0)</f>
        <v>0</v>
      </c>
      <c r="AG182" s="1">
        <f>IF(AD182&lt;-20000000.0/100,1,0)</f>
        <v>0</v>
      </c>
      <c r="AH182" s="1">
        <f>IF(AF182&gt;20000000.0/100,1,0)</f>
        <v>0</v>
      </c>
      <c r="AI182" s="1">
        <f>IF(U182&lt;0,1,0)</f>
        <v>0</v>
      </c>
      <c r="AJ182" s="1">
        <f>IF(AI182=1,U182,0)</f>
        <v>0</v>
      </c>
      <c r="AK182" s="1">
        <f>IF(U182&gt;0,1,0)</f>
        <v>0</v>
      </c>
      <c r="AL182" s="1">
        <f>IF(AK182=1,U182,0)</f>
        <v>0</v>
      </c>
      <c r="AM182" s="1">
        <f>IF(AJ182&lt;-20000000.0/100,1,0)</f>
        <v>0</v>
      </c>
      <c r="AN182" s="1">
        <f>IF(AL182&gt;20000000.0/100,1,0)</f>
        <v>0</v>
      </c>
    </row>
    <row r="183" spans="1:40" s="1" customFormat="1">
      <c r="A183" s="3">
        <v>45560</v>
      </c>
      <c r="B183" s="2" t="s">
        <v>24</v>
      </c>
      <c r="C183" s="1">
        <f>SUM(PL!H183:J183)</f>
        <v>0</v>
      </c>
      <c r="D183" s="1">
        <f>SUM(PL!K183:M183)</f>
        <v>0</v>
      </c>
      <c r="E183" s="1">
        <f>SUM(PL!N183:P183)</f>
        <v>0</v>
      </c>
      <c r="F183" s="1">
        <f>SUM(PL!Q183:S183)</f>
        <v>0</v>
      </c>
      <c r="G183" s="1">
        <f>SUM(PL!T183:V183)</f>
        <v>0</v>
      </c>
      <c r="H183" s="1">
        <f>SUM(C183:G183)</f>
        <v>0</v>
      </c>
      <c r="I183" s="1">
        <f>IF(C183 + I182 &lt; 0, C183 + I182, 0)</f>
        <v>0</v>
      </c>
      <c r="J183" s="1">
        <f>IF(D183 + J182 &lt; 0, D183 + J182, 0)</f>
        <v>0</v>
      </c>
      <c r="K183" s="1">
        <f>IF(E183 + K182 &lt; 0, E183 + K182, 0)</f>
        <v>0</v>
      </c>
      <c r="L183" s="1">
        <f>IF(F183 + L182 &lt; 0, F183 + L182, 0)</f>
        <v>0</v>
      </c>
      <c r="M183" s="1">
        <f>IF(G183 + M182 &lt; 0, G183 + M182, 0)</f>
        <v>0</v>
      </c>
      <c r="N183" s="1">
        <f>IF(H183 + N182 &lt; 0, H183 + N182, 0)</f>
        <v>0</v>
      </c>
      <c r="O183" s="1">
        <f>IF(N183 &lt; 0, 1 + O182, 0)</f>
        <v>0</v>
      </c>
      <c r="P183" s="1">
        <f>C183-((ABS(SUM(PL!H183:J183)))*0.125)</f>
        <v>0</v>
      </c>
      <c r="Q183" s="1">
        <f>D183-((ABS(SUM(PL!K183:M183)))*0.125)</f>
        <v>0</v>
      </c>
      <c r="R183" s="1">
        <f>E183-((ABS(SUM(PL!N183:P183)))*0.125)</f>
        <v>0</v>
      </c>
      <c r="S183" s="1">
        <f>F183-((ABS(SUM(PL!Q183:S183)))*0.125)</f>
        <v>0</v>
      </c>
      <c r="T183" s="1">
        <f>G183-((ABS(SUM(PL!T183:V183)))*0.125)</f>
        <v>0</v>
      </c>
      <c r="U183" s="1">
        <f>P183 + Q183 + R183 + S183 + T183</f>
        <v>0</v>
      </c>
      <c r="V183" s="1">
        <f>IF(P183 + V182 &lt; 0, P183 + V182, 0)</f>
        <v>0</v>
      </c>
      <c r="W183" s="1">
        <f>IF(Q183 + W182 &lt; 0, Q183 + W182, 0)</f>
        <v>0</v>
      </c>
      <c r="X183" s="1">
        <f>IF(R183 + X182 &lt; 0, R183 + X182, 0)</f>
        <v>0</v>
      </c>
      <c r="Y183" s="1">
        <f>IF(S183 + Y182 &lt; 0, S183 + Y182, 0)</f>
        <v>0</v>
      </c>
      <c r="Z183" s="1">
        <f>IF(T183 + Z182 &lt; 0, T183 + Z182, 0)</f>
        <v>0</v>
      </c>
      <c r="AA183" s="1">
        <f>IF(U183 + AA182 &lt; 0, U183 + AA182, 0)</f>
        <v>0</v>
      </c>
      <c r="AB183" s="1">
        <f>IF(AA183 &lt; 0, 1 + AB182, 0)</f>
        <v>0</v>
      </c>
      <c r="AC183" s="1">
        <f>IF(H183&lt;0,1,0)</f>
        <v>0</v>
      </c>
      <c r="AD183" s="1">
        <f>IF(AC183=1,H183,0)</f>
        <v>0</v>
      </c>
      <c r="AE183" s="1">
        <f>IF(H183&gt;0,1,0)</f>
        <v>0</v>
      </c>
      <c r="AF183" s="1">
        <f>IF(AE183=1,H183,0)</f>
        <v>0</v>
      </c>
      <c r="AG183" s="1">
        <f>IF(AD183&lt;-20000000.0/100,1,0)</f>
        <v>0</v>
      </c>
      <c r="AH183" s="1">
        <f>IF(AF183&gt;20000000.0/100,1,0)</f>
        <v>0</v>
      </c>
      <c r="AI183" s="1">
        <f>IF(U183&lt;0,1,0)</f>
        <v>0</v>
      </c>
      <c r="AJ183" s="1">
        <f>IF(AI183=1,U183,0)</f>
        <v>0</v>
      </c>
      <c r="AK183" s="1">
        <f>IF(U183&gt;0,1,0)</f>
        <v>0</v>
      </c>
      <c r="AL183" s="1">
        <f>IF(AK183=1,U183,0)</f>
        <v>0</v>
      </c>
      <c r="AM183" s="1">
        <f>IF(AJ183&lt;-20000000.0/100,1,0)</f>
        <v>0</v>
      </c>
      <c r="AN183" s="1">
        <f>IF(AL183&gt;20000000.0/100,1,0)</f>
        <v>0</v>
      </c>
    </row>
    <row r="184" spans="1:40" s="1" customFormat="1">
      <c r="A184" s="3">
        <v>45561</v>
      </c>
      <c r="B184" s="2" t="s">
        <v>25</v>
      </c>
      <c r="C184" s="1">
        <f>SUM(PL!H184:J184)</f>
        <v>0</v>
      </c>
      <c r="D184" s="1">
        <f>SUM(PL!K184:M184)</f>
        <v>0</v>
      </c>
      <c r="E184" s="1">
        <f>SUM(PL!N184:P184)</f>
        <v>0</v>
      </c>
      <c r="F184" s="1">
        <f>SUM(PL!Q184:S184)</f>
        <v>0</v>
      </c>
      <c r="G184" s="1">
        <f>SUM(PL!T184:V184)</f>
        <v>0</v>
      </c>
      <c r="H184" s="1">
        <f>SUM(C184:G184)</f>
        <v>0</v>
      </c>
      <c r="I184" s="1">
        <f>IF(C184 + I183 &lt; 0, C184 + I183, 0)</f>
        <v>0</v>
      </c>
      <c r="J184" s="1">
        <f>IF(D184 + J183 &lt; 0, D184 + J183, 0)</f>
        <v>0</v>
      </c>
      <c r="K184" s="1">
        <f>IF(E184 + K183 &lt; 0, E184 + K183, 0)</f>
        <v>0</v>
      </c>
      <c r="L184" s="1">
        <f>IF(F184 + L183 &lt; 0, F184 + L183, 0)</f>
        <v>0</v>
      </c>
      <c r="M184" s="1">
        <f>IF(G184 + M183 &lt; 0, G184 + M183, 0)</f>
        <v>0</v>
      </c>
      <c r="N184" s="1">
        <f>IF(H184 + N183 &lt; 0, H184 + N183, 0)</f>
        <v>0</v>
      </c>
      <c r="O184" s="1">
        <f>IF(N184 &lt; 0, 1 + O183, 0)</f>
        <v>0</v>
      </c>
      <c r="P184" s="1">
        <f>C184-((ABS(SUM(PL!H184:J184)))*0.125)</f>
        <v>0</v>
      </c>
      <c r="Q184" s="1">
        <f>D184-((ABS(SUM(PL!K184:M184)))*0.125)</f>
        <v>0</v>
      </c>
      <c r="R184" s="1">
        <f>E184-((ABS(SUM(PL!N184:P184)))*0.125)</f>
        <v>0</v>
      </c>
      <c r="S184" s="1">
        <f>F184-((ABS(SUM(PL!Q184:S184)))*0.125)</f>
        <v>0</v>
      </c>
      <c r="T184" s="1">
        <f>G184-((ABS(SUM(PL!T184:V184)))*0.125)</f>
        <v>0</v>
      </c>
      <c r="U184" s="1">
        <f>P184 + Q184 + R184 + S184 + T184</f>
        <v>0</v>
      </c>
      <c r="V184" s="1">
        <f>IF(P184 + V183 &lt; 0, P184 + V183, 0)</f>
        <v>0</v>
      </c>
      <c r="W184" s="1">
        <f>IF(Q184 + W183 &lt; 0, Q184 + W183, 0)</f>
        <v>0</v>
      </c>
      <c r="X184" s="1">
        <f>IF(R184 + X183 &lt; 0, R184 + X183, 0)</f>
        <v>0</v>
      </c>
      <c r="Y184" s="1">
        <f>IF(S184 + Y183 &lt; 0, S184 + Y183, 0)</f>
        <v>0</v>
      </c>
      <c r="Z184" s="1">
        <f>IF(T184 + Z183 &lt; 0, T184 + Z183, 0)</f>
        <v>0</v>
      </c>
      <c r="AA184" s="1">
        <f>IF(U184 + AA183 &lt; 0, U184 + AA183, 0)</f>
        <v>0</v>
      </c>
      <c r="AB184" s="1">
        <f>IF(AA184 &lt; 0, 1 + AB183, 0)</f>
        <v>0</v>
      </c>
      <c r="AC184" s="1">
        <f>IF(H184&lt;0,1,0)</f>
        <v>0</v>
      </c>
      <c r="AD184" s="1">
        <f>IF(AC184=1,H184,0)</f>
        <v>0</v>
      </c>
      <c r="AE184" s="1">
        <f>IF(H184&gt;0,1,0)</f>
        <v>0</v>
      </c>
      <c r="AF184" s="1">
        <f>IF(AE184=1,H184,0)</f>
        <v>0</v>
      </c>
      <c r="AG184" s="1">
        <f>IF(AD184&lt;-20000000.0/100,1,0)</f>
        <v>0</v>
      </c>
      <c r="AH184" s="1">
        <f>IF(AF184&gt;20000000.0/100,1,0)</f>
        <v>0</v>
      </c>
      <c r="AI184" s="1">
        <f>IF(U184&lt;0,1,0)</f>
        <v>0</v>
      </c>
      <c r="AJ184" s="1">
        <f>IF(AI184=1,U184,0)</f>
        <v>0</v>
      </c>
      <c r="AK184" s="1">
        <f>IF(U184&gt;0,1,0)</f>
        <v>0</v>
      </c>
      <c r="AL184" s="1">
        <f>IF(AK184=1,U184,0)</f>
        <v>0</v>
      </c>
      <c r="AM184" s="1">
        <f>IF(AJ184&lt;-20000000.0/100,1,0)</f>
        <v>0</v>
      </c>
      <c r="AN184" s="1">
        <f>IF(AL184&gt;20000000.0/100,1,0)</f>
        <v>0</v>
      </c>
    </row>
    <row r="185" spans="1:40" s="1" customFormat="1">
      <c r="A185" s="3">
        <v>45562</v>
      </c>
      <c r="B185" s="2" t="s">
        <v>26</v>
      </c>
      <c r="C185" s="1">
        <f>SUM(PL!H185:J185)</f>
        <v>0</v>
      </c>
      <c r="D185" s="1">
        <f>SUM(PL!K185:M185)</f>
        <v>0</v>
      </c>
      <c r="E185" s="1">
        <f>SUM(PL!N185:P185)</f>
        <v>0</v>
      </c>
      <c r="F185" s="1">
        <f>SUM(PL!Q185:S185)</f>
        <v>0</v>
      </c>
      <c r="G185" s="1">
        <f>SUM(PL!T185:V185)</f>
        <v>0</v>
      </c>
      <c r="H185" s="1">
        <f>SUM(C185:G185)</f>
        <v>0</v>
      </c>
      <c r="I185" s="1">
        <f>IF(C185 + I184 &lt; 0, C185 + I184, 0)</f>
        <v>0</v>
      </c>
      <c r="J185" s="1">
        <f>IF(D185 + J184 &lt; 0, D185 + J184, 0)</f>
        <v>0</v>
      </c>
      <c r="K185" s="1">
        <f>IF(E185 + K184 &lt; 0, E185 + K184, 0)</f>
        <v>0</v>
      </c>
      <c r="L185" s="1">
        <f>IF(F185 + L184 &lt; 0, F185 + L184, 0)</f>
        <v>0</v>
      </c>
      <c r="M185" s="1">
        <f>IF(G185 + M184 &lt; 0, G185 + M184, 0)</f>
        <v>0</v>
      </c>
      <c r="N185" s="1">
        <f>IF(H185 + N184 &lt; 0, H185 + N184, 0)</f>
        <v>0</v>
      </c>
      <c r="O185" s="1">
        <f>IF(N185 &lt; 0, 1 + O184, 0)</f>
        <v>0</v>
      </c>
      <c r="P185" s="1">
        <f>C185-((ABS(SUM(PL!H185:J185)))*0.125)</f>
        <v>0</v>
      </c>
      <c r="Q185" s="1">
        <f>D185-((ABS(SUM(PL!K185:M185)))*0.125)</f>
        <v>0</v>
      </c>
      <c r="R185" s="1">
        <f>E185-((ABS(SUM(PL!N185:P185)))*0.125)</f>
        <v>0</v>
      </c>
      <c r="S185" s="1">
        <f>F185-((ABS(SUM(PL!Q185:S185)))*0.125)</f>
        <v>0</v>
      </c>
      <c r="T185" s="1">
        <f>G185-((ABS(SUM(PL!T185:V185)))*0.125)</f>
        <v>0</v>
      </c>
      <c r="U185" s="1">
        <f>P185 + Q185 + R185 + S185 + T185</f>
        <v>0</v>
      </c>
      <c r="V185" s="1">
        <f>IF(P185 + V184 &lt; 0, P185 + V184, 0)</f>
        <v>0</v>
      </c>
      <c r="W185" s="1">
        <f>IF(Q185 + W184 &lt; 0, Q185 + W184, 0)</f>
        <v>0</v>
      </c>
      <c r="X185" s="1">
        <f>IF(R185 + X184 &lt; 0, R185 + X184, 0)</f>
        <v>0</v>
      </c>
      <c r="Y185" s="1">
        <f>IF(S185 + Y184 &lt; 0, S185 + Y184, 0)</f>
        <v>0</v>
      </c>
      <c r="Z185" s="1">
        <f>IF(T185 + Z184 &lt; 0, T185 + Z184, 0)</f>
        <v>0</v>
      </c>
      <c r="AA185" s="1">
        <f>IF(U185 + AA184 &lt; 0, U185 + AA184, 0)</f>
        <v>0</v>
      </c>
      <c r="AB185" s="1">
        <f>IF(AA185 &lt; 0, 1 + AB184, 0)</f>
        <v>0</v>
      </c>
      <c r="AC185" s="1">
        <f>IF(H185&lt;0,1,0)</f>
        <v>0</v>
      </c>
      <c r="AD185" s="1">
        <f>IF(AC185=1,H185,0)</f>
        <v>0</v>
      </c>
      <c r="AE185" s="1">
        <f>IF(H185&gt;0,1,0)</f>
        <v>0</v>
      </c>
      <c r="AF185" s="1">
        <f>IF(AE185=1,H185,0)</f>
        <v>0</v>
      </c>
      <c r="AG185" s="1">
        <f>IF(AD185&lt;-20000000.0/100,1,0)</f>
        <v>0</v>
      </c>
      <c r="AH185" s="1">
        <f>IF(AF185&gt;20000000.0/100,1,0)</f>
        <v>0</v>
      </c>
      <c r="AI185" s="1">
        <f>IF(U185&lt;0,1,0)</f>
        <v>0</v>
      </c>
      <c r="AJ185" s="1">
        <f>IF(AI185=1,U185,0)</f>
        <v>0</v>
      </c>
      <c r="AK185" s="1">
        <f>IF(U185&gt;0,1,0)</f>
        <v>0</v>
      </c>
      <c r="AL185" s="1">
        <f>IF(AK185=1,U185,0)</f>
        <v>0</v>
      </c>
      <c r="AM185" s="1">
        <f>IF(AJ185&lt;-20000000.0/100,1,0)</f>
        <v>0</v>
      </c>
      <c r="AN185" s="1">
        <f>IF(AL185&gt;20000000.0/100,1,0)</f>
        <v>0</v>
      </c>
    </row>
    <row r="186" spans="1:40" s="1" customFormat="1">
      <c r="A186" s="3">
        <v>45565</v>
      </c>
      <c r="B186" s="2" t="s">
        <v>22</v>
      </c>
      <c r="C186" s="1">
        <f>SUM(PL!H186:J186)</f>
        <v>0</v>
      </c>
      <c r="D186" s="1">
        <f>SUM(PL!K186:M186)</f>
        <v>0</v>
      </c>
      <c r="E186" s="1">
        <f>SUM(PL!N186:P186)</f>
        <v>0</v>
      </c>
      <c r="F186" s="1">
        <f>SUM(PL!Q186:S186)</f>
        <v>0</v>
      </c>
      <c r="G186" s="1">
        <f>SUM(PL!T186:V186)</f>
        <v>0</v>
      </c>
      <c r="H186" s="1">
        <f>SUM(C186:G186)</f>
        <v>0</v>
      </c>
      <c r="I186" s="1">
        <f>IF(C186 + I185 &lt; 0, C186 + I185, 0)</f>
        <v>0</v>
      </c>
      <c r="J186" s="1">
        <f>IF(D186 + J185 &lt; 0, D186 + J185, 0)</f>
        <v>0</v>
      </c>
      <c r="K186" s="1">
        <f>IF(E186 + K185 &lt; 0, E186 + K185, 0)</f>
        <v>0</v>
      </c>
      <c r="L186" s="1">
        <f>IF(F186 + L185 &lt; 0, F186 + L185, 0)</f>
        <v>0</v>
      </c>
      <c r="M186" s="1">
        <f>IF(G186 + M185 &lt; 0, G186 + M185, 0)</f>
        <v>0</v>
      </c>
      <c r="N186" s="1">
        <f>IF(H186 + N185 &lt; 0, H186 + N185, 0)</f>
        <v>0</v>
      </c>
      <c r="O186" s="1">
        <f>IF(N186 &lt; 0, 1 + O185, 0)</f>
        <v>0</v>
      </c>
      <c r="P186" s="1">
        <f>C186-((ABS(SUM(PL!H186:J186)))*0.125)</f>
        <v>0</v>
      </c>
      <c r="Q186" s="1">
        <f>D186-((ABS(SUM(PL!K186:M186)))*0.125)</f>
        <v>0</v>
      </c>
      <c r="R186" s="1">
        <f>E186-((ABS(SUM(PL!N186:P186)))*0.125)</f>
        <v>0</v>
      </c>
      <c r="S186" s="1">
        <f>F186-((ABS(SUM(PL!Q186:S186)))*0.125)</f>
        <v>0</v>
      </c>
      <c r="T186" s="1">
        <f>G186-((ABS(SUM(PL!T186:V186)))*0.125)</f>
        <v>0</v>
      </c>
      <c r="U186" s="1">
        <f>P186 + Q186 + R186 + S186 + T186</f>
        <v>0</v>
      </c>
      <c r="V186" s="1">
        <f>IF(P186 + V185 &lt; 0, P186 + V185, 0)</f>
        <v>0</v>
      </c>
      <c r="W186" s="1">
        <f>IF(Q186 + W185 &lt; 0, Q186 + W185, 0)</f>
        <v>0</v>
      </c>
      <c r="X186" s="1">
        <f>IF(R186 + X185 &lt; 0, R186 + X185, 0)</f>
        <v>0</v>
      </c>
      <c r="Y186" s="1">
        <f>IF(S186 + Y185 &lt; 0, S186 + Y185, 0)</f>
        <v>0</v>
      </c>
      <c r="Z186" s="1">
        <f>IF(T186 + Z185 &lt; 0, T186 + Z185, 0)</f>
        <v>0</v>
      </c>
      <c r="AA186" s="1">
        <f>IF(U186 + AA185 &lt; 0, U186 + AA185, 0)</f>
        <v>0</v>
      </c>
      <c r="AB186" s="1">
        <f>IF(AA186 &lt; 0, 1 + AB185, 0)</f>
        <v>0</v>
      </c>
      <c r="AC186" s="1">
        <f>IF(H186&lt;0,1,0)</f>
        <v>0</v>
      </c>
      <c r="AD186" s="1">
        <f>IF(AC186=1,H186,0)</f>
        <v>0</v>
      </c>
      <c r="AE186" s="1">
        <f>IF(H186&gt;0,1,0)</f>
        <v>0</v>
      </c>
      <c r="AF186" s="1">
        <f>IF(AE186=1,H186,0)</f>
        <v>0</v>
      </c>
      <c r="AG186" s="1">
        <f>IF(AD186&lt;-20000000.0/100,1,0)</f>
        <v>0</v>
      </c>
      <c r="AH186" s="1">
        <f>IF(AF186&gt;20000000.0/100,1,0)</f>
        <v>0</v>
      </c>
      <c r="AI186" s="1">
        <f>IF(U186&lt;0,1,0)</f>
        <v>0</v>
      </c>
      <c r="AJ186" s="1">
        <f>IF(AI186=1,U186,0)</f>
        <v>0</v>
      </c>
      <c r="AK186" s="1">
        <f>IF(U186&gt;0,1,0)</f>
        <v>0</v>
      </c>
      <c r="AL186" s="1">
        <f>IF(AK186=1,U186,0)</f>
        <v>0</v>
      </c>
      <c r="AM186" s="1">
        <f>IF(AJ186&lt;-20000000.0/100,1,0)</f>
        <v>0</v>
      </c>
      <c r="AN186" s="1">
        <f>IF(AL186&gt;20000000.0/100,1,0)</f>
        <v>0</v>
      </c>
    </row>
    <row r="187" spans="1:40" s="1" customFormat="1">
      <c r="A187" s="3">
        <v>45566</v>
      </c>
      <c r="B187" s="2" t="s">
        <v>23</v>
      </c>
      <c r="C187" s="1">
        <f>SUM(PL!H187:J187)</f>
        <v>0</v>
      </c>
      <c r="D187" s="1">
        <f>SUM(PL!K187:M187)</f>
        <v>0</v>
      </c>
      <c r="E187" s="1">
        <f>SUM(PL!N187:P187)</f>
        <v>0</v>
      </c>
      <c r="F187" s="1">
        <f>SUM(PL!Q187:S187)</f>
        <v>0</v>
      </c>
      <c r="G187" s="1">
        <f>SUM(PL!T187:V187)</f>
        <v>0</v>
      </c>
      <c r="H187" s="1">
        <f>SUM(C187:G187)</f>
        <v>0</v>
      </c>
      <c r="I187" s="1">
        <f>IF(C187 + I186 &lt; 0, C187 + I186, 0)</f>
        <v>0</v>
      </c>
      <c r="J187" s="1">
        <f>IF(D187 + J186 &lt; 0, D187 + J186, 0)</f>
        <v>0</v>
      </c>
      <c r="K187" s="1">
        <f>IF(E187 + K186 &lt; 0, E187 + K186, 0)</f>
        <v>0</v>
      </c>
      <c r="L187" s="1">
        <f>IF(F187 + L186 &lt; 0, F187 + L186, 0)</f>
        <v>0</v>
      </c>
      <c r="M187" s="1">
        <f>IF(G187 + M186 &lt; 0, G187 + M186, 0)</f>
        <v>0</v>
      </c>
      <c r="N187" s="1">
        <f>IF(H187 + N186 &lt; 0, H187 + N186, 0)</f>
        <v>0</v>
      </c>
      <c r="O187" s="1">
        <f>IF(N187 &lt; 0, 1 + O186, 0)</f>
        <v>0</v>
      </c>
      <c r="P187" s="1">
        <f>C187-((ABS(SUM(PL!H187:J187)))*0.125)</f>
        <v>0</v>
      </c>
      <c r="Q187" s="1">
        <f>D187-((ABS(SUM(PL!K187:M187)))*0.125)</f>
        <v>0</v>
      </c>
      <c r="R187" s="1">
        <f>E187-((ABS(SUM(PL!N187:P187)))*0.125)</f>
        <v>0</v>
      </c>
      <c r="S187" s="1">
        <f>F187-((ABS(SUM(PL!Q187:S187)))*0.125)</f>
        <v>0</v>
      </c>
      <c r="T187" s="1">
        <f>G187-((ABS(SUM(PL!T187:V187)))*0.125)</f>
        <v>0</v>
      </c>
      <c r="U187" s="1">
        <f>P187 + Q187 + R187 + S187 + T187</f>
        <v>0</v>
      </c>
      <c r="V187" s="1">
        <f>IF(P187 + V186 &lt; 0, P187 + V186, 0)</f>
        <v>0</v>
      </c>
      <c r="W187" s="1">
        <f>IF(Q187 + W186 &lt; 0, Q187 + W186, 0)</f>
        <v>0</v>
      </c>
      <c r="X187" s="1">
        <f>IF(R187 + X186 &lt; 0, R187 + X186, 0)</f>
        <v>0</v>
      </c>
      <c r="Y187" s="1">
        <f>IF(S187 + Y186 &lt; 0, S187 + Y186, 0)</f>
        <v>0</v>
      </c>
      <c r="Z187" s="1">
        <f>IF(T187 + Z186 &lt; 0, T187 + Z186, 0)</f>
        <v>0</v>
      </c>
      <c r="AA187" s="1">
        <f>IF(U187 + AA186 &lt; 0, U187 + AA186, 0)</f>
        <v>0</v>
      </c>
      <c r="AB187" s="1">
        <f>IF(AA187 &lt; 0, 1 + AB186, 0)</f>
        <v>0</v>
      </c>
      <c r="AC187" s="1">
        <f>IF(H187&lt;0,1,0)</f>
        <v>0</v>
      </c>
      <c r="AD187" s="1">
        <f>IF(AC187=1,H187,0)</f>
        <v>0</v>
      </c>
      <c r="AE187" s="1">
        <f>IF(H187&gt;0,1,0)</f>
        <v>0</v>
      </c>
      <c r="AF187" s="1">
        <f>IF(AE187=1,H187,0)</f>
        <v>0</v>
      </c>
      <c r="AG187" s="1">
        <f>IF(AD187&lt;-20000000.0/100,1,0)</f>
        <v>0</v>
      </c>
      <c r="AH187" s="1">
        <f>IF(AF187&gt;20000000.0/100,1,0)</f>
        <v>0</v>
      </c>
      <c r="AI187" s="1">
        <f>IF(U187&lt;0,1,0)</f>
        <v>0</v>
      </c>
      <c r="AJ187" s="1">
        <f>IF(AI187=1,U187,0)</f>
        <v>0</v>
      </c>
      <c r="AK187" s="1">
        <f>IF(U187&gt;0,1,0)</f>
        <v>0</v>
      </c>
      <c r="AL187" s="1">
        <f>IF(AK187=1,U187,0)</f>
        <v>0</v>
      </c>
      <c r="AM187" s="1">
        <f>IF(AJ187&lt;-20000000.0/100,1,0)</f>
        <v>0</v>
      </c>
      <c r="AN187" s="1">
        <f>IF(AL187&gt;20000000.0/100,1,0)</f>
        <v>0</v>
      </c>
    </row>
    <row r="188" spans="1:40" s="1" customFormat="1">
      <c r="A188" s="3">
        <v>45568</v>
      </c>
      <c r="B188" s="2" t="s">
        <v>25</v>
      </c>
      <c r="C188" s="1">
        <f>SUM(PL!H188:J188)</f>
        <v>0</v>
      </c>
      <c r="D188" s="1">
        <f>SUM(PL!K188:M188)</f>
        <v>0</v>
      </c>
      <c r="E188" s="1">
        <f>SUM(PL!N188:P188)</f>
        <v>0</v>
      </c>
      <c r="F188" s="1">
        <f>SUM(PL!Q188:S188)</f>
        <v>0</v>
      </c>
      <c r="G188" s="1">
        <f>SUM(PL!T188:V188)</f>
        <v>0</v>
      </c>
      <c r="H188" s="1">
        <f>SUM(C188:G188)</f>
        <v>0</v>
      </c>
      <c r="I188" s="1">
        <f>IF(C188 + I187 &lt; 0, C188 + I187, 0)</f>
        <v>0</v>
      </c>
      <c r="J188" s="1">
        <f>IF(D188 + J187 &lt; 0, D188 + J187, 0)</f>
        <v>0</v>
      </c>
      <c r="K188" s="1">
        <f>IF(E188 + K187 &lt; 0, E188 + K187, 0)</f>
        <v>0</v>
      </c>
      <c r="L188" s="1">
        <f>IF(F188 + L187 &lt; 0, F188 + L187, 0)</f>
        <v>0</v>
      </c>
      <c r="M188" s="1">
        <f>IF(G188 + M187 &lt; 0, G188 + M187, 0)</f>
        <v>0</v>
      </c>
      <c r="N188" s="1">
        <f>IF(H188 + N187 &lt; 0, H188 + N187, 0)</f>
        <v>0</v>
      </c>
      <c r="O188" s="1">
        <f>IF(N188 &lt; 0, 1 + O187, 0)</f>
        <v>0</v>
      </c>
      <c r="P188" s="1">
        <f>C188-((ABS(SUM(PL!H188:J188)))*0.125)</f>
        <v>0</v>
      </c>
      <c r="Q188" s="1">
        <f>D188-((ABS(SUM(PL!K188:M188)))*0.125)</f>
        <v>0</v>
      </c>
      <c r="R188" s="1">
        <f>E188-((ABS(SUM(PL!N188:P188)))*0.125)</f>
        <v>0</v>
      </c>
      <c r="S188" s="1">
        <f>F188-((ABS(SUM(PL!Q188:S188)))*0.125)</f>
        <v>0</v>
      </c>
      <c r="T188" s="1">
        <f>G188-((ABS(SUM(PL!T188:V188)))*0.125)</f>
        <v>0</v>
      </c>
      <c r="U188" s="1">
        <f>P188 + Q188 + R188 + S188 + T188</f>
        <v>0</v>
      </c>
      <c r="V188" s="1">
        <f>IF(P188 + V187 &lt; 0, P188 + V187, 0)</f>
        <v>0</v>
      </c>
      <c r="W188" s="1">
        <f>IF(Q188 + W187 &lt; 0, Q188 + W187, 0)</f>
        <v>0</v>
      </c>
      <c r="X188" s="1">
        <f>IF(R188 + X187 &lt; 0, R188 + X187, 0)</f>
        <v>0</v>
      </c>
      <c r="Y188" s="1">
        <f>IF(S188 + Y187 &lt; 0, S188 + Y187, 0)</f>
        <v>0</v>
      </c>
      <c r="Z188" s="1">
        <f>IF(T188 + Z187 &lt; 0, T188 + Z187, 0)</f>
        <v>0</v>
      </c>
      <c r="AA188" s="1">
        <f>IF(U188 + AA187 &lt; 0, U188 + AA187, 0)</f>
        <v>0</v>
      </c>
      <c r="AB188" s="1">
        <f>IF(AA188 &lt; 0, 1 + AB187, 0)</f>
        <v>0</v>
      </c>
      <c r="AC188" s="1">
        <f>IF(H188&lt;0,1,0)</f>
        <v>0</v>
      </c>
      <c r="AD188" s="1">
        <f>IF(AC188=1,H188,0)</f>
        <v>0</v>
      </c>
      <c r="AE188" s="1">
        <f>IF(H188&gt;0,1,0)</f>
        <v>0</v>
      </c>
      <c r="AF188" s="1">
        <f>IF(AE188=1,H188,0)</f>
        <v>0</v>
      </c>
      <c r="AG188" s="1">
        <f>IF(AD188&lt;-20000000.0/100,1,0)</f>
        <v>0</v>
      </c>
      <c r="AH188" s="1">
        <f>IF(AF188&gt;20000000.0/100,1,0)</f>
        <v>0</v>
      </c>
      <c r="AI188" s="1">
        <f>IF(U188&lt;0,1,0)</f>
        <v>0</v>
      </c>
      <c r="AJ188" s="1">
        <f>IF(AI188=1,U188,0)</f>
        <v>0</v>
      </c>
      <c r="AK188" s="1">
        <f>IF(U188&gt;0,1,0)</f>
        <v>0</v>
      </c>
      <c r="AL188" s="1">
        <f>IF(AK188=1,U188,0)</f>
        <v>0</v>
      </c>
      <c r="AM188" s="1">
        <f>IF(AJ188&lt;-20000000.0/100,1,0)</f>
        <v>0</v>
      </c>
      <c r="AN188" s="1">
        <f>IF(AL188&gt;20000000.0/100,1,0)</f>
        <v>0</v>
      </c>
    </row>
    <row r="189" spans="1:40" s="1" customFormat="1">
      <c r="A189" s="3">
        <v>45569</v>
      </c>
      <c r="B189" s="2" t="s">
        <v>26</v>
      </c>
      <c r="C189" s="1">
        <f>SUM(PL!H189:J189)</f>
        <v>0</v>
      </c>
      <c r="D189" s="1">
        <f>SUM(PL!K189:M189)</f>
        <v>0</v>
      </c>
      <c r="E189" s="1">
        <f>SUM(PL!N189:P189)</f>
        <v>0</v>
      </c>
      <c r="F189" s="1">
        <f>SUM(PL!Q189:S189)</f>
        <v>0</v>
      </c>
      <c r="G189" s="1">
        <f>SUM(PL!T189:V189)</f>
        <v>0</v>
      </c>
      <c r="H189" s="1">
        <f>SUM(C189:G189)</f>
        <v>0</v>
      </c>
      <c r="I189" s="1">
        <f>IF(C189 + I188 &lt; 0, C189 + I188, 0)</f>
        <v>0</v>
      </c>
      <c r="J189" s="1">
        <f>IF(D189 + J188 &lt; 0, D189 + J188, 0)</f>
        <v>0</v>
      </c>
      <c r="K189" s="1">
        <f>IF(E189 + K188 &lt; 0, E189 + K188, 0)</f>
        <v>0</v>
      </c>
      <c r="L189" s="1">
        <f>IF(F189 + L188 &lt; 0, F189 + L188, 0)</f>
        <v>0</v>
      </c>
      <c r="M189" s="1">
        <f>IF(G189 + M188 &lt; 0, G189 + M188, 0)</f>
        <v>0</v>
      </c>
      <c r="N189" s="1">
        <f>IF(H189 + N188 &lt; 0, H189 + N188, 0)</f>
        <v>0</v>
      </c>
      <c r="O189" s="1">
        <f>IF(N189 &lt; 0, 1 + O188, 0)</f>
        <v>0</v>
      </c>
      <c r="P189" s="1">
        <f>C189-((ABS(SUM(PL!H189:J189)))*0.125)</f>
        <v>0</v>
      </c>
      <c r="Q189" s="1">
        <f>D189-((ABS(SUM(PL!K189:M189)))*0.125)</f>
        <v>0</v>
      </c>
      <c r="R189" s="1">
        <f>E189-((ABS(SUM(PL!N189:P189)))*0.125)</f>
        <v>0</v>
      </c>
      <c r="S189" s="1">
        <f>F189-((ABS(SUM(PL!Q189:S189)))*0.125)</f>
        <v>0</v>
      </c>
      <c r="T189" s="1">
        <f>G189-((ABS(SUM(PL!T189:V189)))*0.125)</f>
        <v>0</v>
      </c>
      <c r="U189" s="1">
        <f>P189 + Q189 + R189 + S189 + T189</f>
        <v>0</v>
      </c>
      <c r="V189" s="1">
        <f>IF(P189 + V188 &lt; 0, P189 + V188, 0)</f>
        <v>0</v>
      </c>
      <c r="W189" s="1">
        <f>IF(Q189 + W188 &lt; 0, Q189 + W188, 0)</f>
        <v>0</v>
      </c>
      <c r="X189" s="1">
        <f>IF(R189 + X188 &lt; 0, R189 + X188, 0)</f>
        <v>0</v>
      </c>
      <c r="Y189" s="1">
        <f>IF(S189 + Y188 &lt; 0, S189 + Y188, 0)</f>
        <v>0</v>
      </c>
      <c r="Z189" s="1">
        <f>IF(T189 + Z188 &lt; 0, T189 + Z188, 0)</f>
        <v>0</v>
      </c>
      <c r="AA189" s="1">
        <f>IF(U189 + AA188 &lt; 0, U189 + AA188, 0)</f>
        <v>0</v>
      </c>
      <c r="AB189" s="1">
        <f>IF(AA189 &lt; 0, 1 + AB188, 0)</f>
        <v>0</v>
      </c>
      <c r="AC189" s="1">
        <f>IF(H189&lt;0,1,0)</f>
        <v>0</v>
      </c>
      <c r="AD189" s="1">
        <f>IF(AC189=1,H189,0)</f>
        <v>0</v>
      </c>
      <c r="AE189" s="1">
        <f>IF(H189&gt;0,1,0)</f>
        <v>0</v>
      </c>
      <c r="AF189" s="1">
        <f>IF(AE189=1,H189,0)</f>
        <v>0</v>
      </c>
      <c r="AG189" s="1">
        <f>IF(AD189&lt;-20000000.0/100,1,0)</f>
        <v>0</v>
      </c>
      <c r="AH189" s="1">
        <f>IF(AF189&gt;20000000.0/100,1,0)</f>
        <v>0</v>
      </c>
      <c r="AI189" s="1">
        <f>IF(U189&lt;0,1,0)</f>
        <v>0</v>
      </c>
      <c r="AJ189" s="1">
        <f>IF(AI189=1,U189,0)</f>
        <v>0</v>
      </c>
      <c r="AK189" s="1">
        <f>IF(U189&gt;0,1,0)</f>
        <v>0</v>
      </c>
      <c r="AL189" s="1">
        <f>IF(AK189=1,U189,0)</f>
        <v>0</v>
      </c>
      <c r="AM189" s="1">
        <f>IF(AJ189&lt;-20000000.0/100,1,0)</f>
        <v>0</v>
      </c>
      <c r="AN189" s="1">
        <f>IF(AL189&gt;20000000.0/100,1,0)</f>
        <v>0</v>
      </c>
    </row>
    <row r="190" spans="1:40" s="1" customFormat="1">
      <c r="A190" s="3">
        <v>45572</v>
      </c>
      <c r="B190" s="2" t="s">
        <v>22</v>
      </c>
      <c r="C190" s="1">
        <f>SUM(PL!H190:J190)</f>
        <v>0</v>
      </c>
      <c r="D190" s="1">
        <f>SUM(PL!K190:M190)</f>
        <v>0</v>
      </c>
      <c r="E190" s="1">
        <f>SUM(PL!N190:P190)</f>
        <v>0</v>
      </c>
      <c r="F190" s="1">
        <f>SUM(PL!Q190:S190)</f>
        <v>0</v>
      </c>
      <c r="G190" s="1">
        <f>SUM(PL!T190:V190)</f>
        <v>0</v>
      </c>
      <c r="H190" s="1">
        <f>SUM(C190:G190)</f>
        <v>0</v>
      </c>
      <c r="I190" s="1">
        <f>IF(C190 + I189 &lt; 0, C190 + I189, 0)</f>
        <v>0</v>
      </c>
      <c r="J190" s="1">
        <f>IF(D190 + J189 &lt; 0, D190 + J189, 0)</f>
        <v>0</v>
      </c>
      <c r="K190" s="1">
        <f>IF(E190 + K189 &lt; 0, E190 + K189, 0)</f>
        <v>0</v>
      </c>
      <c r="L190" s="1">
        <f>IF(F190 + L189 &lt; 0, F190 + L189, 0)</f>
        <v>0</v>
      </c>
      <c r="M190" s="1">
        <f>IF(G190 + M189 &lt; 0, G190 + M189, 0)</f>
        <v>0</v>
      </c>
      <c r="N190" s="1">
        <f>IF(H190 + N189 &lt; 0, H190 + N189, 0)</f>
        <v>0</v>
      </c>
      <c r="O190" s="1">
        <f>IF(N190 &lt; 0, 1 + O189, 0)</f>
        <v>0</v>
      </c>
      <c r="P190" s="1">
        <f>C190-((ABS(SUM(PL!H190:J190)))*0.125)</f>
        <v>0</v>
      </c>
      <c r="Q190" s="1">
        <f>D190-((ABS(SUM(PL!K190:M190)))*0.125)</f>
        <v>0</v>
      </c>
      <c r="R190" s="1">
        <f>E190-((ABS(SUM(PL!N190:P190)))*0.125)</f>
        <v>0</v>
      </c>
      <c r="S190" s="1">
        <f>F190-((ABS(SUM(PL!Q190:S190)))*0.125)</f>
        <v>0</v>
      </c>
      <c r="T190" s="1">
        <f>G190-((ABS(SUM(PL!T190:V190)))*0.125)</f>
        <v>0</v>
      </c>
      <c r="U190" s="1">
        <f>P190 + Q190 + R190 + S190 + T190</f>
        <v>0</v>
      </c>
      <c r="V190" s="1">
        <f>IF(P190 + V189 &lt; 0, P190 + V189, 0)</f>
        <v>0</v>
      </c>
      <c r="W190" s="1">
        <f>IF(Q190 + W189 &lt; 0, Q190 + W189, 0)</f>
        <v>0</v>
      </c>
      <c r="X190" s="1">
        <f>IF(R190 + X189 &lt; 0, R190 + X189, 0)</f>
        <v>0</v>
      </c>
      <c r="Y190" s="1">
        <f>IF(S190 + Y189 &lt; 0, S190 + Y189, 0)</f>
        <v>0</v>
      </c>
      <c r="Z190" s="1">
        <f>IF(T190 + Z189 &lt; 0, T190 + Z189, 0)</f>
        <v>0</v>
      </c>
      <c r="AA190" s="1">
        <f>IF(U190 + AA189 &lt; 0, U190 + AA189, 0)</f>
        <v>0</v>
      </c>
      <c r="AB190" s="1">
        <f>IF(AA190 &lt; 0, 1 + AB189, 0)</f>
        <v>0</v>
      </c>
      <c r="AC190" s="1">
        <f>IF(H190&lt;0,1,0)</f>
        <v>0</v>
      </c>
      <c r="AD190" s="1">
        <f>IF(AC190=1,H190,0)</f>
        <v>0</v>
      </c>
      <c r="AE190" s="1">
        <f>IF(H190&gt;0,1,0)</f>
        <v>0</v>
      </c>
      <c r="AF190" s="1">
        <f>IF(AE190=1,H190,0)</f>
        <v>0</v>
      </c>
      <c r="AG190" s="1">
        <f>IF(AD190&lt;-20000000.0/100,1,0)</f>
        <v>0</v>
      </c>
      <c r="AH190" s="1">
        <f>IF(AF190&gt;20000000.0/100,1,0)</f>
        <v>0</v>
      </c>
      <c r="AI190" s="1">
        <f>IF(U190&lt;0,1,0)</f>
        <v>0</v>
      </c>
      <c r="AJ190" s="1">
        <f>IF(AI190=1,U190,0)</f>
        <v>0</v>
      </c>
      <c r="AK190" s="1">
        <f>IF(U190&gt;0,1,0)</f>
        <v>0</v>
      </c>
      <c r="AL190" s="1">
        <f>IF(AK190=1,U190,0)</f>
        <v>0</v>
      </c>
      <c r="AM190" s="1">
        <f>IF(AJ190&lt;-20000000.0/100,1,0)</f>
        <v>0</v>
      </c>
      <c r="AN190" s="1">
        <f>IF(AL190&gt;20000000.0/100,1,0)</f>
        <v>0</v>
      </c>
    </row>
    <row r="191" spans="1:40" s="1" customFormat="1">
      <c r="A191" s="3">
        <v>45573</v>
      </c>
      <c r="B191" s="2" t="s">
        <v>23</v>
      </c>
      <c r="C191" s="1">
        <f>SUM(PL!H191:J191)</f>
        <v>0</v>
      </c>
      <c r="D191" s="1">
        <f>SUM(PL!K191:M191)</f>
        <v>0</v>
      </c>
      <c r="E191" s="1">
        <f>SUM(PL!N191:P191)</f>
        <v>0</v>
      </c>
      <c r="F191" s="1">
        <f>SUM(PL!Q191:S191)</f>
        <v>0</v>
      </c>
      <c r="G191" s="1">
        <f>SUM(PL!T191:V191)</f>
        <v>0</v>
      </c>
      <c r="H191" s="1">
        <f>SUM(C191:G191)</f>
        <v>0</v>
      </c>
      <c r="I191" s="1">
        <f>IF(C191 + I190 &lt; 0, C191 + I190, 0)</f>
        <v>0</v>
      </c>
      <c r="J191" s="1">
        <f>IF(D191 + J190 &lt; 0, D191 + J190, 0)</f>
        <v>0</v>
      </c>
      <c r="K191" s="1">
        <f>IF(E191 + K190 &lt; 0, E191 + K190, 0)</f>
        <v>0</v>
      </c>
      <c r="L191" s="1">
        <f>IF(F191 + L190 &lt; 0, F191 + L190, 0)</f>
        <v>0</v>
      </c>
      <c r="M191" s="1">
        <f>IF(G191 + M190 &lt; 0, G191 + M190, 0)</f>
        <v>0</v>
      </c>
      <c r="N191" s="1">
        <f>IF(H191 + N190 &lt; 0, H191 + N190, 0)</f>
        <v>0</v>
      </c>
      <c r="O191" s="1">
        <f>IF(N191 &lt; 0, 1 + O190, 0)</f>
        <v>0</v>
      </c>
      <c r="P191" s="1">
        <f>C191-((ABS(SUM(PL!H191:J191)))*0.125)</f>
        <v>0</v>
      </c>
      <c r="Q191" s="1">
        <f>D191-((ABS(SUM(PL!K191:M191)))*0.125)</f>
        <v>0</v>
      </c>
      <c r="R191" s="1">
        <f>E191-((ABS(SUM(PL!N191:P191)))*0.125)</f>
        <v>0</v>
      </c>
      <c r="S191" s="1">
        <f>F191-((ABS(SUM(PL!Q191:S191)))*0.125)</f>
        <v>0</v>
      </c>
      <c r="T191" s="1">
        <f>G191-((ABS(SUM(PL!T191:V191)))*0.125)</f>
        <v>0</v>
      </c>
      <c r="U191" s="1">
        <f>P191 + Q191 + R191 + S191 + T191</f>
        <v>0</v>
      </c>
      <c r="V191" s="1">
        <f>IF(P191 + V190 &lt; 0, P191 + V190, 0)</f>
        <v>0</v>
      </c>
      <c r="W191" s="1">
        <f>IF(Q191 + W190 &lt; 0, Q191 + W190, 0)</f>
        <v>0</v>
      </c>
      <c r="X191" s="1">
        <f>IF(R191 + X190 &lt; 0, R191 + X190, 0)</f>
        <v>0</v>
      </c>
      <c r="Y191" s="1">
        <f>IF(S191 + Y190 &lt; 0, S191 + Y190, 0)</f>
        <v>0</v>
      </c>
      <c r="Z191" s="1">
        <f>IF(T191 + Z190 &lt; 0, T191 + Z190, 0)</f>
        <v>0</v>
      </c>
      <c r="AA191" s="1">
        <f>IF(U191 + AA190 &lt; 0, U191 + AA190, 0)</f>
        <v>0</v>
      </c>
      <c r="AB191" s="1">
        <f>IF(AA191 &lt; 0, 1 + AB190, 0)</f>
        <v>0</v>
      </c>
      <c r="AC191" s="1">
        <f>IF(H191&lt;0,1,0)</f>
        <v>0</v>
      </c>
      <c r="AD191" s="1">
        <f>IF(AC191=1,H191,0)</f>
        <v>0</v>
      </c>
      <c r="AE191" s="1">
        <f>IF(H191&gt;0,1,0)</f>
        <v>0</v>
      </c>
      <c r="AF191" s="1">
        <f>IF(AE191=1,H191,0)</f>
        <v>0</v>
      </c>
      <c r="AG191" s="1">
        <f>IF(AD191&lt;-20000000.0/100,1,0)</f>
        <v>0</v>
      </c>
      <c r="AH191" s="1">
        <f>IF(AF191&gt;20000000.0/100,1,0)</f>
        <v>0</v>
      </c>
      <c r="AI191" s="1">
        <f>IF(U191&lt;0,1,0)</f>
        <v>0</v>
      </c>
      <c r="AJ191" s="1">
        <f>IF(AI191=1,U191,0)</f>
        <v>0</v>
      </c>
      <c r="AK191" s="1">
        <f>IF(U191&gt;0,1,0)</f>
        <v>0</v>
      </c>
      <c r="AL191" s="1">
        <f>IF(AK191=1,U191,0)</f>
        <v>0</v>
      </c>
      <c r="AM191" s="1">
        <f>IF(AJ191&lt;-20000000.0/100,1,0)</f>
        <v>0</v>
      </c>
      <c r="AN191" s="1">
        <f>IF(AL191&gt;20000000.0/100,1,0)</f>
        <v>0</v>
      </c>
    </row>
    <row r="192" spans="1:40" s="1" customFormat="1">
      <c r="A192" s="3">
        <v>45574</v>
      </c>
      <c r="B192" s="2" t="s">
        <v>24</v>
      </c>
      <c r="C192" s="1">
        <f>SUM(PL!H192:J192)</f>
        <v>0</v>
      </c>
      <c r="D192" s="1">
        <f>SUM(PL!K192:M192)</f>
        <v>0</v>
      </c>
      <c r="E192" s="1">
        <f>SUM(PL!N192:P192)</f>
        <v>0</v>
      </c>
      <c r="F192" s="1">
        <f>SUM(PL!Q192:S192)</f>
        <v>0</v>
      </c>
      <c r="G192" s="1">
        <f>SUM(PL!T192:V192)</f>
        <v>0</v>
      </c>
      <c r="H192" s="1">
        <f>SUM(C192:G192)</f>
        <v>0</v>
      </c>
      <c r="I192" s="1">
        <f>IF(C192 + I191 &lt; 0, C192 + I191, 0)</f>
        <v>0</v>
      </c>
      <c r="J192" s="1">
        <f>IF(D192 + J191 &lt; 0, D192 + J191, 0)</f>
        <v>0</v>
      </c>
      <c r="K192" s="1">
        <f>IF(E192 + K191 &lt; 0, E192 + K191, 0)</f>
        <v>0</v>
      </c>
      <c r="L192" s="1">
        <f>IF(F192 + L191 &lt; 0, F192 + L191, 0)</f>
        <v>0</v>
      </c>
      <c r="M192" s="1">
        <f>IF(G192 + M191 &lt; 0, G192 + M191, 0)</f>
        <v>0</v>
      </c>
      <c r="N192" s="1">
        <f>IF(H192 + N191 &lt; 0, H192 + N191, 0)</f>
        <v>0</v>
      </c>
      <c r="O192" s="1">
        <f>IF(N192 &lt; 0, 1 + O191, 0)</f>
        <v>0</v>
      </c>
      <c r="P192" s="1">
        <f>C192-((ABS(SUM(PL!H192:J192)))*0.125)</f>
        <v>0</v>
      </c>
      <c r="Q192" s="1">
        <f>D192-((ABS(SUM(PL!K192:M192)))*0.125)</f>
        <v>0</v>
      </c>
      <c r="R192" s="1">
        <f>E192-((ABS(SUM(PL!N192:P192)))*0.125)</f>
        <v>0</v>
      </c>
      <c r="S192" s="1">
        <f>F192-((ABS(SUM(PL!Q192:S192)))*0.125)</f>
        <v>0</v>
      </c>
      <c r="T192" s="1">
        <f>G192-((ABS(SUM(PL!T192:V192)))*0.125)</f>
        <v>0</v>
      </c>
      <c r="U192" s="1">
        <f>P192 + Q192 + R192 + S192 + T192</f>
        <v>0</v>
      </c>
      <c r="V192" s="1">
        <f>IF(P192 + V191 &lt; 0, P192 + V191, 0)</f>
        <v>0</v>
      </c>
      <c r="W192" s="1">
        <f>IF(Q192 + W191 &lt; 0, Q192 + W191, 0)</f>
        <v>0</v>
      </c>
      <c r="X192" s="1">
        <f>IF(R192 + X191 &lt; 0, R192 + X191, 0)</f>
        <v>0</v>
      </c>
      <c r="Y192" s="1">
        <f>IF(S192 + Y191 &lt; 0, S192 + Y191, 0)</f>
        <v>0</v>
      </c>
      <c r="Z192" s="1">
        <f>IF(T192 + Z191 &lt; 0, T192 + Z191, 0)</f>
        <v>0</v>
      </c>
      <c r="AA192" s="1">
        <f>IF(U192 + AA191 &lt; 0, U192 + AA191, 0)</f>
        <v>0</v>
      </c>
      <c r="AB192" s="1">
        <f>IF(AA192 &lt; 0, 1 + AB191, 0)</f>
        <v>0</v>
      </c>
      <c r="AC192" s="1">
        <f>IF(H192&lt;0,1,0)</f>
        <v>0</v>
      </c>
      <c r="AD192" s="1">
        <f>IF(AC192=1,H192,0)</f>
        <v>0</v>
      </c>
      <c r="AE192" s="1">
        <f>IF(H192&gt;0,1,0)</f>
        <v>0</v>
      </c>
      <c r="AF192" s="1">
        <f>IF(AE192=1,H192,0)</f>
        <v>0</v>
      </c>
      <c r="AG192" s="1">
        <f>IF(AD192&lt;-20000000.0/100,1,0)</f>
        <v>0</v>
      </c>
      <c r="AH192" s="1">
        <f>IF(AF192&gt;20000000.0/100,1,0)</f>
        <v>0</v>
      </c>
      <c r="AI192" s="1">
        <f>IF(U192&lt;0,1,0)</f>
        <v>0</v>
      </c>
      <c r="AJ192" s="1">
        <f>IF(AI192=1,U192,0)</f>
        <v>0</v>
      </c>
      <c r="AK192" s="1">
        <f>IF(U192&gt;0,1,0)</f>
        <v>0</v>
      </c>
      <c r="AL192" s="1">
        <f>IF(AK192=1,U192,0)</f>
        <v>0</v>
      </c>
      <c r="AM192" s="1">
        <f>IF(AJ192&lt;-20000000.0/100,1,0)</f>
        <v>0</v>
      </c>
      <c r="AN192" s="1">
        <f>IF(AL192&gt;20000000.0/100,1,0)</f>
        <v>0</v>
      </c>
    </row>
    <row r="193" spans="1:40" s="1" customFormat="1">
      <c r="A193" s="3">
        <v>45575</v>
      </c>
      <c r="B193" s="2" t="s">
        <v>25</v>
      </c>
      <c r="C193" s="1">
        <f>SUM(PL!H193:J193)</f>
        <v>0</v>
      </c>
      <c r="D193" s="1">
        <f>SUM(PL!K193:M193)</f>
        <v>0</v>
      </c>
      <c r="E193" s="1">
        <f>SUM(PL!N193:P193)</f>
        <v>0</v>
      </c>
      <c r="F193" s="1">
        <f>SUM(PL!Q193:S193)</f>
        <v>0</v>
      </c>
      <c r="G193" s="1">
        <f>SUM(PL!T193:V193)</f>
        <v>0</v>
      </c>
      <c r="H193" s="1">
        <f>SUM(C193:G193)</f>
        <v>0</v>
      </c>
      <c r="I193" s="1">
        <f>IF(C193 + I192 &lt; 0, C193 + I192, 0)</f>
        <v>0</v>
      </c>
      <c r="J193" s="1">
        <f>IF(D193 + J192 &lt; 0, D193 + J192, 0)</f>
        <v>0</v>
      </c>
      <c r="K193" s="1">
        <f>IF(E193 + K192 &lt; 0, E193 + K192, 0)</f>
        <v>0</v>
      </c>
      <c r="L193" s="1">
        <f>IF(F193 + L192 &lt; 0, F193 + L192, 0)</f>
        <v>0</v>
      </c>
      <c r="M193" s="1">
        <f>IF(G193 + M192 &lt; 0, G193 + M192, 0)</f>
        <v>0</v>
      </c>
      <c r="N193" s="1">
        <f>IF(H193 + N192 &lt; 0, H193 + N192, 0)</f>
        <v>0</v>
      </c>
      <c r="O193" s="1">
        <f>IF(N193 &lt; 0, 1 + O192, 0)</f>
        <v>0</v>
      </c>
      <c r="P193" s="1">
        <f>C193-((ABS(SUM(PL!H193:J193)))*0.125)</f>
        <v>0</v>
      </c>
      <c r="Q193" s="1">
        <f>D193-((ABS(SUM(PL!K193:M193)))*0.125)</f>
        <v>0</v>
      </c>
      <c r="R193" s="1">
        <f>E193-((ABS(SUM(PL!N193:P193)))*0.125)</f>
        <v>0</v>
      </c>
      <c r="S193" s="1">
        <f>F193-((ABS(SUM(PL!Q193:S193)))*0.125)</f>
        <v>0</v>
      </c>
      <c r="T193" s="1">
        <f>G193-((ABS(SUM(PL!T193:V193)))*0.125)</f>
        <v>0</v>
      </c>
      <c r="U193" s="1">
        <f>P193 + Q193 + R193 + S193 + T193</f>
        <v>0</v>
      </c>
      <c r="V193" s="1">
        <f>IF(P193 + V192 &lt; 0, P193 + V192, 0)</f>
        <v>0</v>
      </c>
      <c r="W193" s="1">
        <f>IF(Q193 + W192 &lt; 0, Q193 + W192, 0)</f>
        <v>0</v>
      </c>
      <c r="X193" s="1">
        <f>IF(R193 + X192 &lt; 0, R193 + X192, 0)</f>
        <v>0</v>
      </c>
      <c r="Y193" s="1">
        <f>IF(S193 + Y192 &lt; 0, S193 + Y192, 0)</f>
        <v>0</v>
      </c>
      <c r="Z193" s="1">
        <f>IF(T193 + Z192 &lt; 0, T193 + Z192, 0)</f>
        <v>0</v>
      </c>
      <c r="AA193" s="1">
        <f>IF(U193 + AA192 &lt; 0, U193 + AA192, 0)</f>
        <v>0</v>
      </c>
      <c r="AB193" s="1">
        <f>IF(AA193 &lt; 0, 1 + AB192, 0)</f>
        <v>0</v>
      </c>
      <c r="AC193" s="1">
        <f>IF(H193&lt;0,1,0)</f>
        <v>0</v>
      </c>
      <c r="AD193" s="1">
        <f>IF(AC193=1,H193,0)</f>
        <v>0</v>
      </c>
      <c r="AE193" s="1">
        <f>IF(H193&gt;0,1,0)</f>
        <v>0</v>
      </c>
      <c r="AF193" s="1">
        <f>IF(AE193=1,H193,0)</f>
        <v>0</v>
      </c>
      <c r="AG193" s="1">
        <f>IF(AD193&lt;-20000000.0/100,1,0)</f>
        <v>0</v>
      </c>
      <c r="AH193" s="1">
        <f>IF(AF193&gt;20000000.0/100,1,0)</f>
        <v>0</v>
      </c>
      <c r="AI193" s="1">
        <f>IF(U193&lt;0,1,0)</f>
        <v>0</v>
      </c>
      <c r="AJ193" s="1">
        <f>IF(AI193=1,U193,0)</f>
        <v>0</v>
      </c>
      <c r="AK193" s="1">
        <f>IF(U193&gt;0,1,0)</f>
        <v>0</v>
      </c>
      <c r="AL193" s="1">
        <f>IF(AK193=1,U193,0)</f>
        <v>0</v>
      </c>
      <c r="AM193" s="1">
        <f>IF(AJ193&lt;-20000000.0/100,1,0)</f>
        <v>0</v>
      </c>
      <c r="AN193" s="1">
        <f>IF(AL193&gt;20000000.0/100,1,0)</f>
        <v>0</v>
      </c>
    </row>
    <row r="194" spans="1:40" s="1" customFormat="1">
      <c r="A194" s="3">
        <v>45576</v>
      </c>
      <c r="B194" s="2" t="s">
        <v>26</v>
      </c>
      <c r="C194" s="1">
        <f>SUM(PL!H194:J194)</f>
        <v>0</v>
      </c>
      <c r="D194" s="1">
        <f>SUM(PL!K194:M194)</f>
        <v>0</v>
      </c>
      <c r="E194" s="1">
        <f>SUM(PL!N194:P194)</f>
        <v>0</v>
      </c>
      <c r="F194" s="1">
        <f>SUM(PL!Q194:S194)</f>
        <v>0</v>
      </c>
      <c r="G194" s="1">
        <f>SUM(PL!T194:V194)</f>
        <v>0</v>
      </c>
      <c r="H194" s="1">
        <f>SUM(C194:G194)</f>
        <v>0</v>
      </c>
      <c r="I194" s="1">
        <f>IF(C194 + I193 &lt; 0, C194 + I193, 0)</f>
        <v>0</v>
      </c>
      <c r="J194" s="1">
        <f>IF(D194 + J193 &lt; 0, D194 + J193, 0)</f>
        <v>0</v>
      </c>
      <c r="K194" s="1">
        <f>IF(E194 + K193 &lt; 0, E194 + K193, 0)</f>
        <v>0</v>
      </c>
      <c r="L194" s="1">
        <f>IF(F194 + L193 &lt; 0, F194 + L193, 0)</f>
        <v>0</v>
      </c>
      <c r="M194" s="1">
        <f>IF(G194 + M193 &lt; 0, G194 + M193, 0)</f>
        <v>0</v>
      </c>
      <c r="N194" s="1">
        <f>IF(H194 + N193 &lt; 0, H194 + N193, 0)</f>
        <v>0</v>
      </c>
      <c r="O194" s="1">
        <f>IF(N194 &lt; 0, 1 + O193, 0)</f>
        <v>0</v>
      </c>
      <c r="P194" s="1">
        <f>C194-((ABS(SUM(PL!H194:J194)))*0.125)</f>
        <v>0</v>
      </c>
      <c r="Q194" s="1">
        <f>D194-((ABS(SUM(PL!K194:M194)))*0.125)</f>
        <v>0</v>
      </c>
      <c r="R194" s="1">
        <f>E194-((ABS(SUM(PL!N194:P194)))*0.125)</f>
        <v>0</v>
      </c>
      <c r="S194" s="1">
        <f>F194-((ABS(SUM(PL!Q194:S194)))*0.125)</f>
        <v>0</v>
      </c>
      <c r="T194" s="1">
        <f>G194-((ABS(SUM(PL!T194:V194)))*0.125)</f>
        <v>0</v>
      </c>
      <c r="U194" s="1">
        <f>P194 + Q194 + R194 + S194 + T194</f>
        <v>0</v>
      </c>
      <c r="V194" s="1">
        <f>IF(P194 + V193 &lt; 0, P194 + V193, 0)</f>
        <v>0</v>
      </c>
      <c r="W194" s="1">
        <f>IF(Q194 + W193 &lt; 0, Q194 + W193, 0)</f>
        <v>0</v>
      </c>
      <c r="X194" s="1">
        <f>IF(R194 + X193 &lt; 0, R194 + X193, 0)</f>
        <v>0</v>
      </c>
      <c r="Y194" s="1">
        <f>IF(S194 + Y193 &lt; 0, S194 + Y193, 0)</f>
        <v>0</v>
      </c>
      <c r="Z194" s="1">
        <f>IF(T194 + Z193 &lt; 0, T194 + Z193, 0)</f>
        <v>0</v>
      </c>
      <c r="AA194" s="1">
        <f>IF(U194 + AA193 &lt; 0, U194 + AA193, 0)</f>
        <v>0</v>
      </c>
      <c r="AB194" s="1">
        <f>IF(AA194 &lt; 0, 1 + AB193, 0)</f>
        <v>0</v>
      </c>
      <c r="AC194" s="1">
        <f>IF(H194&lt;0,1,0)</f>
        <v>0</v>
      </c>
      <c r="AD194" s="1">
        <f>IF(AC194=1,H194,0)</f>
        <v>0</v>
      </c>
      <c r="AE194" s="1">
        <f>IF(H194&gt;0,1,0)</f>
        <v>0</v>
      </c>
      <c r="AF194" s="1">
        <f>IF(AE194=1,H194,0)</f>
        <v>0</v>
      </c>
      <c r="AG194" s="1">
        <f>IF(AD194&lt;-20000000.0/100,1,0)</f>
        <v>0</v>
      </c>
      <c r="AH194" s="1">
        <f>IF(AF194&gt;20000000.0/100,1,0)</f>
        <v>0</v>
      </c>
      <c r="AI194" s="1">
        <f>IF(U194&lt;0,1,0)</f>
        <v>0</v>
      </c>
      <c r="AJ194" s="1">
        <f>IF(AI194=1,U194,0)</f>
        <v>0</v>
      </c>
      <c r="AK194" s="1">
        <f>IF(U194&gt;0,1,0)</f>
        <v>0</v>
      </c>
      <c r="AL194" s="1">
        <f>IF(AK194=1,U194,0)</f>
        <v>0</v>
      </c>
      <c r="AM194" s="1">
        <f>IF(AJ194&lt;-20000000.0/100,1,0)</f>
        <v>0</v>
      </c>
      <c r="AN194" s="1">
        <f>IF(AL194&gt;20000000.0/100,1,0)</f>
        <v>0</v>
      </c>
    </row>
    <row r="195" spans="1:40" s="1" customFormat="1">
      <c r="A195" s="3">
        <v>45579</v>
      </c>
      <c r="B195" s="2" t="s">
        <v>22</v>
      </c>
      <c r="C195" s="1">
        <f>SUM(PL!H195:J195)</f>
        <v>0</v>
      </c>
      <c r="D195" s="1">
        <f>SUM(PL!K195:M195)</f>
        <v>0</v>
      </c>
      <c r="E195" s="1">
        <f>SUM(PL!N195:P195)</f>
        <v>0</v>
      </c>
      <c r="F195" s="1">
        <f>SUM(PL!Q195:S195)</f>
        <v>0</v>
      </c>
      <c r="G195" s="1">
        <f>SUM(PL!T195:V195)</f>
        <v>0</v>
      </c>
      <c r="H195" s="1">
        <f>SUM(C195:G195)</f>
        <v>0</v>
      </c>
      <c r="I195" s="1">
        <f>IF(C195 + I194 &lt; 0, C195 + I194, 0)</f>
        <v>0</v>
      </c>
      <c r="J195" s="1">
        <f>IF(D195 + J194 &lt; 0, D195 + J194, 0)</f>
        <v>0</v>
      </c>
      <c r="K195" s="1">
        <f>IF(E195 + K194 &lt; 0, E195 + K194, 0)</f>
        <v>0</v>
      </c>
      <c r="L195" s="1">
        <f>IF(F195 + L194 &lt; 0, F195 + L194, 0)</f>
        <v>0</v>
      </c>
      <c r="M195" s="1">
        <f>IF(G195 + M194 &lt; 0, G195 + M194, 0)</f>
        <v>0</v>
      </c>
      <c r="N195" s="1">
        <f>IF(H195 + N194 &lt; 0, H195 + N194, 0)</f>
        <v>0</v>
      </c>
      <c r="O195" s="1">
        <f>IF(N195 &lt; 0, 1 + O194, 0)</f>
        <v>0</v>
      </c>
      <c r="P195" s="1">
        <f>C195-((ABS(SUM(PL!H195:J195)))*0.125)</f>
        <v>0</v>
      </c>
      <c r="Q195" s="1">
        <f>D195-((ABS(SUM(PL!K195:M195)))*0.125)</f>
        <v>0</v>
      </c>
      <c r="R195" s="1">
        <f>E195-((ABS(SUM(PL!N195:P195)))*0.125)</f>
        <v>0</v>
      </c>
      <c r="S195" s="1">
        <f>F195-((ABS(SUM(PL!Q195:S195)))*0.125)</f>
        <v>0</v>
      </c>
      <c r="T195" s="1">
        <f>G195-((ABS(SUM(PL!T195:V195)))*0.125)</f>
        <v>0</v>
      </c>
      <c r="U195" s="1">
        <f>P195 + Q195 + R195 + S195 + T195</f>
        <v>0</v>
      </c>
      <c r="V195" s="1">
        <f>IF(P195 + V194 &lt; 0, P195 + V194, 0)</f>
        <v>0</v>
      </c>
      <c r="W195" s="1">
        <f>IF(Q195 + W194 &lt; 0, Q195 + W194, 0)</f>
        <v>0</v>
      </c>
      <c r="X195" s="1">
        <f>IF(R195 + X194 &lt; 0, R195 + X194, 0)</f>
        <v>0</v>
      </c>
      <c r="Y195" s="1">
        <f>IF(S195 + Y194 &lt; 0, S195 + Y194, 0)</f>
        <v>0</v>
      </c>
      <c r="Z195" s="1">
        <f>IF(T195 + Z194 &lt; 0, T195 + Z194, 0)</f>
        <v>0</v>
      </c>
      <c r="AA195" s="1">
        <f>IF(U195 + AA194 &lt; 0, U195 + AA194, 0)</f>
        <v>0</v>
      </c>
      <c r="AB195" s="1">
        <f>IF(AA195 &lt; 0, 1 + AB194, 0)</f>
        <v>0</v>
      </c>
      <c r="AC195" s="1">
        <f>IF(H195&lt;0,1,0)</f>
        <v>0</v>
      </c>
      <c r="AD195" s="1">
        <f>IF(AC195=1,H195,0)</f>
        <v>0</v>
      </c>
      <c r="AE195" s="1">
        <f>IF(H195&gt;0,1,0)</f>
        <v>0</v>
      </c>
      <c r="AF195" s="1">
        <f>IF(AE195=1,H195,0)</f>
        <v>0</v>
      </c>
      <c r="AG195" s="1">
        <f>IF(AD195&lt;-20000000.0/100,1,0)</f>
        <v>0</v>
      </c>
      <c r="AH195" s="1">
        <f>IF(AF195&gt;20000000.0/100,1,0)</f>
        <v>0</v>
      </c>
      <c r="AI195" s="1">
        <f>IF(U195&lt;0,1,0)</f>
        <v>0</v>
      </c>
      <c r="AJ195" s="1">
        <f>IF(AI195=1,U195,0)</f>
        <v>0</v>
      </c>
      <c r="AK195" s="1">
        <f>IF(U195&gt;0,1,0)</f>
        <v>0</v>
      </c>
      <c r="AL195" s="1">
        <f>IF(AK195=1,U195,0)</f>
        <v>0</v>
      </c>
      <c r="AM195" s="1">
        <f>IF(AJ195&lt;-20000000.0/100,1,0)</f>
        <v>0</v>
      </c>
      <c r="AN195" s="1">
        <f>IF(AL195&gt;20000000.0/100,1,0)</f>
        <v>0</v>
      </c>
    </row>
    <row r="196" spans="1:40" s="1" customFormat="1">
      <c r="A196" s="3">
        <v>45580</v>
      </c>
      <c r="B196" s="2" t="s">
        <v>23</v>
      </c>
      <c r="C196" s="1">
        <f>SUM(PL!H196:J196)</f>
        <v>0</v>
      </c>
      <c r="D196" s="1">
        <f>SUM(PL!K196:M196)</f>
        <v>0</v>
      </c>
      <c r="E196" s="1">
        <f>SUM(PL!N196:P196)</f>
        <v>0</v>
      </c>
      <c r="F196" s="1">
        <f>SUM(PL!Q196:S196)</f>
        <v>0</v>
      </c>
      <c r="G196" s="1">
        <f>SUM(PL!T196:V196)</f>
        <v>0</v>
      </c>
      <c r="H196" s="1">
        <f>SUM(C196:G196)</f>
        <v>0</v>
      </c>
      <c r="I196" s="1">
        <f>IF(C196 + I195 &lt; 0, C196 + I195, 0)</f>
        <v>0</v>
      </c>
      <c r="J196" s="1">
        <f>IF(D196 + J195 &lt; 0, D196 + J195, 0)</f>
        <v>0</v>
      </c>
      <c r="K196" s="1">
        <f>IF(E196 + K195 &lt; 0, E196 + K195, 0)</f>
        <v>0</v>
      </c>
      <c r="L196" s="1">
        <f>IF(F196 + L195 &lt; 0, F196 + L195, 0)</f>
        <v>0</v>
      </c>
      <c r="M196" s="1">
        <f>IF(G196 + M195 &lt; 0, G196 + M195, 0)</f>
        <v>0</v>
      </c>
      <c r="N196" s="1">
        <f>IF(H196 + N195 &lt; 0, H196 + N195, 0)</f>
        <v>0</v>
      </c>
      <c r="O196" s="1">
        <f>IF(N196 &lt; 0, 1 + O195, 0)</f>
        <v>0</v>
      </c>
      <c r="P196" s="1">
        <f>C196-((ABS(SUM(PL!H196:J196)))*0.125)</f>
        <v>0</v>
      </c>
      <c r="Q196" s="1">
        <f>D196-((ABS(SUM(PL!K196:M196)))*0.125)</f>
        <v>0</v>
      </c>
      <c r="R196" s="1">
        <f>E196-((ABS(SUM(PL!N196:P196)))*0.125)</f>
        <v>0</v>
      </c>
      <c r="S196" s="1">
        <f>F196-((ABS(SUM(PL!Q196:S196)))*0.125)</f>
        <v>0</v>
      </c>
      <c r="T196" s="1">
        <f>G196-((ABS(SUM(PL!T196:V196)))*0.125)</f>
        <v>0</v>
      </c>
      <c r="U196" s="1">
        <f>P196 + Q196 + R196 + S196 + T196</f>
        <v>0</v>
      </c>
      <c r="V196" s="1">
        <f>IF(P196 + V195 &lt; 0, P196 + V195, 0)</f>
        <v>0</v>
      </c>
      <c r="W196" s="1">
        <f>IF(Q196 + W195 &lt; 0, Q196 + W195, 0)</f>
        <v>0</v>
      </c>
      <c r="X196" s="1">
        <f>IF(R196 + X195 &lt; 0, R196 + X195, 0)</f>
        <v>0</v>
      </c>
      <c r="Y196" s="1">
        <f>IF(S196 + Y195 &lt; 0, S196 + Y195, 0)</f>
        <v>0</v>
      </c>
      <c r="Z196" s="1">
        <f>IF(T196 + Z195 &lt; 0, T196 + Z195, 0)</f>
        <v>0</v>
      </c>
      <c r="AA196" s="1">
        <f>IF(U196 + AA195 &lt; 0, U196 + AA195, 0)</f>
        <v>0</v>
      </c>
      <c r="AB196" s="1">
        <f>IF(AA196 &lt; 0, 1 + AB195, 0)</f>
        <v>0</v>
      </c>
      <c r="AC196" s="1">
        <f>IF(H196&lt;0,1,0)</f>
        <v>0</v>
      </c>
      <c r="AD196" s="1">
        <f>IF(AC196=1,H196,0)</f>
        <v>0</v>
      </c>
      <c r="AE196" s="1">
        <f>IF(H196&gt;0,1,0)</f>
        <v>0</v>
      </c>
      <c r="AF196" s="1">
        <f>IF(AE196=1,H196,0)</f>
        <v>0</v>
      </c>
      <c r="AG196" s="1">
        <f>IF(AD196&lt;-20000000.0/100,1,0)</f>
        <v>0</v>
      </c>
      <c r="AH196" s="1">
        <f>IF(AF196&gt;20000000.0/100,1,0)</f>
        <v>0</v>
      </c>
      <c r="AI196" s="1">
        <f>IF(U196&lt;0,1,0)</f>
        <v>0</v>
      </c>
      <c r="AJ196" s="1">
        <f>IF(AI196=1,U196,0)</f>
        <v>0</v>
      </c>
      <c r="AK196" s="1">
        <f>IF(U196&gt;0,1,0)</f>
        <v>0</v>
      </c>
      <c r="AL196" s="1">
        <f>IF(AK196=1,U196,0)</f>
        <v>0</v>
      </c>
      <c r="AM196" s="1">
        <f>IF(AJ196&lt;-20000000.0/100,1,0)</f>
        <v>0</v>
      </c>
      <c r="AN196" s="1">
        <f>IF(AL196&gt;20000000.0/100,1,0)</f>
        <v>0</v>
      </c>
    </row>
    <row r="197" spans="1:40" s="1" customFormat="1">
      <c r="A197" s="3">
        <v>45581</v>
      </c>
      <c r="B197" s="2" t="s">
        <v>24</v>
      </c>
      <c r="C197" s="1">
        <f>SUM(PL!H197:J197)</f>
        <v>0</v>
      </c>
      <c r="D197" s="1">
        <f>SUM(PL!K197:M197)</f>
        <v>0</v>
      </c>
      <c r="E197" s="1">
        <f>SUM(PL!N197:P197)</f>
        <v>0</v>
      </c>
      <c r="F197" s="1">
        <f>SUM(PL!Q197:S197)</f>
        <v>0</v>
      </c>
      <c r="G197" s="1">
        <f>SUM(PL!T197:V197)</f>
        <v>0</v>
      </c>
      <c r="H197" s="1">
        <f>SUM(C197:G197)</f>
        <v>0</v>
      </c>
      <c r="I197" s="1">
        <f>IF(C197 + I196 &lt; 0, C197 + I196, 0)</f>
        <v>0</v>
      </c>
      <c r="J197" s="1">
        <f>IF(D197 + J196 &lt; 0, D197 + J196, 0)</f>
        <v>0</v>
      </c>
      <c r="K197" s="1">
        <f>IF(E197 + K196 &lt; 0, E197 + K196, 0)</f>
        <v>0</v>
      </c>
      <c r="L197" s="1">
        <f>IF(F197 + L196 &lt; 0, F197 + L196, 0)</f>
        <v>0</v>
      </c>
      <c r="M197" s="1">
        <f>IF(G197 + M196 &lt; 0, G197 + M196, 0)</f>
        <v>0</v>
      </c>
      <c r="N197" s="1">
        <f>IF(H197 + N196 &lt; 0, H197 + N196, 0)</f>
        <v>0</v>
      </c>
      <c r="O197" s="1">
        <f>IF(N197 &lt; 0, 1 + O196, 0)</f>
        <v>0</v>
      </c>
      <c r="P197" s="1">
        <f>C197-((ABS(SUM(PL!H197:J197)))*0.125)</f>
        <v>0</v>
      </c>
      <c r="Q197" s="1">
        <f>D197-((ABS(SUM(PL!K197:M197)))*0.125)</f>
        <v>0</v>
      </c>
      <c r="R197" s="1">
        <f>E197-((ABS(SUM(PL!N197:P197)))*0.125)</f>
        <v>0</v>
      </c>
      <c r="S197" s="1">
        <f>F197-((ABS(SUM(PL!Q197:S197)))*0.125)</f>
        <v>0</v>
      </c>
      <c r="T197" s="1">
        <f>G197-((ABS(SUM(PL!T197:V197)))*0.125)</f>
        <v>0</v>
      </c>
      <c r="U197" s="1">
        <f>P197 + Q197 + R197 + S197 + T197</f>
        <v>0</v>
      </c>
      <c r="V197" s="1">
        <f>IF(P197 + V196 &lt; 0, P197 + V196, 0)</f>
        <v>0</v>
      </c>
      <c r="W197" s="1">
        <f>IF(Q197 + W196 &lt; 0, Q197 + W196, 0)</f>
        <v>0</v>
      </c>
      <c r="X197" s="1">
        <f>IF(R197 + X196 &lt; 0, R197 + X196, 0)</f>
        <v>0</v>
      </c>
      <c r="Y197" s="1">
        <f>IF(S197 + Y196 &lt; 0, S197 + Y196, 0)</f>
        <v>0</v>
      </c>
      <c r="Z197" s="1">
        <f>IF(T197 + Z196 &lt; 0, T197 + Z196, 0)</f>
        <v>0</v>
      </c>
      <c r="AA197" s="1">
        <f>IF(U197 + AA196 &lt; 0, U197 + AA196, 0)</f>
        <v>0</v>
      </c>
      <c r="AB197" s="1">
        <f>IF(AA197 &lt; 0, 1 + AB196, 0)</f>
        <v>0</v>
      </c>
      <c r="AC197" s="1">
        <f>IF(H197&lt;0,1,0)</f>
        <v>0</v>
      </c>
      <c r="AD197" s="1">
        <f>IF(AC197=1,H197,0)</f>
        <v>0</v>
      </c>
      <c r="AE197" s="1">
        <f>IF(H197&gt;0,1,0)</f>
        <v>0</v>
      </c>
      <c r="AF197" s="1">
        <f>IF(AE197=1,H197,0)</f>
        <v>0</v>
      </c>
      <c r="AG197" s="1">
        <f>IF(AD197&lt;-20000000.0/100,1,0)</f>
        <v>0</v>
      </c>
      <c r="AH197" s="1">
        <f>IF(AF197&gt;20000000.0/100,1,0)</f>
        <v>0</v>
      </c>
      <c r="AI197" s="1">
        <f>IF(U197&lt;0,1,0)</f>
        <v>0</v>
      </c>
      <c r="AJ197" s="1">
        <f>IF(AI197=1,U197,0)</f>
        <v>0</v>
      </c>
      <c r="AK197" s="1">
        <f>IF(U197&gt;0,1,0)</f>
        <v>0</v>
      </c>
      <c r="AL197" s="1">
        <f>IF(AK197=1,U197,0)</f>
        <v>0</v>
      </c>
      <c r="AM197" s="1">
        <f>IF(AJ197&lt;-20000000.0/100,1,0)</f>
        <v>0</v>
      </c>
      <c r="AN197" s="1">
        <f>IF(AL197&gt;20000000.0/100,1,0)</f>
        <v>0</v>
      </c>
    </row>
    <row r="198" spans="1:40" s="1" customFormat="1">
      <c r="A198" s="3">
        <v>45582</v>
      </c>
      <c r="B198" s="2" t="s">
        <v>25</v>
      </c>
      <c r="C198" s="1">
        <f>SUM(PL!H198:J198)</f>
        <v>0</v>
      </c>
      <c r="D198" s="1">
        <f>SUM(PL!K198:M198)</f>
        <v>0</v>
      </c>
      <c r="E198" s="1">
        <f>SUM(PL!N198:P198)</f>
        <v>0</v>
      </c>
      <c r="F198" s="1">
        <f>SUM(PL!Q198:S198)</f>
        <v>0</v>
      </c>
      <c r="G198" s="1">
        <f>SUM(PL!T198:V198)</f>
        <v>0</v>
      </c>
      <c r="H198" s="1">
        <f>SUM(C198:G198)</f>
        <v>0</v>
      </c>
      <c r="I198" s="1">
        <f>IF(C198 + I197 &lt; 0, C198 + I197, 0)</f>
        <v>0</v>
      </c>
      <c r="J198" s="1">
        <f>IF(D198 + J197 &lt; 0, D198 + J197, 0)</f>
        <v>0</v>
      </c>
      <c r="K198" s="1">
        <f>IF(E198 + K197 &lt; 0, E198 + K197, 0)</f>
        <v>0</v>
      </c>
      <c r="L198" s="1">
        <f>IF(F198 + L197 &lt; 0, F198 + L197, 0)</f>
        <v>0</v>
      </c>
      <c r="M198" s="1">
        <f>IF(G198 + M197 &lt; 0, G198 + M197, 0)</f>
        <v>0</v>
      </c>
      <c r="N198" s="1">
        <f>IF(H198 + N197 &lt; 0, H198 + N197, 0)</f>
        <v>0</v>
      </c>
      <c r="O198" s="1">
        <f>IF(N198 &lt; 0, 1 + O197, 0)</f>
        <v>0</v>
      </c>
      <c r="P198" s="1">
        <f>C198-((ABS(SUM(PL!H198:J198)))*0.125)</f>
        <v>0</v>
      </c>
      <c r="Q198" s="1">
        <f>D198-((ABS(SUM(PL!K198:M198)))*0.125)</f>
        <v>0</v>
      </c>
      <c r="R198" s="1">
        <f>E198-((ABS(SUM(PL!N198:P198)))*0.125)</f>
        <v>0</v>
      </c>
      <c r="S198" s="1">
        <f>F198-((ABS(SUM(PL!Q198:S198)))*0.125)</f>
        <v>0</v>
      </c>
      <c r="T198" s="1">
        <f>G198-((ABS(SUM(PL!T198:V198)))*0.125)</f>
        <v>0</v>
      </c>
      <c r="U198" s="1">
        <f>P198 + Q198 + R198 + S198 + T198</f>
        <v>0</v>
      </c>
      <c r="V198" s="1">
        <f>IF(P198 + V197 &lt; 0, P198 + V197, 0)</f>
        <v>0</v>
      </c>
      <c r="W198" s="1">
        <f>IF(Q198 + W197 &lt; 0, Q198 + W197, 0)</f>
        <v>0</v>
      </c>
      <c r="X198" s="1">
        <f>IF(R198 + X197 &lt; 0, R198 + X197, 0)</f>
        <v>0</v>
      </c>
      <c r="Y198" s="1">
        <f>IF(S198 + Y197 &lt; 0, S198 + Y197, 0)</f>
        <v>0</v>
      </c>
      <c r="Z198" s="1">
        <f>IF(T198 + Z197 &lt; 0, T198 + Z197, 0)</f>
        <v>0</v>
      </c>
      <c r="AA198" s="1">
        <f>IF(U198 + AA197 &lt; 0, U198 + AA197, 0)</f>
        <v>0</v>
      </c>
      <c r="AB198" s="1">
        <f>IF(AA198 &lt; 0, 1 + AB197, 0)</f>
        <v>0</v>
      </c>
      <c r="AC198" s="1">
        <f>IF(H198&lt;0,1,0)</f>
        <v>0</v>
      </c>
      <c r="AD198" s="1">
        <f>IF(AC198=1,H198,0)</f>
        <v>0</v>
      </c>
      <c r="AE198" s="1">
        <f>IF(H198&gt;0,1,0)</f>
        <v>0</v>
      </c>
      <c r="AF198" s="1">
        <f>IF(AE198=1,H198,0)</f>
        <v>0</v>
      </c>
      <c r="AG198" s="1">
        <f>IF(AD198&lt;-20000000.0/100,1,0)</f>
        <v>0</v>
      </c>
      <c r="AH198" s="1">
        <f>IF(AF198&gt;20000000.0/100,1,0)</f>
        <v>0</v>
      </c>
      <c r="AI198" s="1">
        <f>IF(U198&lt;0,1,0)</f>
        <v>0</v>
      </c>
      <c r="AJ198" s="1">
        <f>IF(AI198=1,U198,0)</f>
        <v>0</v>
      </c>
      <c r="AK198" s="1">
        <f>IF(U198&gt;0,1,0)</f>
        <v>0</v>
      </c>
      <c r="AL198" s="1">
        <f>IF(AK198=1,U198,0)</f>
        <v>0</v>
      </c>
      <c r="AM198" s="1">
        <f>IF(AJ198&lt;-20000000.0/100,1,0)</f>
        <v>0</v>
      </c>
      <c r="AN198" s="1">
        <f>IF(AL198&gt;20000000.0/100,1,0)</f>
        <v>0</v>
      </c>
    </row>
    <row r="199" spans="1:40" s="1" customFormat="1">
      <c r="A199" s="3">
        <v>45583</v>
      </c>
      <c r="B199" s="2" t="s">
        <v>26</v>
      </c>
      <c r="C199" s="1">
        <f>SUM(PL!H199:J199)</f>
        <v>0</v>
      </c>
      <c r="D199" s="1">
        <f>SUM(PL!K199:M199)</f>
        <v>0</v>
      </c>
      <c r="E199" s="1">
        <f>SUM(PL!N199:P199)</f>
        <v>0</v>
      </c>
      <c r="F199" s="1">
        <f>SUM(PL!Q199:S199)</f>
        <v>0</v>
      </c>
      <c r="G199" s="1">
        <f>SUM(PL!T199:V199)</f>
        <v>0</v>
      </c>
      <c r="H199" s="1">
        <f>SUM(C199:G199)</f>
        <v>0</v>
      </c>
      <c r="I199" s="1">
        <f>IF(C199 + I198 &lt; 0, C199 + I198, 0)</f>
        <v>0</v>
      </c>
      <c r="J199" s="1">
        <f>IF(D199 + J198 &lt; 0, D199 + J198, 0)</f>
        <v>0</v>
      </c>
      <c r="K199" s="1">
        <f>IF(E199 + K198 &lt; 0, E199 + K198, 0)</f>
        <v>0</v>
      </c>
      <c r="L199" s="1">
        <f>IF(F199 + L198 &lt; 0, F199 + L198, 0)</f>
        <v>0</v>
      </c>
      <c r="M199" s="1">
        <f>IF(G199 + M198 &lt; 0, G199 + M198, 0)</f>
        <v>0</v>
      </c>
      <c r="N199" s="1">
        <f>IF(H199 + N198 &lt; 0, H199 + N198, 0)</f>
        <v>0</v>
      </c>
      <c r="O199" s="1">
        <f>IF(N199 &lt; 0, 1 + O198, 0)</f>
        <v>0</v>
      </c>
      <c r="P199" s="1">
        <f>C199-((ABS(SUM(PL!H199:J199)))*0.125)</f>
        <v>0</v>
      </c>
      <c r="Q199" s="1">
        <f>D199-((ABS(SUM(PL!K199:M199)))*0.125)</f>
        <v>0</v>
      </c>
      <c r="R199" s="1">
        <f>E199-((ABS(SUM(PL!N199:P199)))*0.125)</f>
        <v>0</v>
      </c>
      <c r="S199" s="1">
        <f>F199-((ABS(SUM(PL!Q199:S199)))*0.125)</f>
        <v>0</v>
      </c>
      <c r="T199" s="1">
        <f>G199-((ABS(SUM(PL!T199:V199)))*0.125)</f>
        <v>0</v>
      </c>
      <c r="U199" s="1">
        <f>P199 + Q199 + R199 + S199 + T199</f>
        <v>0</v>
      </c>
      <c r="V199" s="1">
        <f>IF(P199 + V198 &lt; 0, P199 + V198, 0)</f>
        <v>0</v>
      </c>
      <c r="W199" s="1">
        <f>IF(Q199 + W198 &lt; 0, Q199 + W198, 0)</f>
        <v>0</v>
      </c>
      <c r="X199" s="1">
        <f>IF(R199 + X198 &lt; 0, R199 + X198, 0)</f>
        <v>0</v>
      </c>
      <c r="Y199" s="1">
        <f>IF(S199 + Y198 &lt; 0, S199 + Y198, 0)</f>
        <v>0</v>
      </c>
      <c r="Z199" s="1">
        <f>IF(T199 + Z198 &lt; 0, T199 + Z198, 0)</f>
        <v>0</v>
      </c>
      <c r="AA199" s="1">
        <f>IF(U199 + AA198 &lt; 0, U199 + AA198, 0)</f>
        <v>0</v>
      </c>
      <c r="AB199" s="1">
        <f>IF(AA199 &lt; 0, 1 + AB198, 0)</f>
        <v>0</v>
      </c>
      <c r="AC199" s="1">
        <f>IF(H199&lt;0,1,0)</f>
        <v>0</v>
      </c>
      <c r="AD199" s="1">
        <f>IF(AC199=1,H199,0)</f>
        <v>0</v>
      </c>
      <c r="AE199" s="1">
        <f>IF(H199&gt;0,1,0)</f>
        <v>0</v>
      </c>
      <c r="AF199" s="1">
        <f>IF(AE199=1,H199,0)</f>
        <v>0</v>
      </c>
      <c r="AG199" s="1">
        <f>IF(AD199&lt;-20000000.0/100,1,0)</f>
        <v>0</v>
      </c>
      <c r="AH199" s="1">
        <f>IF(AF199&gt;20000000.0/100,1,0)</f>
        <v>0</v>
      </c>
      <c r="AI199" s="1">
        <f>IF(U199&lt;0,1,0)</f>
        <v>0</v>
      </c>
      <c r="AJ199" s="1">
        <f>IF(AI199=1,U199,0)</f>
        <v>0</v>
      </c>
      <c r="AK199" s="1">
        <f>IF(U199&gt;0,1,0)</f>
        <v>0</v>
      </c>
      <c r="AL199" s="1">
        <f>IF(AK199=1,U199,0)</f>
        <v>0</v>
      </c>
      <c r="AM199" s="1">
        <f>IF(AJ199&lt;-20000000.0/100,1,0)</f>
        <v>0</v>
      </c>
      <c r="AN199" s="1">
        <f>IF(AL199&gt;20000000.0/100,1,0)</f>
        <v>0</v>
      </c>
    </row>
    <row r="200" spans="1:40" s="1" customFormat="1">
      <c r="A200" s="3">
        <v>45586</v>
      </c>
      <c r="B200" s="2" t="s">
        <v>22</v>
      </c>
      <c r="C200" s="1">
        <f>SUM(PL!H200:J200)</f>
        <v>0</v>
      </c>
      <c r="D200" s="1">
        <f>SUM(PL!K200:M200)</f>
        <v>0</v>
      </c>
      <c r="E200" s="1">
        <f>SUM(PL!N200:P200)</f>
        <v>0</v>
      </c>
      <c r="F200" s="1">
        <f>SUM(PL!Q200:S200)</f>
        <v>0</v>
      </c>
      <c r="G200" s="1">
        <f>SUM(PL!T200:V200)</f>
        <v>0</v>
      </c>
      <c r="H200" s="1">
        <f>SUM(C200:G200)</f>
        <v>0</v>
      </c>
      <c r="I200" s="1">
        <f>IF(C200 + I199 &lt; 0, C200 + I199, 0)</f>
        <v>0</v>
      </c>
      <c r="J200" s="1">
        <f>IF(D200 + J199 &lt; 0, D200 + J199, 0)</f>
        <v>0</v>
      </c>
      <c r="K200" s="1">
        <f>IF(E200 + K199 &lt; 0, E200 + K199, 0)</f>
        <v>0</v>
      </c>
      <c r="L200" s="1">
        <f>IF(F200 + L199 &lt; 0, F200 + L199, 0)</f>
        <v>0</v>
      </c>
      <c r="M200" s="1">
        <f>IF(G200 + M199 &lt; 0, G200 + M199, 0)</f>
        <v>0</v>
      </c>
      <c r="N200" s="1">
        <f>IF(H200 + N199 &lt; 0, H200 + N199, 0)</f>
        <v>0</v>
      </c>
      <c r="O200" s="1">
        <f>IF(N200 &lt; 0, 1 + O199, 0)</f>
        <v>0</v>
      </c>
      <c r="P200" s="1">
        <f>C200-((ABS(SUM(PL!H200:J200)))*0.125)</f>
        <v>0</v>
      </c>
      <c r="Q200" s="1">
        <f>D200-((ABS(SUM(PL!K200:M200)))*0.125)</f>
        <v>0</v>
      </c>
      <c r="R200" s="1">
        <f>E200-((ABS(SUM(PL!N200:P200)))*0.125)</f>
        <v>0</v>
      </c>
      <c r="S200" s="1">
        <f>F200-((ABS(SUM(PL!Q200:S200)))*0.125)</f>
        <v>0</v>
      </c>
      <c r="T200" s="1">
        <f>G200-((ABS(SUM(PL!T200:V200)))*0.125)</f>
        <v>0</v>
      </c>
      <c r="U200" s="1">
        <f>P200 + Q200 + R200 + S200 + T200</f>
        <v>0</v>
      </c>
      <c r="V200" s="1">
        <f>IF(P200 + V199 &lt; 0, P200 + V199, 0)</f>
        <v>0</v>
      </c>
      <c r="W200" s="1">
        <f>IF(Q200 + W199 &lt; 0, Q200 + W199, 0)</f>
        <v>0</v>
      </c>
      <c r="X200" s="1">
        <f>IF(R200 + X199 &lt; 0, R200 + X199, 0)</f>
        <v>0</v>
      </c>
      <c r="Y200" s="1">
        <f>IF(S200 + Y199 &lt; 0, S200 + Y199, 0)</f>
        <v>0</v>
      </c>
      <c r="Z200" s="1">
        <f>IF(T200 + Z199 &lt; 0, T200 + Z199, 0)</f>
        <v>0</v>
      </c>
      <c r="AA200" s="1">
        <f>IF(U200 + AA199 &lt; 0, U200 + AA199, 0)</f>
        <v>0</v>
      </c>
      <c r="AB200" s="1">
        <f>IF(AA200 &lt; 0, 1 + AB199, 0)</f>
        <v>0</v>
      </c>
      <c r="AC200" s="1">
        <f>IF(H200&lt;0,1,0)</f>
        <v>0</v>
      </c>
      <c r="AD200" s="1">
        <f>IF(AC200=1,H200,0)</f>
        <v>0</v>
      </c>
      <c r="AE200" s="1">
        <f>IF(H200&gt;0,1,0)</f>
        <v>0</v>
      </c>
      <c r="AF200" s="1">
        <f>IF(AE200=1,H200,0)</f>
        <v>0</v>
      </c>
      <c r="AG200" s="1">
        <f>IF(AD200&lt;-20000000.0/100,1,0)</f>
        <v>0</v>
      </c>
      <c r="AH200" s="1">
        <f>IF(AF200&gt;20000000.0/100,1,0)</f>
        <v>0</v>
      </c>
      <c r="AI200" s="1">
        <f>IF(U200&lt;0,1,0)</f>
        <v>0</v>
      </c>
      <c r="AJ200" s="1">
        <f>IF(AI200=1,U200,0)</f>
        <v>0</v>
      </c>
      <c r="AK200" s="1">
        <f>IF(U200&gt;0,1,0)</f>
        <v>0</v>
      </c>
      <c r="AL200" s="1">
        <f>IF(AK200=1,U200,0)</f>
        <v>0</v>
      </c>
      <c r="AM200" s="1">
        <f>IF(AJ200&lt;-20000000.0/100,1,0)</f>
        <v>0</v>
      </c>
      <c r="AN200" s="1">
        <f>IF(AL200&gt;20000000.0/100,1,0)</f>
        <v>0</v>
      </c>
    </row>
    <row r="201" spans="1:40" s="1" customFormat="1">
      <c r="A201" s="3">
        <v>45587</v>
      </c>
      <c r="B201" s="2" t="s">
        <v>23</v>
      </c>
      <c r="C201" s="1">
        <f>SUM(PL!H201:J201)</f>
        <v>0</v>
      </c>
      <c r="D201" s="1">
        <f>SUM(PL!K201:M201)</f>
        <v>0</v>
      </c>
      <c r="E201" s="1">
        <f>SUM(PL!N201:P201)</f>
        <v>0</v>
      </c>
      <c r="F201" s="1">
        <f>SUM(PL!Q201:S201)</f>
        <v>0</v>
      </c>
      <c r="G201" s="1">
        <f>SUM(PL!T201:V201)</f>
        <v>0</v>
      </c>
      <c r="H201" s="1">
        <f>SUM(C201:G201)</f>
        <v>0</v>
      </c>
      <c r="I201" s="1">
        <f>IF(C201 + I200 &lt; 0, C201 + I200, 0)</f>
        <v>0</v>
      </c>
      <c r="J201" s="1">
        <f>IF(D201 + J200 &lt; 0, D201 + J200, 0)</f>
        <v>0</v>
      </c>
      <c r="K201" s="1">
        <f>IF(E201 + K200 &lt; 0, E201 + K200, 0)</f>
        <v>0</v>
      </c>
      <c r="L201" s="1">
        <f>IF(F201 + L200 &lt; 0, F201 + L200, 0)</f>
        <v>0</v>
      </c>
      <c r="M201" s="1">
        <f>IF(G201 + M200 &lt; 0, G201 + M200, 0)</f>
        <v>0</v>
      </c>
      <c r="N201" s="1">
        <f>IF(H201 + N200 &lt; 0, H201 + N200, 0)</f>
        <v>0</v>
      </c>
      <c r="O201" s="1">
        <f>IF(N201 &lt; 0, 1 + O200, 0)</f>
        <v>0</v>
      </c>
      <c r="P201" s="1">
        <f>C201-((ABS(SUM(PL!H201:J201)))*0.125)</f>
        <v>0</v>
      </c>
      <c r="Q201" s="1">
        <f>D201-((ABS(SUM(PL!K201:M201)))*0.125)</f>
        <v>0</v>
      </c>
      <c r="R201" s="1">
        <f>E201-((ABS(SUM(PL!N201:P201)))*0.125)</f>
        <v>0</v>
      </c>
      <c r="S201" s="1">
        <f>F201-((ABS(SUM(PL!Q201:S201)))*0.125)</f>
        <v>0</v>
      </c>
      <c r="T201" s="1">
        <f>G201-((ABS(SUM(PL!T201:V201)))*0.125)</f>
        <v>0</v>
      </c>
      <c r="U201" s="1">
        <f>P201 + Q201 + R201 + S201 + T201</f>
        <v>0</v>
      </c>
      <c r="V201" s="1">
        <f>IF(P201 + V200 &lt; 0, P201 + V200, 0)</f>
        <v>0</v>
      </c>
      <c r="W201" s="1">
        <f>IF(Q201 + W200 &lt; 0, Q201 + W200, 0)</f>
        <v>0</v>
      </c>
      <c r="X201" s="1">
        <f>IF(R201 + X200 &lt; 0, R201 + X200, 0)</f>
        <v>0</v>
      </c>
      <c r="Y201" s="1">
        <f>IF(S201 + Y200 &lt; 0, S201 + Y200, 0)</f>
        <v>0</v>
      </c>
      <c r="Z201" s="1">
        <f>IF(T201 + Z200 &lt; 0, T201 + Z200, 0)</f>
        <v>0</v>
      </c>
      <c r="AA201" s="1">
        <f>IF(U201 + AA200 &lt; 0, U201 + AA200, 0)</f>
        <v>0</v>
      </c>
      <c r="AB201" s="1">
        <f>IF(AA201 &lt; 0, 1 + AB200, 0)</f>
        <v>0</v>
      </c>
      <c r="AC201" s="1">
        <f>IF(H201&lt;0,1,0)</f>
        <v>0</v>
      </c>
      <c r="AD201" s="1">
        <f>IF(AC201=1,H201,0)</f>
        <v>0</v>
      </c>
      <c r="AE201" s="1">
        <f>IF(H201&gt;0,1,0)</f>
        <v>0</v>
      </c>
      <c r="AF201" s="1">
        <f>IF(AE201=1,H201,0)</f>
        <v>0</v>
      </c>
      <c r="AG201" s="1">
        <f>IF(AD201&lt;-20000000.0/100,1,0)</f>
        <v>0</v>
      </c>
      <c r="AH201" s="1">
        <f>IF(AF201&gt;20000000.0/100,1,0)</f>
        <v>0</v>
      </c>
      <c r="AI201" s="1">
        <f>IF(U201&lt;0,1,0)</f>
        <v>0</v>
      </c>
      <c r="AJ201" s="1">
        <f>IF(AI201=1,U201,0)</f>
        <v>0</v>
      </c>
      <c r="AK201" s="1">
        <f>IF(U201&gt;0,1,0)</f>
        <v>0</v>
      </c>
      <c r="AL201" s="1">
        <f>IF(AK201=1,U201,0)</f>
        <v>0</v>
      </c>
      <c r="AM201" s="1">
        <f>IF(AJ201&lt;-20000000.0/100,1,0)</f>
        <v>0</v>
      </c>
      <c r="AN201" s="1">
        <f>IF(AL201&gt;20000000.0/100,1,0)</f>
        <v>0</v>
      </c>
    </row>
    <row r="202" spans="1:40" s="1" customFormat="1">
      <c r="A202" s="3">
        <v>45588</v>
      </c>
      <c r="B202" s="2" t="s">
        <v>24</v>
      </c>
      <c r="C202" s="1">
        <f>SUM(PL!H202:J202)</f>
        <v>0</v>
      </c>
      <c r="D202" s="1">
        <f>SUM(PL!K202:M202)</f>
        <v>0</v>
      </c>
      <c r="E202" s="1">
        <f>SUM(PL!N202:P202)</f>
        <v>0</v>
      </c>
      <c r="F202" s="1">
        <f>SUM(PL!Q202:S202)</f>
        <v>0</v>
      </c>
      <c r="G202" s="1">
        <f>SUM(PL!T202:V202)</f>
        <v>0</v>
      </c>
      <c r="H202" s="1">
        <f>SUM(C202:G202)</f>
        <v>0</v>
      </c>
      <c r="I202" s="1">
        <f>IF(C202 + I201 &lt; 0, C202 + I201, 0)</f>
        <v>0</v>
      </c>
      <c r="J202" s="1">
        <f>IF(D202 + J201 &lt; 0, D202 + J201, 0)</f>
        <v>0</v>
      </c>
      <c r="K202" s="1">
        <f>IF(E202 + K201 &lt; 0, E202 + K201, 0)</f>
        <v>0</v>
      </c>
      <c r="L202" s="1">
        <f>IF(F202 + L201 &lt; 0, F202 + L201, 0)</f>
        <v>0</v>
      </c>
      <c r="M202" s="1">
        <f>IF(G202 + M201 &lt; 0, G202 + M201, 0)</f>
        <v>0</v>
      </c>
      <c r="N202" s="1">
        <f>IF(H202 + N201 &lt; 0, H202 + N201, 0)</f>
        <v>0</v>
      </c>
      <c r="O202" s="1">
        <f>IF(N202 &lt; 0, 1 + O201, 0)</f>
        <v>0</v>
      </c>
      <c r="P202" s="1">
        <f>C202-((ABS(SUM(PL!H202:J202)))*0.125)</f>
        <v>0</v>
      </c>
      <c r="Q202" s="1">
        <f>D202-((ABS(SUM(PL!K202:M202)))*0.125)</f>
        <v>0</v>
      </c>
      <c r="R202" s="1">
        <f>E202-((ABS(SUM(PL!N202:P202)))*0.125)</f>
        <v>0</v>
      </c>
      <c r="S202" s="1">
        <f>F202-((ABS(SUM(PL!Q202:S202)))*0.125)</f>
        <v>0</v>
      </c>
      <c r="T202" s="1">
        <f>G202-((ABS(SUM(PL!T202:V202)))*0.125)</f>
        <v>0</v>
      </c>
      <c r="U202" s="1">
        <f>P202 + Q202 + R202 + S202 + T202</f>
        <v>0</v>
      </c>
      <c r="V202" s="1">
        <f>IF(P202 + V201 &lt; 0, P202 + V201, 0)</f>
        <v>0</v>
      </c>
      <c r="W202" s="1">
        <f>IF(Q202 + W201 &lt; 0, Q202 + W201, 0)</f>
        <v>0</v>
      </c>
      <c r="X202" s="1">
        <f>IF(R202 + X201 &lt; 0, R202 + X201, 0)</f>
        <v>0</v>
      </c>
      <c r="Y202" s="1">
        <f>IF(S202 + Y201 &lt; 0, S202 + Y201, 0)</f>
        <v>0</v>
      </c>
      <c r="Z202" s="1">
        <f>IF(T202 + Z201 &lt; 0, T202 + Z201, 0)</f>
        <v>0</v>
      </c>
      <c r="AA202" s="1">
        <f>IF(U202 + AA201 &lt; 0, U202 + AA201, 0)</f>
        <v>0</v>
      </c>
      <c r="AB202" s="1">
        <f>IF(AA202 &lt; 0, 1 + AB201, 0)</f>
        <v>0</v>
      </c>
      <c r="AC202" s="1">
        <f>IF(H202&lt;0,1,0)</f>
        <v>0</v>
      </c>
      <c r="AD202" s="1">
        <f>IF(AC202=1,H202,0)</f>
        <v>0</v>
      </c>
      <c r="AE202" s="1">
        <f>IF(H202&gt;0,1,0)</f>
        <v>0</v>
      </c>
      <c r="AF202" s="1">
        <f>IF(AE202=1,H202,0)</f>
        <v>0</v>
      </c>
      <c r="AG202" s="1">
        <f>IF(AD202&lt;-20000000.0/100,1,0)</f>
        <v>0</v>
      </c>
      <c r="AH202" s="1">
        <f>IF(AF202&gt;20000000.0/100,1,0)</f>
        <v>0</v>
      </c>
      <c r="AI202" s="1">
        <f>IF(U202&lt;0,1,0)</f>
        <v>0</v>
      </c>
      <c r="AJ202" s="1">
        <f>IF(AI202=1,U202,0)</f>
        <v>0</v>
      </c>
      <c r="AK202" s="1">
        <f>IF(U202&gt;0,1,0)</f>
        <v>0</v>
      </c>
      <c r="AL202" s="1">
        <f>IF(AK202=1,U202,0)</f>
        <v>0</v>
      </c>
      <c r="AM202" s="1">
        <f>IF(AJ202&lt;-20000000.0/100,1,0)</f>
        <v>0</v>
      </c>
      <c r="AN202" s="1">
        <f>IF(AL202&gt;20000000.0/100,1,0)</f>
        <v>0</v>
      </c>
    </row>
    <row r="203" spans="1:40" s="1" customFormat="1">
      <c r="A203" s="3">
        <v>45589</v>
      </c>
      <c r="B203" s="2" t="s">
        <v>25</v>
      </c>
      <c r="C203" s="1">
        <f>SUM(PL!H203:J203)</f>
        <v>0</v>
      </c>
      <c r="D203" s="1">
        <f>SUM(PL!K203:M203)</f>
        <v>0</v>
      </c>
      <c r="E203" s="1">
        <f>SUM(PL!N203:P203)</f>
        <v>0</v>
      </c>
      <c r="F203" s="1">
        <f>SUM(PL!Q203:S203)</f>
        <v>0</v>
      </c>
      <c r="G203" s="1">
        <f>SUM(PL!T203:V203)</f>
        <v>0</v>
      </c>
      <c r="H203" s="1">
        <f>SUM(C203:G203)</f>
        <v>0</v>
      </c>
      <c r="I203" s="1">
        <f>IF(C203 + I202 &lt; 0, C203 + I202, 0)</f>
        <v>0</v>
      </c>
      <c r="J203" s="1">
        <f>IF(D203 + J202 &lt; 0, D203 + J202, 0)</f>
        <v>0</v>
      </c>
      <c r="K203" s="1">
        <f>IF(E203 + K202 &lt; 0, E203 + K202, 0)</f>
        <v>0</v>
      </c>
      <c r="L203" s="1">
        <f>IF(F203 + L202 &lt; 0, F203 + L202, 0)</f>
        <v>0</v>
      </c>
      <c r="M203" s="1">
        <f>IF(G203 + M202 &lt; 0, G203 + M202, 0)</f>
        <v>0</v>
      </c>
      <c r="N203" s="1">
        <f>IF(H203 + N202 &lt; 0, H203 + N202, 0)</f>
        <v>0</v>
      </c>
      <c r="O203" s="1">
        <f>IF(N203 &lt; 0, 1 + O202, 0)</f>
        <v>0</v>
      </c>
      <c r="P203" s="1">
        <f>C203-((ABS(SUM(PL!H203:J203)))*0.125)</f>
        <v>0</v>
      </c>
      <c r="Q203" s="1">
        <f>D203-((ABS(SUM(PL!K203:M203)))*0.125)</f>
        <v>0</v>
      </c>
      <c r="R203" s="1">
        <f>E203-((ABS(SUM(PL!N203:P203)))*0.125)</f>
        <v>0</v>
      </c>
      <c r="S203" s="1">
        <f>F203-((ABS(SUM(PL!Q203:S203)))*0.125)</f>
        <v>0</v>
      </c>
      <c r="T203" s="1">
        <f>G203-((ABS(SUM(PL!T203:V203)))*0.125)</f>
        <v>0</v>
      </c>
      <c r="U203" s="1">
        <f>P203 + Q203 + R203 + S203 + T203</f>
        <v>0</v>
      </c>
      <c r="V203" s="1">
        <f>IF(P203 + V202 &lt; 0, P203 + V202, 0)</f>
        <v>0</v>
      </c>
      <c r="W203" s="1">
        <f>IF(Q203 + W202 &lt; 0, Q203 + W202, 0)</f>
        <v>0</v>
      </c>
      <c r="X203" s="1">
        <f>IF(R203 + X202 &lt; 0, R203 + X202, 0)</f>
        <v>0</v>
      </c>
      <c r="Y203" s="1">
        <f>IF(S203 + Y202 &lt; 0, S203 + Y202, 0)</f>
        <v>0</v>
      </c>
      <c r="Z203" s="1">
        <f>IF(T203 + Z202 &lt; 0, T203 + Z202, 0)</f>
        <v>0</v>
      </c>
      <c r="AA203" s="1">
        <f>IF(U203 + AA202 &lt; 0, U203 + AA202, 0)</f>
        <v>0</v>
      </c>
      <c r="AB203" s="1">
        <f>IF(AA203 &lt; 0, 1 + AB202, 0)</f>
        <v>0</v>
      </c>
      <c r="AC203" s="1">
        <f>IF(H203&lt;0,1,0)</f>
        <v>0</v>
      </c>
      <c r="AD203" s="1">
        <f>IF(AC203=1,H203,0)</f>
        <v>0</v>
      </c>
      <c r="AE203" s="1">
        <f>IF(H203&gt;0,1,0)</f>
        <v>0</v>
      </c>
      <c r="AF203" s="1">
        <f>IF(AE203=1,H203,0)</f>
        <v>0</v>
      </c>
      <c r="AG203" s="1">
        <f>IF(AD203&lt;-20000000.0/100,1,0)</f>
        <v>0</v>
      </c>
      <c r="AH203" s="1">
        <f>IF(AF203&gt;20000000.0/100,1,0)</f>
        <v>0</v>
      </c>
      <c r="AI203" s="1">
        <f>IF(U203&lt;0,1,0)</f>
        <v>0</v>
      </c>
      <c r="AJ203" s="1">
        <f>IF(AI203=1,U203,0)</f>
        <v>0</v>
      </c>
      <c r="AK203" s="1">
        <f>IF(U203&gt;0,1,0)</f>
        <v>0</v>
      </c>
      <c r="AL203" s="1">
        <f>IF(AK203=1,U203,0)</f>
        <v>0</v>
      </c>
      <c r="AM203" s="1">
        <f>IF(AJ203&lt;-20000000.0/100,1,0)</f>
        <v>0</v>
      </c>
      <c r="AN203" s="1">
        <f>IF(AL203&gt;20000000.0/100,1,0)</f>
        <v>0</v>
      </c>
    </row>
    <row r="204" spans="1:40" s="1" customFormat="1">
      <c r="A204" s="3">
        <v>45590</v>
      </c>
      <c r="B204" s="2" t="s">
        <v>26</v>
      </c>
      <c r="C204" s="1">
        <f>SUM(PL!H204:J204)</f>
        <v>0</v>
      </c>
      <c r="D204" s="1">
        <f>SUM(PL!K204:M204)</f>
        <v>0</v>
      </c>
      <c r="E204" s="1">
        <f>SUM(PL!N204:P204)</f>
        <v>0</v>
      </c>
      <c r="F204" s="1">
        <f>SUM(PL!Q204:S204)</f>
        <v>0</v>
      </c>
      <c r="G204" s="1">
        <f>SUM(PL!T204:V204)</f>
        <v>0</v>
      </c>
      <c r="H204" s="1">
        <f>SUM(C204:G204)</f>
        <v>0</v>
      </c>
      <c r="I204" s="1">
        <f>IF(C204 + I203 &lt; 0, C204 + I203, 0)</f>
        <v>0</v>
      </c>
      <c r="J204" s="1">
        <f>IF(D204 + J203 &lt; 0, D204 + J203, 0)</f>
        <v>0</v>
      </c>
      <c r="K204" s="1">
        <f>IF(E204 + K203 &lt; 0, E204 + K203, 0)</f>
        <v>0</v>
      </c>
      <c r="L204" s="1">
        <f>IF(F204 + L203 &lt; 0, F204 + L203, 0)</f>
        <v>0</v>
      </c>
      <c r="M204" s="1">
        <f>IF(G204 + M203 &lt; 0, G204 + M203, 0)</f>
        <v>0</v>
      </c>
      <c r="N204" s="1">
        <f>IF(H204 + N203 &lt; 0, H204 + N203, 0)</f>
        <v>0</v>
      </c>
      <c r="O204" s="1">
        <f>IF(N204 &lt; 0, 1 + O203, 0)</f>
        <v>0</v>
      </c>
      <c r="P204" s="1">
        <f>C204-((ABS(SUM(PL!H204:J204)))*0.125)</f>
        <v>0</v>
      </c>
      <c r="Q204" s="1">
        <f>D204-((ABS(SUM(PL!K204:M204)))*0.125)</f>
        <v>0</v>
      </c>
      <c r="R204" s="1">
        <f>E204-((ABS(SUM(PL!N204:P204)))*0.125)</f>
        <v>0</v>
      </c>
      <c r="S204" s="1">
        <f>F204-((ABS(SUM(PL!Q204:S204)))*0.125)</f>
        <v>0</v>
      </c>
      <c r="T204" s="1">
        <f>G204-((ABS(SUM(PL!T204:V204)))*0.125)</f>
        <v>0</v>
      </c>
      <c r="U204" s="1">
        <f>P204 + Q204 + R204 + S204 + T204</f>
        <v>0</v>
      </c>
      <c r="V204" s="1">
        <f>IF(P204 + V203 &lt; 0, P204 + V203, 0)</f>
        <v>0</v>
      </c>
      <c r="W204" s="1">
        <f>IF(Q204 + W203 &lt; 0, Q204 + W203, 0)</f>
        <v>0</v>
      </c>
      <c r="X204" s="1">
        <f>IF(R204 + X203 &lt; 0, R204 + X203, 0)</f>
        <v>0</v>
      </c>
      <c r="Y204" s="1">
        <f>IF(S204 + Y203 &lt; 0, S204 + Y203, 0)</f>
        <v>0</v>
      </c>
      <c r="Z204" s="1">
        <f>IF(T204 + Z203 &lt; 0, T204 + Z203, 0)</f>
        <v>0</v>
      </c>
      <c r="AA204" s="1">
        <f>IF(U204 + AA203 &lt; 0, U204 + AA203, 0)</f>
        <v>0</v>
      </c>
      <c r="AB204" s="1">
        <f>IF(AA204 &lt; 0, 1 + AB203, 0)</f>
        <v>0</v>
      </c>
      <c r="AC204" s="1">
        <f>IF(H204&lt;0,1,0)</f>
        <v>0</v>
      </c>
      <c r="AD204" s="1">
        <f>IF(AC204=1,H204,0)</f>
        <v>0</v>
      </c>
      <c r="AE204" s="1">
        <f>IF(H204&gt;0,1,0)</f>
        <v>0</v>
      </c>
      <c r="AF204" s="1">
        <f>IF(AE204=1,H204,0)</f>
        <v>0</v>
      </c>
      <c r="AG204" s="1">
        <f>IF(AD204&lt;-20000000.0/100,1,0)</f>
        <v>0</v>
      </c>
      <c r="AH204" s="1">
        <f>IF(AF204&gt;20000000.0/100,1,0)</f>
        <v>0</v>
      </c>
      <c r="AI204" s="1">
        <f>IF(U204&lt;0,1,0)</f>
        <v>0</v>
      </c>
      <c r="AJ204" s="1">
        <f>IF(AI204=1,U204,0)</f>
        <v>0</v>
      </c>
      <c r="AK204" s="1">
        <f>IF(U204&gt;0,1,0)</f>
        <v>0</v>
      </c>
      <c r="AL204" s="1">
        <f>IF(AK204=1,U204,0)</f>
        <v>0</v>
      </c>
      <c r="AM204" s="1">
        <f>IF(AJ204&lt;-20000000.0/100,1,0)</f>
        <v>0</v>
      </c>
      <c r="AN204" s="1">
        <f>IF(AL204&gt;20000000.0/100,1,0)</f>
        <v>0</v>
      </c>
    </row>
    <row r="205" spans="1:40" s="1" customFormat="1">
      <c r="A205" s="3">
        <v>45593</v>
      </c>
      <c r="B205" s="2" t="s">
        <v>22</v>
      </c>
      <c r="C205" s="1">
        <f>SUM(PL!H205:J205)</f>
        <v>0</v>
      </c>
      <c r="D205" s="1">
        <f>SUM(PL!K205:M205)</f>
        <v>0</v>
      </c>
      <c r="E205" s="1">
        <f>SUM(PL!N205:P205)</f>
        <v>0</v>
      </c>
      <c r="F205" s="1">
        <f>SUM(PL!Q205:S205)</f>
        <v>0</v>
      </c>
      <c r="G205" s="1">
        <f>SUM(PL!T205:V205)</f>
        <v>0</v>
      </c>
      <c r="H205" s="1">
        <f>SUM(C205:G205)</f>
        <v>0</v>
      </c>
      <c r="I205" s="1">
        <f>IF(C205 + I204 &lt; 0, C205 + I204, 0)</f>
        <v>0</v>
      </c>
      <c r="J205" s="1">
        <f>IF(D205 + J204 &lt; 0, D205 + J204, 0)</f>
        <v>0</v>
      </c>
      <c r="K205" s="1">
        <f>IF(E205 + K204 &lt; 0, E205 + K204, 0)</f>
        <v>0</v>
      </c>
      <c r="L205" s="1">
        <f>IF(F205 + L204 &lt; 0, F205 + L204, 0)</f>
        <v>0</v>
      </c>
      <c r="M205" s="1">
        <f>IF(G205 + M204 &lt; 0, G205 + M204, 0)</f>
        <v>0</v>
      </c>
      <c r="N205" s="1">
        <f>IF(H205 + N204 &lt; 0, H205 + N204, 0)</f>
        <v>0</v>
      </c>
      <c r="O205" s="1">
        <f>IF(N205 &lt; 0, 1 + O204, 0)</f>
        <v>0</v>
      </c>
      <c r="P205" s="1">
        <f>C205-((ABS(SUM(PL!H205:J205)))*0.125)</f>
        <v>0</v>
      </c>
      <c r="Q205" s="1">
        <f>D205-((ABS(SUM(PL!K205:M205)))*0.125)</f>
        <v>0</v>
      </c>
      <c r="R205" s="1">
        <f>E205-((ABS(SUM(PL!N205:P205)))*0.125)</f>
        <v>0</v>
      </c>
      <c r="S205" s="1">
        <f>F205-((ABS(SUM(PL!Q205:S205)))*0.125)</f>
        <v>0</v>
      </c>
      <c r="T205" s="1">
        <f>G205-((ABS(SUM(PL!T205:V205)))*0.125)</f>
        <v>0</v>
      </c>
      <c r="U205" s="1">
        <f>P205 + Q205 + R205 + S205 + T205</f>
        <v>0</v>
      </c>
      <c r="V205" s="1">
        <f>IF(P205 + V204 &lt; 0, P205 + V204, 0)</f>
        <v>0</v>
      </c>
      <c r="W205" s="1">
        <f>IF(Q205 + W204 &lt; 0, Q205 + W204, 0)</f>
        <v>0</v>
      </c>
      <c r="X205" s="1">
        <f>IF(R205 + X204 &lt; 0, R205 + X204, 0)</f>
        <v>0</v>
      </c>
      <c r="Y205" s="1">
        <f>IF(S205 + Y204 &lt; 0, S205 + Y204, 0)</f>
        <v>0</v>
      </c>
      <c r="Z205" s="1">
        <f>IF(T205 + Z204 &lt; 0, T205 + Z204, 0)</f>
        <v>0</v>
      </c>
      <c r="AA205" s="1">
        <f>IF(U205 + AA204 &lt; 0, U205 + AA204, 0)</f>
        <v>0</v>
      </c>
      <c r="AB205" s="1">
        <f>IF(AA205 &lt; 0, 1 + AB204, 0)</f>
        <v>0</v>
      </c>
      <c r="AC205" s="1">
        <f>IF(H205&lt;0,1,0)</f>
        <v>0</v>
      </c>
      <c r="AD205" s="1">
        <f>IF(AC205=1,H205,0)</f>
        <v>0</v>
      </c>
      <c r="AE205" s="1">
        <f>IF(H205&gt;0,1,0)</f>
        <v>0</v>
      </c>
      <c r="AF205" s="1">
        <f>IF(AE205=1,H205,0)</f>
        <v>0</v>
      </c>
      <c r="AG205" s="1">
        <f>IF(AD205&lt;-20000000.0/100,1,0)</f>
        <v>0</v>
      </c>
      <c r="AH205" s="1">
        <f>IF(AF205&gt;20000000.0/100,1,0)</f>
        <v>0</v>
      </c>
      <c r="AI205" s="1">
        <f>IF(U205&lt;0,1,0)</f>
        <v>0</v>
      </c>
      <c r="AJ205" s="1">
        <f>IF(AI205=1,U205,0)</f>
        <v>0</v>
      </c>
      <c r="AK205" s="1">
        <f>IF(U205&gt;0,1,0)</f>
        <v>0</v>
      </c>
      <c r="AL205" s="1">
        <f>IF(AK205=1,U205,0)</f>
        <v>0</v>
      </c>
      <c r="AM205" s="1">
        <f>IF(AJ205&lt;-20000000.0/100,1,0)</f>
        <v>0</v>
      </c>
      <c r="AN205" s="1">
        <f>IF(AL205&gt;20000000.0/100,1,0)</f>
        <v>0</v>
      </c>
    </row>
    <row r="206" spans="1:40" s="1" customFormat="1">
      <c r="A206" s="3">
        <v>45594</v>
      </c>
      <c r="B206" s="2" t="s">
        <v>23</v>
      </c>
      <c r="C206" s="1">
        <f>SUM(PL!H206:J206)</f>
        <v>0</v>
      </c>
      <c r="D206" s="1">
        <f>SUM(PL!K206:M206)</f>
        <v>0</v>
      </c>
      <c r="E206" s="1">
        <f>SUM(PL!N206:P206)</f>
        <v>0</v>
      </c>
      <c r="F206" s="1">
        <f>SUM(PL!Q206:S206)</f>
        <v>0</v>
      </c>
      <c r="G206" s="1">
        <f>SUM(PL!T206:V206)</f>
        <v>0</v>
      </c>
      <c r="H206" s="1">
        <f>SUM(C206:G206)</f>
        <v>0</v>
      </c>
      <c r="I206" s="1">
        <f>IF(C206 + I205 &lt; 0, C206 + I205, 0)</f>
        <v>0</v>
      </c>
      <c r="J206" s="1">
        <f>IF(D206 + J205 &lt; 0, D206 + J205, 0)</f>
        <v>0</v>
      </c>
      <c r="K206" s="1">
        <f>IF(E206 + K205 &lt; 0, E206 + K205, 0)</f>
        <v>0</v>
      </c>
      <c r="L206" s="1">
        <f>IF(F206 + L205 &lt; 0, F206 + L205, 0)</f>
        <v>0</v>
      </c>
      <c r="M206" s="1">
        <f>IF(G206 + M205 &lt; 0, G206 + M205, 0)</f>
        <v>0</v>
      </c>
      <c r="N206" s="1">
        <f>IF(H206 + N205 &lt; 0, H206 + N205, 0)</f>
        <v>0</v>
      </c>
      <c r="O206" s="1">
        <f>IF(N206 &lt; 0, 1 + O205, 0)</f>
        <v>0</v>
      </c>
      <c r="P206" s="1">
        <f>C206-((ABS(SUM(PL!H206:J206)))*0.125)</f>
        <v>0</v>
      </c>
      <c r="Q206" s="1">
        <f>D206-((ABS(SUM(PL!K206:M206)))*0.125)</f>
        <v>0</v>
      </c>
      <c r="R206" s="1">
        <f>E206-((ABS(SUM(PL!N206:P206)))*0.125)</f>
        <v>0</v>
      </c>
      <c r="S206" s="1">
        <f>F206-((ABS(SUM(PL!Q206:S206)))*0.125)</f>
        <v>0</v>
      </c>
      <c r="T206" s="1">
        <f>G206-((ABS(SUM(PL!T206:V206)))*0.125)</f>
        <v>0</v>
      </c>
      <c r="U206" s="1">
        <f>P206 + Q206 + R206 + S206 + T206</f>
        <v>0</v>
      </c>
      <c r="V206" s="1">
        <f>IF(P206 + V205 &lt; 0, P206 + V205, 0)</f>
        <v>0</v>
      </c>
      <c r="W206" s="1">
        <f>IF(Q206 + W205 &lt; 0, Q206 + W205, 0)</f>
        <v>0</v>
      </c>
      <c r="X206" s="1">
        <f>IF(R206 + X205 &lt; 0, R206 + X205, 0)</f>
        <v>0</v>
      </c>
      <c r="Y206" s="1">
        <f>IF(S206 + Y205 &lt; 0, S206 + Y205, 0)</f>
        <v>0</v>
      </c>
      <c r="Z206" s="1">
        <f>IF(T206 + Z205 &lt; 0, T206 + Z205, 0)</f>
        <v>0</v>
      </c>
      <c r="AA206" s="1">
        <f>IF(U206 + AA205 &lt; 0, U206 + AA205, 0)</f>
        <v>0</v>
      </c>
      <c r="AB206" s="1">
        <f>IF(AA206 &lt; 0, 1 + AB205, 0)</f>
        <v>0</v>
      </c>
      <c r="AC206" s="1">
        <f>IF(H206&lt;0,1,0)</f>
        <v>0</v>
      </c>
      <c r="AD206" s="1">
        <f>IF(AC206=1,H206,0)</f>
        <v>0</v>
      </c>
      <c r="AE206" s="1">
        <f>IF(H206&gt;0,1,0)</f>
        <v>0</v>
      </c>
      <c r="AF206" s="1">
        <f>IF(AE206=1,H206,0)</f>
        <v>0</v>
      </c>
      <c r="AG206" s="1">
        <f>IF(AD206&lt;-20000000.0/100,1,0)</f>
        <v>0</v>
      </c>
      <c r="AH206" s="1">
        <f>IF(AF206&gt;20000000.0/100,1,0)</f>
        <v>0</v>
      </c>
      <c r="AI206" s="1">
        <f>IF(U206&lt;0,1,0)</f>
        <v>0</v>
      </c>
      <c r="AJ206" s="1">
        <f>IF(AI206=1,U206,0)</f>
        <v>0</v>
      </c>
      <c r="AK206" s="1">
        <f>IF(U206&gt;0,1,0)</f>
        <v>0</v>
      </c>
      <c r="AL206" s="1">
        <f>IF(AK206=1,U206,0)</f>
        <v>0</v>
      </c>
      <c r="AM206" s="1">
        <f>IF(AJ206&lt;-20000000.0/100,1,0)</f>
        <v>0</v>
      </c>
      <c r="AN206" s="1">
        <f>IF(AL206&gt;20000000.0/100,1,0)</f>
        <v>0</v>
      </c>
    </row>
    <row r="207" spans="1:40" s="1" customFormat="1">
      <c r="A207" s="3">
        <v>45595</v>
      </c>
      <c r="B207" s="2" t="s">
        <v>24</v>
      </c>
      <c r="C207" s="1">
        <f>SUM(PL!H207:J207)</f>
        <v>0</v>
      </c>
      <c r="D207" s="1">
        <f>SUM(PL!K207:M207)</f>
        <v>0</v>
      </c>
      <c r="E207" s="1">
        <f>SUM(PL!N207:P207)</f>
        <v>0</v>
      </c>
      <c r="F207" s="1">
        <f>SUM(PL!Q207:S207)</f>
        <v>0</v>
      </c>
      <c r="G207" s="1">
        <f>SUM(PL!T207:V207)</f>
        <v>0</v>
      </c>
      <c r="H207" s="1">
        <f>SUM(C207:G207)</f>
        <v>0</v>
      </c>
      <c r="I207" s="1">
        <f>IF(C207 + I206 &lt; 0, C207 + I206, 0)</f>
        <v>0</v>
      </c>
      <c r="J207" s="1">
        <f>IF(D207 + J206 &lt; 0, D207 + J206, 0)</f>
        <v>0</v>
      </c>
      <c r="K207" s="1">
        <f>IF(E207 + K206 &lt; 0, E207 + K206, 0)</f>
        <v>0</v>
      </c>
      <c r="L207" s="1">
        <f>IF(F207 + L206 &lt; 0, F207 + L206, 0)</f>
        <v>0</v>
      </c>
      <c r="M207" s="1">
        <f>IF(G207 + M206 &lt; 0, G207 + M206, 0)</f>
        <v>0</v>
      </c>
      <c r="N207" s="1">
        <f>IF(H207 + N206 &lt; 0, H207 + N206, 0)</f>
        <v>0</v>
      </c>
      <c r="O207" s="1">
        <f>IF(N207 &lt; 0, 1 + O206, 0)</f>
        <v>0</v>
      </c>
      <c r="P207" s="1">
        <f>C207-((ABS(SUM(PL!H207:J207)))*0.125)</f>
        <v>0</v>
      </c>
      <c r="Q207" s="1">
        <f>D207-((ABS(SUM(PL!K207:M207)))*0.125)</f>
        <v>0</v>
      </c>
      <c r="R207" s="1">
        <f>E207-((ABS(SUM(PL!N207:P207)))*0.125)</f>
        <v>0</v>
      </c>
      <c r="S207" s="1">
        <f>F207-((ABS(SUM(PL!Q207:S207)))*0.125)</f>
        <v>0</v>
      </c>
      <c r="T207" s="1">
        <f>G207-((ABS(SUM(PL!T207:V207)))*0.125)</f>
        <v>0</v>
      </c>
      <c r="U207" s="1">
        <f>P207 + Q207 + R207 + S207 + T207</f>
        <v>0</v>
      </c>
      <c r="V207" s="1">
        <f>IF(P207 + V206 &lt; 0, P207 + V206, 0)</f>
        <v>0</v>
      </c>
      <c r="W207" s="1">
        <f>IF(Q207 + W206 &lt; 0, Q207 + W206, 0)</f>
        <v>0</v>
      </c>
      <c r="X207" s="1">
        <f>IF(R207 + X206 &lt; 0, R207 + X206, 0)</f>
        <v>0</v>
      </c>
      <c r="Y207" s="1">
        <f>IF(S207 + Y206 &lt; 0, S207 + Y206, 0)</f>
        <v>0</v>
      </c>
      <c r="Z207" s="1">
        <f>IF(T207 + Z206 &lt; 0, T207 + Z206, 0)</f>
        <v>0</v>
      </c>
      <c r="AA207" s="1">
        <f>IF(U207 + AA206 &lt; 0, U207 + AA206, 0)</f>
        <v>0</v>
      </c>
      <c r="AB207" s="1">
        <f>IF(AA207 &lt; 0, 1 + AB206, 0)</f>
        <v>0</v>
      </c>
      <c r="AC207" s="1">
        <f>IF(H207&lt;0,1,0)</f>
        <v>0</v>
      </c>
      <c r="AD207" s="1">
        <f>IF(AC207=1,H207,0)</f>
        <v>0</v>
      </c>
      <c r="AE207" s="1">
        <f>IF(H207&gt;0,1,0)</f>
        <v>0</v>
      </c>
      <c r="AF207" s="1">
        <f>IF(AE207=1,H207,0)</f>
        <v>0</v>
      </c>
      <c r="AG207" s="1">
        <f>IF(AD207&lt;-20000000.0/100,1,0)</f>
        <v>0</v>
      </c>
      <c r="AH207" s="1">
        <f>IF(AF207&gt;20000000.0/100,1,0)</f>
        <v>0</v>
      </c>
      <c r="AI207" s="1">
        <f>IF(U207&lt;0,1,0)</f>
        <v>0</v>
      </c>
      <c r="AJ207" s="1">
        <f>IF(AI207=1,U207,0)</f>
        <v>0</v>
      </c>
      <c r="AK207" s="1">
        <f>IF(U207&gt;0,1,0)</f>
        <v>0</v>
      </c>
      <c r="AL207" s="1">
        <f>IF(AK207=1,U207,0)</f>
        <v>0</v>
      </c>
      <c r="AM207" s="1">
        <f>IF(AJ207&lt;-20000000.0/100,1,0)</f>
        <v>0</v>
      </c>
      <c r="AN207" s="1">
        <f>IF(AL207&gt;20000000.0/100,1,0)</f>
        <v>0</v>
      </c>
    </row>
    <row r="208" spans="1:40" s="1" customFormat="1">
      <c r="A208" s="3">
        <v>45596</v>
      </c>
      <c r="B208" s="2" t="s">
        <v>25</v>
      </c>
      <c r="C208" s="1">
        <f>SUM(PL!H208:J208)</f>
        <v>0</v>
      </c>
      <c r="D208" s="1">
        <f>SUM(PL!K208:M208)</f>
        <v>0</v>
      </c>
      <c r="E208" s="1">
        <f>SUM(PL!N208:P208)</f>
        <v>0</v>
      </c>
      <c r="F208" s="1">
        <f>SUM(PL!Q208:S208)</f>
        <v>0</v>
      </c>
      <c r="G208" s="1">
        <f>SUM(PL!T208:V208)</f>
        <v>0</v>
      </c>
      <c r="H208" s="1">
        <f>SUM(C208:G208)</f>
        <v>0</v>
      </c>
      <c r="I208" s="1">
        <f>IF(C208 + I207 &lt; 0, C208 + I207, 0)</f>
        <v>0</v>
      </c>
      <c r="J208" s="1">
        <f>IF(D208 + J207 &lt; 0, D208 + J207, 0)</f>
        <v>0</v>
      </c>
      <c r="K208" s="1">
        <f>IF(E208 + K207 &lt; 0, E208 + K207, 0)</f>
        <v>0</v>
      </c>
      <c r="L208" s="1">
        <f>IF(F208 + L207 &lt; 0, F208 + L207, 0)</f>
        <v>0</v>
      </c>
      <c r="M208" s="1">
        <f>IF(G208 + M207 &lt; 0, G208 + M207, 0)</f>
        <v>0</v>
      </c>
      <c r="N208" s="1">
        <f>IF(H208 + N207 &lt; 0, H208 + N207, 0)</f>
        <v>0</v>
      </c>
      <c r="O208" s="1">
        <f>IF(N208 &lt; 0, 1 + O207, 0)</f>
        <v>0</v>
      </c>
      <c r="P208" s="1">
        <f>C208-((ABS(SUM(PL!H208:J208)))*0.125)</f>
        <v>0</v>
      </c>
      <c r="Q208" s="1">
        <f>D208-((ABS(SUM(PL!K208:M208)))*0.125)</f>
        <v>0</v>
      </c>
      <c r="R208" s="1">
        <f>E208-((ABS(SUM(PL!N208:P208)))*0.125)</f>
        <v>0</v>
      </c>
      <c r="S208" s="1">
        <f>F208-((ABS(SUM(PL!Q208:S208)))*0.125)</f>
        <v>0</v>
      </c>
      <c r="T208" s="1">
        <f>G208-((ABS(SUM(PL!T208:V208)))*0.125)</f>
        <v>0</v>
      </c>
      <c r="U208" s="1">
        <f>P208 + Q208 + R208 + S208 + T208</f>
        <v>0</v>
      </c>
      <c r="V208" s="1">
        <f>IF(P208 + V207 &lt; 0, P208 + V207, 0)</f>
        <v>0</v>
      </c>
      <c r="W208" s="1">
        <f>IF(Q208 + W207 &lt; 0, Q208 + W207, 0)</f>
        <v>0</v>
      </c>
      <c r="X208" s="1">
        <f>IF(R208 + X207 &lt; 0, R208 + X207, 0)</f>
        <v>0</v>
      </c>
      <c r="Y208" s="1">
        <f>IF(S208 + Y207 &lt; 0, S208 + Y207, 0)</f>
        <v>0</v>
      </c>
      <c r="Z208" s="1">
        <f>IF(T208 + Z207 &lt; 0, T208 + Z207, 0)</f>
        <v>0</v>
      </c>
      <c r="AA208" s="1">
        <f>IF(U208 + AA207 &lt; 0, U208 + AA207, 0)</f>
        <v>0</v>
      </c>
      <c r="AB208" s="1">
        <f>IF(AA208 &lt; 0, 1 + AB207, 0)</f>
        <v>0</v>
      </c>
      <c r="AC208" s="1">
        <f>IF(H208&lt;0,1,0)</f>
        <v>0</v>
      </c>
      <c r="AD208" s="1">
        <f>IF(AC208=1,H208,0)</f>
        <v>0</v>
      </c>
      <c r="AE208" s="1">
        <f>IF(H208&gt;0,1,0)</f>
        <v>0</v>
      </c>
      <c r="AF208" s="1">
        <f>IF(AE208=1,H208,0)</f>
        <v>0</v>
      </c>
      <c r="AG208" s="1">
        <f>IF(AD208&lt;-20000000.0/100,1,0)</f>
        <v>0</v>
      </c>
      <c r="AH208" s="1">
        <f>IF(AF208&gt;20000000.0/100,1,0)</f>
        <v>0</v>
      </c>
      <c r="AI208" s="1">
        <f>IF(U208&lt;0,1,0)</f>
        <v>0</v>
      </c>
      <c r="AJ208" s="1">
        <f>IF(AI208=1,U208,0)</f>
        <v>0</v>
      </c>
      <c r="AK208" s="1">
        <f>IF(U208&gt;0,1,0)</f>
        <v>0</v>
      </c>
      <c r="AL208" s="1">
        <f>IF(AK208=1,U208,0)</f>
        <v>0</v>
      </c>
      <c r="AM208" s="1">
        <f>IF(AJ208&lt;-20000000.0/100,1,0)</f>
        <v>0</v>
      </c>
      <c r="AN208" s="1">
        <f>IF(AL208&gt;20000000.0/100,1,0)</f>
        <v>0</v>
      </c>
    </row>
    <row r="209" spans="1:40" s="1" customFormat="1">
      <c r="A209" s="3">
        <v>45600</v>
      </c>
      <c r="B209" s="2" t="s">
        <v>22</v>
      </c>
      <c r="C209" s="1">
        <f>SUM(PL!H209:J209)</f>
        <v>0</v>
      </c>
      <c r="D209" s="1">
        <f>SUM(PL!K209:M209)</f>
        <v>0</v>
      </c>
      <c r="E209" s="1">
        <f>SUM(PL!N209:P209)</f>
        <v>0</v>
      </c>
      <c r="F209" s="1">
        <f>SUM(PL!Q209:S209)</f>
        <v>0</v>
      </c>
      <c r="G209" s="1">
        <f>SUM(PL!T209:V209)</f>
        <v>0</v>
      </c>
      <c r="H209" s="1">
        <f>SUM(C209:G209)</f>
        <v>0</v>
      </c>
      <c r="I209" s="1">
        <f>IF(C209 + I208 &lt; 0, C209 + I208, 0)</f>
        <v>0</v>
      </c>
      <c r="J209" s="1">
        <f>IF(D209 + J208 &lt; 0, D209 + J208, 0)</f>
        <v>0</v>
      </c>
      <c r="K209" s="1">
        <f>IF(E209 + K208 &lt; 0, E209 + K208, 0)</f>
        <v>0</v>
      </c>
      <c r="L209" s="1">
        <f>IF(F209 + L208 &lt; 0, F209 + L208, 0)</f>
        <v>0</v>
      </c>
      <c r="M209" s="1">
        <f>IF(G209 + M208 &lt; 0, G209 + M208, 0)</f>
        <v>0</v>
      </c>
      <c r="N209" s="1">
        <f>IF(H209 + N208 &lt; 0, H209 + N208, 0)</f>
        <v>0</v>
      </c>
      <c r="O209" s="1">
        <f>IF(N209 &lt; 0, 1 + O208, 0)</f>
        <v>0</v>
      </c>
      <c r="P209" s="1">
        <f>C209-((ABS(SUM(PL!H209:J209)))*0.125)</f>
        <v>0</v>
      </c>
      <c r="Q209" s="1">
        <f>D209-((ABS(SUM(PL!K209:M209)))*0.125)</f>
        <v>0</v>
      </c>
      <c r="R209" s="1">
        <f>E209-((ABS(SUM(PL!N209:P209)))*0.125)</f>
        <v>0</v>
      </c>
      <c r="S209" s="1">
        <f>F209-((ABS(SUM(PL!Q209:S209)))*0.125)</f>
        <v>0</v>
      </c>
      <c r="T209" s="1">
        <f>G209-((ABS(SUM(PL!T209:V209)))*0.125)</f>
        <v>0</v>
      </c>
      <c r="U209" s="1">
        <f>P209 + Q209 + R209 + S209 + T209</f>
        <v>0</v>
      </c>
      <c r="V209" s="1">
        <f>IF(P209 + V208 &lt; 0, P209 + V208, 0)</f>
        <v>0</v>
      </c>
      <c r="W209" s="1">
        <f>IF(Q209 + W208 &lt; 0, Q209 + W208, 0)</f>
        <v>0</v>
      </c>
      <c r="X209" s="1">
        <f>IF(R209 + X208 &lt; 0, R209 + X208, 0)</f>
        <v>0</v>
      </c>
      <c r="Y209" s="1">
        <f>IF(S209 + Y208 &lt; 0, S209 + Y208, 0)</f>
        <v>0</v>
      </c>
      <c r="Z209" s="1">
        <f>IF(T209 + Z208 &lt; 0, T209 + Z208, 0)</f>
        <v>0</v>
      </c>
      <c r="AA209" s="1">
        <f>IF(U209 + AA208 &lt; 0, U209 + AA208, 0)</f>
        <v>0</v>
      </c>
      <c r="AB209" s="1">
        <f>IF(AA209 &lt; 0, 1 + AB208, 0)</f>
        <v>0</v>
      </c>
      <c r="AC209" s="1">
        <f>IF(H209&lt;0,1,0)</f>
        <v>0</v>
      </c>
      <c r="AD209" s="1">
        <f>IF(AC209=1,H209,0)</f>
        <v>0</v>
      </c>
      <c r="AE209" s="1">
        <f>IF(H209&gt;0,1,0)</f>
        <v>0</v>
      </c>
      <c r="AF209" s="1">
        <f>IF(AE209=1,H209,0)</f>
        <v>0</v>
      </c>
      <c r="AG209" s="1">
        <f>IF(AD209&lt;-20000000.0/100,1,0)</f>
        <v>0</v>
      </c>
      <c r="AH209" s="1">
        <f>IF(AF209&gt;20000000.0/100,1,0)</f>
        <v>0</v>
      </c>
      <c r="AI209" s="1">
        <f>IF(U209&lt;0,1,0)</f>
        <v>0</v>
      </c>
      <c r="AJ209" s="1">
        <f>IF(AI209=1,U209,0)</f>
        <v>0</v>
      </c>
      <c r="AK209" s="1">
        <f>IF(U209&gt;0,1,0)</f>
        <v>0</v>
      </c>
      <c r="AL209" s="1">
        <f>IF(AK209=1,U209,0)</f>
        <v>0</v>
      </c>
      <c r="AM209" s="1">
        <f>IF(AJ209&lt;-20000000.0/100,1,0)</f>
        <v>0</v>
      </c>
      <c r="AN209" s="1">
        <f>IF(AL209&gt;20000000.0/100,1,0)</f>
        <v>0</v>
      </c>
    </row>
    <row r="210" spans="1:40" s="1" customFormat="1">
      <c r="A210" s="3">
        <v>45601</v>
      </c>
      <c r="B210" s="2" t="s">
        <v>23</v>
      </c>
      <c r="C210" s="1">
        <f>SUM(PL!H210:J210)</f>
        <v>0</v>
      </c>
      <c r="D210" s="1">
        <f>SUM(PL!K210:M210)</f>
        <v>0</v>
      </c>
      <c r="E210" s="1">
        <f>SUM(PL!N210:P210)</f>
        <v>0</v>
      </c>
      <c r="F210" s="1">
        <f>SUM(PL!Q210:S210)</f>
        <v>0</v>
      </c>
      <c r="G210" s="1">
        <f>SUM(PL!T210:V210)</f>
        <v>0</v>
      </c>
      <c r="H210" s="1">
        <f>SUM(C210:G210)</f>
        <v>0</v>
      </c>
      <c r="I210" s="1">
        <f>IF(C210 + I209 &lt; 0, C210 + I209, 0)</f>
        <v>0</v>
      </c>
      <c r="J210" s="1">
        <f>IF(D210 + J209 &lt; 0, D210 + J209, 0)</f>
        <v>0</v>
      </c>
      <c r="K210" s="1">
        <f>IF(E210 + K209 &lt; 0, E210 + K209, 0)</f>
        <v>0</v>
      </c>
      <c r="L210" s="1">
        <f>IF(F210 + L209 &lt; 0, F210 + L209, 0)</f>
        <v>0</v>
      </c>
      <c r="M210" s="1">
        <f>IF(G210 + M209 &lt; 0, G210 + M209, 0)</f>
        <v>0</v>
      </c>
      <c r="N210" s="1">
        <f>IF(H210 + N209 &lt; 0, H210 + N209, 0)</f>
        <v>0</v>
      </c>
      <c r="O210" s="1">
        <f>IF(N210 &lt; 0, 1 + O209, 0)</f>
        <v>0</v>
      </c>
      <c r="P210" s="1">
        <f>C210-((ABS(SUM(PL!H210:J210)))*0.125)</f>
        <v>0</v>
      </c>
      <c r="Q210" s="1">
        <f>D210-((ABS(SUM(PL!K210:M210)))*0.125)</f>
        <v>0</v>
      </c>
      <c r="R210" s="1">
        <f>E210-((ABS(SUM(PL!N210:P210)))*0.125)</f>
        <v>0</v>
      </c>
      <c r="S210" s="1">
        <f>F210-((ABS(SUM(PL!Q210:S210)))*0.125)</f>
        <v>0</v>
      </c>
      <c r="T210" s="1">
        <f>G210-((ABS(SUM(PL!T210:V210)))*0.125)</f>
        <v>0</v>
      </c>
      <c r="U210" s="1">
        <f>P210 + Q210 + R210 + S210 + T210</f>
        <v>0</v>
      </c>
      <c r="V210" s="1">
        <f>IF(P210 + V209 &lt; 0, P210 + V209, 0)</f>
        <v>0</v>
      </c>
      <c r="W210" s="1">
        <f>IF(Q210 + W209 &lt; 0, Q210 + W209, 0)</f>
        <v>0</v>
      </c>
      <c r="X210" s="1">
        <f>IF(R210 + X209 &lt; 0, R210 + X209, 0)</f>
        <v>0</v>
      </c>
      <c r="Y210" s="1">
        <f>IF(S210 + Y209 &lt; 0, S210 + Y209, 0)</f>
        <v>0</v>
      </c>
      <c r="Z210" s="1">
        <f>IF(T210 + Z209 &lt; 0, T210 + Z209, 0)</f>
        <v>0</v>
      </c>
      <c r="AA210" s="1">
        <f>IF(U210 + AA209 &lt; 0, U210 + AA209, 0)</f>
        <v>0</v>
      </c>
      <c r="AB210" s="1">
        <f>IF(AA210 &lt; 0, 1 + AB209, 0)</f>
        <v>0</v>
      </c>
      <c r="AC210" s="1">
        <f>IF(H210&lt;0,1,0)</f>
        <v>0</v>
      </c>
      <c r="AD210" s="1">
        <f>IF(AC210=1,H210,0)</f>
        <v>0</v>
      </c>
      <c r="AE210" s="1">
        <f>IF(H210&gt;0,1,0)</f>
        <v>0</v>
      </c>
      <c r="AF210" s="1">
        <f>IF(AE210=1,H210,0)</f>
        <v>0</v>
      </c>
      <c r="AG210" s="1">
        <f>IF(AD210&lt;-20000000.0/100,1,0)</f>
        <v>0</v>
      </c>
      <c r="AH210" s="1">
        <f>IF(AF210&gt;20000000.0/100,1,0)</f>
        <v>0</v>
      </c>
      <c r="AI210" s="1">
        <f>IF(U210&lt;0,1,0)</f>
        <v>0</v>
      </c>
      <c r="AJ210" s="1">
        <f>IF(AI210=1,U210,0)</f>
        <v>0</v>
      </c>
      <c r="AK210" s="1">
        <f>IF(U210&gt;0,1,0)</f>
        <v>0</v>
      </c>
      <c r="AL210" s="1">
        <f>IF(AK210=1,U210,0)</f>
        <v>0</v>
      </c>
      <c r="AM210" s="1">
        <f>IF(AJ210&lt;-20000000.0/100,1,0)</f>
        <v>0</v>
      </c>
      <c r="AN210" s="1">
        <f>IF(AL210&gt;20000000.0/100,1,0)</f>
        <v>0</v>
      </c>
    </row>
    <row r="211" spans="1:40" s="1" customFormat="1">
      <c r="A211" s="3">
        <v>45602</v>
      </c>
      <c r="B211" s="2" t="s">
        <v>24</v>
      </c>
      <c r="C211" s="1">
        <f>SUM(PL!H211:J211)</f>
        <v>0</v>
      </c>
      <c r="D211" s="1">
        <f>SUM(PL!K211:M211)</f>
        <v>0</v>
      </c>
      <c r="E211" s="1">
        <f>SUM(PL!N211:P211)</f>
        <v>0</v>
      </c>
      <c r="F211" s="1">
        <f>SUM(PL!Q211:S211)</f>
        <v>0</v>
      </c>
      <c r="G211" s="1">
        <f>SUM(PL!T211:V211)</f>
        <v>0</v>
      </c>
      <c r="H211" s="1">
        <f>SUM(C211:G211)</f>
        <v>0</v>
      </c>
      <c r="I211" s="1">
        <f>IF(C211 + I210 &lt; 0, C211 + I210, 0)</f>
        <v>0</v>
      </c>
      <c r="J211" s="1">
        <f>IF(D211 + J210 &lt; 0, D211 + J210, 0)</f>
        <v>0</v>
      </c>
      <c r="K211" s="1">
        <f>IF(E211 + K210 &lt; 0, E211 + K210, 0)</f>
        <v>0</v>
      </c>
      <c r="L211" s="1">
        <f>IF(F211 + L210 &lt; 0, F211 + L210, 0)</f>
        <v>0</v>
      </c>
      <c r="M211" s="1">
        <f>IF(G211 + M210 &lt; 0, G211 + M210, 0)</f>
        <v>0</v>
      </c>
      <c r="N211" s="1">
        <f>IF(H211 + N210 &lt; 0, H211 + N210, 0)</f>
        <v>0</v>
      </c>
      <c r="O211" s="1">
        <f>IF(N211 &lt; 0, 1 + O210, 0)</f>
        <v>0</v>
      </c>
      <c r="P211" s="1">
        <f>C211-((ABS(SUM(PL!H211:J211)))*0.125)</f>
        <v>0</v>
      </c>
      <c r="Q211" s="1">
        <f>D211-((ABS(SUM(PL!K211:M211)))*0.125)</f>
        <v>0</v>
      </c>
      <c r="R211" s="1">
        <f>E211-((ABS(SUM(PL!N211:P211)))*0.125)</f>
        <v>0</v>
      </c>
      <c r="S211" s="1">
        <f>F211-((ABS(SUM(PL!Q211:S211)))*0.125)</f>
        <v>0</v>
      </c>
      <c r="T211" s="1">
        <f>G211-((ABS(SUM(PL!T211:V211)))*0.125)</f>
        <v>0</v>
      </c>
      <c r="U211" s="1">
        <f>P211 + Q211 + R211 + S211 + T211</f>
        <v>0</v>
      </c>
      <c r="V211" s="1">
        <f>IF(P211 + V210 &lt; 0, P211 + V210, 0)</f>
        <v>0</v>
      </c>
      <c r="W211" s="1">
        <f>IF(Q211 + W210 &lt; 0, Q211 + W210, 0)</f>
        <v>0</v>
      </c>
      <c r="X211" s="1">
        <f>IF(R211 + X210 &lt; 0, R211 + X210, 0)</f>
        <v>0</v>
      </c>
      <c r="Y211" s="1">
        <f>IF(S211 + Y210 &lt; 0, S211 + Y210, 0)</f>
        <v>0</v>
      </c>
      <c r="Z211" s="1">
        <f>IF(T211 + Z210 &lt; 0, T211 + Z210, 0)</f>
        <v>0</v>
      </c>
      <c r="AA211" s="1">
        <f>IF(U211 + AA210 &lt; 0, U211 + AA210, 0)</f>
        <v>0</v>
      </c>
      <c r="AB211" s="1">
        <f>IF(AA211 &lt; 0, 1 + AB210, 0)</f>
        <v>0</v>
      </c>
      <c r="AC211" s="1">
        <f>IF(H211&lt;0,1,0)</f>
        <v>0</v>
      </c>
      <c r="AD211" s="1">
        <f>IF(AC211=1,H211,0)</f>
        <v>0</v>
      </c>
      <c r="AE211" s="1">
        <f>IF(H211&gt;0,1,0)</f>
        <v>0</v>
      </c>
      <c r="AF211" s="1">
        <f>IF(AE211=1,H211,0)</f>
        <v>0</v>
      </c>
      <c r="AG211" s="1">
        <f>IF(AD211&lt;-20000000.0/100,1,0)</f>
        <v>0</v>
      </c>
      <c r="AH211" s="1">
        <f>IF(AF211&gt;20000000.0/100,1,0)</f>
        <v>0</v>
      </c>
      <c r="AI211" s="1">
        <f>IF(U211&lt;0,1,0)</f>
        <v>0</v>
      </c>
      <c r="AJ211" s="1">
        <f>IF(AI211=1,U211,0)</f>
        <v>0</v>
      </c>
      <c r="AK211" s="1">
        <f>IF(U211&gt;0,1,0)</f>
        <v>0</v>
      </c>
      <c r="AL211" s="1">
        <f>IF(AK211=1,U211,0)</f>
        <v>0</v>
      </c>
      <c r="AM211" s="1">
        <f>IF(AJ211&lt;-20000000.0/100,1,0)</f>
        <v>0</v>
      </c>
      <c r="AN211" s="1">
        <f>IF(AL211&gt;20000000.0/100,1,0)</f>
        <v>0</v>
      </c>
    </row>
    <row r="212" spans="1:40" s="1" customFormat="1">
      <c r="A212" s="3">
        <v>45603</v>
      </c>
      <c r="B212" s="2" t="s">
        <v>25</v>
      </c>
      <c r="C212" s="1">
        <f>SUM(PL!H212:J212)</f>
        <v>0</v>
      </c>
      <c r="D212" s="1">
        <f>SUM(PL!K212:M212)</f>
        <v>0</v>
      </c>
      <c r="E212" s="1">
        <f>SUM(PL!N212:P212)</f>
        <v>0</v>
      </c>
      <c r="F212" s="1">
        <f>SUM(PL!Q212:S212)</f>
        <v>0</v>
      </c>
      <c r="G212" s="1">
        <f>SUM(PL!T212:V212)</f>
        <v>0</v>
      </c>
      <c r="H212" s="1">
        <f>SUM(C212:G212)</f>
        <v>0</v>
      </c>
      <c r="I212" s="1">
        <f>IF(C212 + I211 &lt; 0, C212 + I211, 0)</f>
        <v>0</v>
      </c>
      <c r="J212" s="1">
        <f>IF(D212 + J211 &lt; 0, D212 + J211, 0)</f>
        <v>0</v>
      </c>
      <c r="K212" s="1">
        <f>IF(E212 + K211 &lt; 0, E212 + K211, 0)</f>
        <v>0</v>
      </c>
      <c r="L212" s="1">
        <f>IF(F212 + L211 &lt; 0, F212 + L211, 0)</f>
        <v>0</v>
      </c>
      <c r="M212" s="1">
        <f>IF(G212 + M211 &lt; 0, G212 + M211, 0)</f>
        <v>0</v>
      </c>
      <c r="N212" s="1">
        <f>IF(H212 + N211 &lt; 0, H212 + N211, 0)</f>
        <v>0</v>
      </c>
      <c r="O212" s="1">
        <f>IF(N212 &lt; 0, 1 + O211, 0)</f>
        <v>0</v>
      </c>
      <c r="P212" s="1">
        <f>C212-((ABS(SUM(PL!H212:J212)))*0.125)</f>
        <v>0</v>
      </c>
      <c r="Q212" s="1">
        <f>D212-((ABS(SUM(PL!K212:M212)))*0.125)</f>
        <v>0</v>
      </c>
      <c r="R212" s="1">
        <f>E212-((ABS(SUM(PL!N212:P212)))*0.125)</f>
        <v>0</v>
      </c>
      <c r="S212" s="1">
        <f>F212-((ABS(SUM(PL!Q212:S212)))*0.125)</f>
        <v>0</v>
      </c>
      <c r="T212" s="1">
        <f>G212-((ABS(SUM(PL!T212:V212)))*0.125)</f>
        <v>0</v>
      </c>
      <c r="U212" s="1">
        <f>P212 + Q212 + R212 + S212 + T212</f>
        <v>0</v>
      </c>
      <c r="V212" s="1">
        <f>IF(P212 + V211 &lt; 0, P212 + V211, 0)</f>
        <v>0</v>
      </c>
      <c r="W212" s="1">
        <f>IF(Q212 + W211 &lt; 0, Q212 + W211, 0)</f>
        <v>0</v>
      </c>
      <c r="X212" s="1">
        <f>IF(R212 + X211 &lt; 0, R212 + X211, 0)</f>
        <v>0</v>
      </c>
      <c r="Y212" s="1">
        <f>IF(S212 + Y211 &lt; 0, S212 + Y211, 0)</f>
        <v>0</v>
      </c>
      <c r="Z212" s="1">
        <f>IF(T212 + Z211 &lt; 0, T212 + Z211, 0)</f>
        <v>0</v>
      </c>
      <c r="AA212" s="1">
        <f>IF(U212 + AA211 &lt; 0, U212 + AA211, 0)</f>
        <v>0</v>
      </c>
      <c r="AB212" s="1">
        <f>IF(AA212 &lt; 0, 1 + AB211, 0)</f>
        <v>0</v>
      </c>
      <c r="AC212" s="1">
        <f>IF(H212&lt;0,1,0)</f>
        <v>0</v>
      </c>
      <c r="AD212" s="1">
        <f>IF(AC212=1,H212,0)</f>
        <v>0</v>
      </c>
      <c r="AE212" s="1">
        <f>IF(H212&gt;0,1,0)</f>
        <v>0</v>
      </c>
      <c r="AF212" s="1">
        <f>IF(AE212=1,H212,0)</f>
        <v>0</v>
      </c>
      <c r="AG212" s="1">
        <f>IF(AD212&lt;-20000000.0/100,1,0)</f>
        <v>0</v>
      </c>
      <c r="AH212" s="1">
        <f>IF(AF212&gt;20000000.0/100,1,0)</f>
        <v>0</v>
      </c>
      <c r="AI212" s="1">
        <f>IF(U212&lt;0,1,0)</f>
        <v>0</v>
      </c>
      <c r="AJ212" s="1">
        <f>IF(AI212=1,U212,0)</f>
        <v>0</v>
      </c>
      <c r="AK212" s="1">
        <f>IF(U212&gt;0,1,0)</f>
        <v>0</v>
      </c>
      <c r="AL212" s="1">
        <f>IF(AK212=1,U212,0)</f>
        <v>0</v>
      </c>
      <c r="AM212" s="1">
        <f>IF(AJ212&lt;-20000000.0/100,1,0)</f>
        <v>0</v>
      </c>
      <c r="AN212" s="1">
        <f>IF(AL212&gt;20000000.0/100,1,0)</f>
        <v>0</v>
      </c>
    </row>
    <row r="213" spans="1:40" s="1" customFormat="1">
      <c r="A213" s="3">
        <v>45604</v>
      </c>
      <c r="B213" s="2" t="s">
        <v>26</v>
      </c>
      <c r="C213" s="1">
        <f>SUM(PL!H213:J213)</f>
        <v>0</v>
      </c>
      <c r="D213" s="1">
        <f>SUM(PL!K213:M213)</f>
        <v>0</v>
      </c>
      <c r="E213" s="1">
        <f>SUM(PL!N213:P213)</f>
        <v>0</v>
      </c>
      <c r="F213" s="1">
        <f>SUM(PL!Q213:S213)</f>
        <v>0</v>
      </c>
      <c r="G213" s="1">
        <f>SUM(PL!T213:V213)</f>
        <v>0</v>
      </c>
      <c r="H213" s="1">
        <f>SUM(C213:G213)</f>
        <v>0</v>
      </c>
      <c r="I213" s="1">
        <f>IF(C213 + I212 &lt; 0, C213 + I212, 0)</f>
        <v>0</v>
      </c>
      <c r="J213" s="1">
        <f>IF(D213 + J212 &lt; 0, D213 + J212, 0)</f>
        <v>0</v>
      </c>
      <c r="K213" s="1">
        <f>IF(E213 + K212 &lt; 0, E213 + K212, 0)</f>
        <v>0</v>
      </c>
      <c r="L213" s="1">
        <f>IF(F213 + L212 &lt; 0, F213 + L212, 0)</f>
        <v>0</v>
      </c>
      <c r="M213" s="1">
        <f>IF(G213 + M212 &lt; 0, G213 + M212, 0)</f>
        <v>0</v>
      </c>
      <c r="N213" s="1">
        <f>IF(H213 + N212 &lt; 0, H213 + N212, 0)</f>
        <v>0</v>
      </c>
      <c r="O213" s="1">
        <f>IF(N213 &lt; 0, 1 + O212, 0)</f>
        <v>0</v>
      </c>
      <c r="P213" s="1">
        <f>C213-((ABS(SUM(PL!H213:J213)))*0.125)</f>
        <v>0</v>
      </c>
      <c r="Q213" s="1">
        <f>D213-((ABS(SUM(PL!K213:M213)))*0.125)</f>
        <v>0</v>
      </c>
      <c r="R213" s="1">
        <f>E213-((ABS(SUM(PL!N213:P213)))*0.125)</f>
        <v>0</v>
      </c>
      <c r="S213" s="1">
        <f>F213-((ABS(SUM(PL!Q213:S213)))*0.125)</f>
        <v>0</v>
      </c>
      <c r="T213" s="1">
        <f>G213-((ABS(SUM(PL!T213:V213)))*0.125)</f>
        <v>0</v>
      </c>
      <c r="U213" s="1">
        <f>P213 + Q213 + R213 + S213 + T213</f>
        <v>0</v>
      </c>
      <c r="V213" s="1">
        <f>IF(P213 + V212 &lt; 0, P213 + V212, 0)</f>
        <v>0</v>
      </c>
      <c r="W213" s="1">
        <f>IF(Q213 + W212 &lt; 0, Q213 + W212, 0)</f>
        <v>0</v>
      </c>
      <c r="X213" s="1">
        <f>IF(R213 + X212 &lt; 0, R213 + X212, 0)</f>
        <v>0</v>
      </c>
      <c r="Y213" s="1">
        <f>IF(S213 + Y212 &lt; 0, S213 + Y212, 0)</f>
        <v>0</v>
      </c>
      <c r="Z213" s="1">
        <f>IF(T213 + Z212 &lt; 0, T213 + Z212, 0)</f>
        <v>0</v>
      </c>
      <c r="AA213" s="1">
        <f>IF(U213 + AA212 &lt; 0, U213 + AA212, 0)</f>
        <v>0</v>
      </c>
      <c r="AB213" s="1">
        <f>IF(AA213 &lt; 0, 1 + AB212, 0)</f>
        <v>0</v>
      </c>
      <c r="AC213" s="1">
        <f>IF(H213&lt;0,1,0)</f>
        <v>0</v>
      </c>
      <c r="AD213" s="1">
        <f>IF(AC213=1,H213,0)</f>
        <v>0</v>
      </c>
      <c r="AE213" s="1">
        <f>IF(H213&gt;0,1,0)</f>
        <v>0</v>
      </c>
      <c r="AF213" s="1">
        <f>IF(AE213=1,H213,0)</f>
        <v>0</v>
      </c>
      <c r="AG213" s="1">
        <f>IF(AD213&lt;-20000000.0/100,1,0)</f>
        <v>0</v>
      </c>
      <c r="AH213" s="1">
        <f>IF(AF213&gt;20000000.0/100,1,0)</f>
        <v>0</v>
      </c>
      <c r="AI213" s="1">
        <f>IF(U213&lt;0,1,0)</f>
        <v>0</v>
      </c>
      <c r="AJ213" s="1">
        <f>IF(AI213=1,U213,0)</f>
        <v>0</v>
      </c>
      <c r="AK213" s="1">
        <f>IF(U213&gt;0,1,0)</f>
        <v>0</v>
      </c>
      <c r="AL213" s="1">
        <f>IF(AK213=1,U213,0)</f>
        <v>0</v>
      </c>
      <c r="AM213" s="1">
        <f>IF(AJ213&lt;-20000000.0/100,1,0)</f>
        <v>0</v>
      </c>
      <c r="AN213" s="1">
        <f>IF(AL213&gt;20000000.0/100,1,0)</f>
        <v>0</v>
      </c>
    </row>
    <row r="214" spans="1:40" s="1" customFormat="1">
      <c r="A214" s="3">
        <v>45607</v>
      </c>
      <c r="B214" s="2" t="s">
        <v>22</v>
      </c>
      <c r="C214" s="1">
        <f>SUM(PL!H214:J214)</f>
        <v>0</v>
      </c>
      <c r="D214" s="1">
        <f>SUM(PL!K214:M214)</f>
        <v>0</v>
      </c>
      <c r="E214" s="1">
        <f>SUM(PL!N214:P214)</f>
        <v>0</v>
      </c>
      <c r="F214" s="1">
        <f>SUM(PL!Q214:S214)</f>
        <v>0</v>
      </c>
      <c r="G214" s="1">
        <f>SUM(PL!T214:V214)</f>
        <v>0</v>
      </c>
      <c r="H214" s="1">
        <f>SUM(C214:G214)</f>
        <v>0</v>
      </c>
      <c r="I214" s="1">
        <f>IF(C214 + I213 &lt; 0, C214 + I213, 0)</f>
        <v>0</v>
      </c>
      <c r="J214" s="1">
        <f>IF(D214 + J213 &lt; 0, D214 + J213, 0)</f>
        <v>0</v>
      </c>
      <c r="K214" s="1">
        <f>IF(E214 + K213 &lt; 0, E214 + K213, 0)</f>
        <v>0</v>
      </c>
      <c r="L214" s="1">
        <f>IF(F214 + L213 &lt; 0, F214 + L213, 0)</f>
        <v>0</v>
      </c>
      <c r="M214" s="1">
        <f>IF(G214 + M213 &lt; 0, G214 + M213, 0)</f>
        <v>0</v>
      </c>
      <c r="N214" s="1">
        <f>IF(H214 + N213 &lt; 0, H214 + N213, 0)</f>
        <v>0</v>
      </c>
      <c r="O214" s="1">
        <f>IF(N214 &lt; 0, 1 + O213, 0)</f>
        <v>0</v>
      </c>
      <c r="P214" s="1">
        <f>C214-((ABS(SUM(PL!H214:J214)))*0.125)</f>
        <v>0</v>
      </c>
      <c r="Q214" s="1">
        <f>D214-((ABS(SUM(PL!K214:M214)))*0.125)</f>
        <v>0</v>
      </c>
      <c r="R214" s="1">
        <f>E214-((ABS(SUM(PL!N214:P214)))*0.125)</f>
        <v>0</v>
      </c>
      <c r="S214" s="1">
        <f>F214-((ABS(SUM(PL!Q214:S214)))*0.125)</f>
        <v>0</v>
      </c>
      <c r="T214" s="1">
        <f>G214-((ABS(SUM(PL!T214:V214)))*0.125)</f>
        <v>0</v>
      </c>
      <c r="U214" s="1">
        <f>P214 + Q214 + R214 + S214 + T214</f>
        <v>0</v>
      </c>
      <c r="V214" s="1">
        <f>IF(P214 + V213 &lt; 0, P214 + V213, 0)</f>
        <v>0</v>
      </c>
      <c r="W214" s="1">
        <f>IF(Q214 + W213 &lt; 0, Q214 + W213, 0)</f>
        <v>0</v>
      </c>
      <c r="X214" s="1">
        <f>IF(R214 + X213 &lt; 0, R214 + X213, 0)</f>
        <v>0</v>
      </c>
      <c r="Y214" s="1">
        <f>IF(S214 + Y213 &lt; 0, S214 + Y213, 0)</f>
        <v>0</v>
      </c>
      <c r="Z214" s="1">
        <f>IF(T214 + Z213 &lt; 0, T214 + Z213, 0)</f>
        <v>0</v>
      </c>
      <c r="AA214" s="1">
        <f>IF(U214 + AA213 &lt; 0, U214 + AA213, 0)</f>
        <v>0</v>
      </c>
      <c r="AB214" s="1">
        <f>IF(AA214 &lt; 0, 1 + AB213, 0)</f>
        <v>0</v>
      </c>
      <c r="AC214" s="1">
        <f>IF(H214&lt;0,1,0)</f>
        <v>0</v>
      </c>
      <c r="AD214" s="1">
        <f>IF(AC214=1,H214,0)</f>
        <v>0</v>
      </c>
      <c r="AE214" s="1">
        <f>IF(H214&gt;0,1,0)</f>
        <v>0</v>
      </c>
      <c r="AF214" s="1">
        <f>IF(AE214=1,H214,0)</f>
        <v>0</v>
      </c>
      <c r="AG214" s="1">
        <f>IF(AD214&lt;-20000000.0/100,1,0)</f>
        <v>0</v>
      </c>
      <c r="AH214" s="1">
        <f>IF(AF214&gt;20000000.0/100,1,0)</f>
        <v>0</v>
      </c>
      <c r="AI214" s="1">
        <f>IF(U214&lt;0,1,0)</f>
        <v>0</v>
      </c>
      <c r="AJ214" s="1">
        <f>IF(AI214=1,U214,0)</f>
        <v>0</v>
      </c>
      <c r="AK214" s="1">
        <f>IF(U214&gt;0,1,0)</f>
        <v>0</v>
      </c>
      <c r="AL214" s="1">
        <f>IF(AK214=1,U214,0)</f>
        <v>0</v>
      </c>
      <c r="AM214" s="1">
        <f>IF(AJ214&lt;-20000000.0/100,1,0)</f>
        <v>0</v>
      </c>
      <c r="AN214" s="1">
        <f>IF(AL214&gt;20000000.0/100,1,0)</f>
        <v>0</v>
      </c>
    </row>
    <row r="215" spans="1:40" s="1" customFormat="1">
      <c r="A215" s="3">
        <v>45608</v>
      </c>
      <c r="B215" s="2" t="s">
        <v>23</v>
      </c>
      <c r="C215" s="1">
        <f>SUM(PL!H215:J215)</f>
        <v>0</v>
      </c>
      <c r="D215" s="1">
        <f>SUM(PL!K215:M215)</f>
        <v>0</v>
      </c>
      <c r="E215" s="1">
        <f>SUM(PL!N215:P215)</f>
        <v>0</v>
      </c>
      <c r="F215" s="1">
        <f>SUM(PL!Q215:S215)</f>
        <v>0</v>
      </c>
      <c r="G215" s="1">
        <f>SUM(PL!T215:V215)</f>
        <v>0</v>
      </c>
      <c r="H215" s="1">
        <f>SUM(C215:G215)</f>
        <v>0</v>
      </c>
      <c r="I215" s="1">
        <f>IF(C215 + I214 &lt; 0, C215 + I214, 0)</f>
        <v>0</v>
      </c>
      <c r="J215" s="1">
        <f>IF(D215 + J214 &lt; 0, D215 + J214, 0)</f>
        <v>0</v>
      </c>
      <c r="K215" s="1">
        <f>IF(E215 + K214 &lt; 0, E215 + K214, 0)</f>
        <v>0</v>
      </c>
      <c r="L215" s="1">
        <f>IF(F215 + L214 &lt; 0, F215 + L214, 0)</f>
        <v>0</v>
      </c>
      <c r="M215" s="1">
        <f>IF(G215 + M214 &lt; 0, G215 + M214, 0)</f>
        <v>0</v>
      </c>
      <c r="N215" s="1">
        <f>IF(H215 + N214 &lt; 0, H215 + N214, 0)</f>
        <v>0</v>
      </c>
      <c r="O215" s="1">
        <f>IF(N215 &lt; 0, 1 + O214, 0)</f>
        <v>0</v>
      </c>
      <c r="P215" s="1">
        <f>C215-((ABS(SUM(PL!H215:J215)))*0.125)</f>
        <v>0</v>
      </c>
      <c r="Q215" s="1">
        <f>D215-((ABS(SUM(PL!K215:M215)))*0.125)</f>
        <v>0</v>
      </c>
      <c r="R215" s="1">
        <f>E215-((ABS(SUM(PL!N215:P215)))*0.125)</f>
        <v>0</v>
      </c>
      <c r="S215" s="1">
        <f>F215-((ABS(SUM(PL!Q215:S215)))*0.125)</f>
        <v>0</v>
      </c>
      <c r="T215" s="1">
        <f>G215-((ABS(SUM(PL!T215:V215)))*0.125)</f>
        <v>0</v>
      </c>
      <c r="U215" s="1">
        <f>P215 + Q215 + R215 + S215 + T215</f>
        <v>0</v>
      </c>
      <c r="V215" s="1">
        <f>IF(P215 + V214 &lt; 0, P215 + V214, 0)</f>
        <v>0</v>
      </c>
      <c r="W215" s="1">
        <f>IF(Q215 + W214 &lt; 0, Q215 + W214, 0)</f>
        <v>0</v>
      </c>
      <c r="X215" s="1">
        <f>IF(R215 + X214 &lt; 0, R215 + X214, 0)</f>
        <v>0</v>
      </c>
      <c r="Y215" s="1">
        <f>IF(S215 + Y214 &lt; 0, S215 + Y214, 0)</f>
        <v>0</v>
      </c>
      <c r="Z215" s="1">
        <f>IF(T215 + Z214 &lt; 0, T215 + Z214, 0)</f>
        <v>0</v>
      </c>
      <c r="AA215" s="1">
        <f>IF(U215 + AA214 &lt; 0, U215 + AA214, 0)</f>
        <v>0</v>
      </c>
      <c r="AB215" s="1">
        <f>IF(AA215 &lt; 0, 1 + AB214, 0)</f>
        <v>0</v>
      </c>
      <c r="AC215" s="1">
        <f>IF(H215&lt;0,1,0)</f>
        <v>0</v>
      </c>
      <c r="AD215" s="1">
        <f>IF(AC215=1,H215,0)</f>
        <v>0</v>
      </c>
      <c r="AE215" s="1">
        <f>IF(H215&gt;0,1,0)</f>
        <v>0</v>
      </c>
      <c r="AF215" s="1">
        <f>IF(AE215=1,H215,0)</f>
        <v>0</v>
      </c>
      <c r="AG215" s="1">
        <f>IF(AD215&lt;-20000000.0/100,1,0)</f>
        <v>0</v>
      </c>
      <c r="AH215" s="1">
        <f>IF(AF215&gt;20000000.0/100,1,0)</f>
        <v>0</v>
      </c>
      <c r="AI215" s="1">
        <f>IF(U215&lt;0,1,0)</f>
        <v>0</v>
      </c>
      <c r="AJ215" s="1">
        <f>IF(AI215=1,U215,0)</f>
        <v>0</v>
      </c>
      <c r="AK215" s="1">
        <f>IF(U215&gt;0,1,0)</f>
        <v>0</v>
      </c>
      <c r="AL215" s="1">
        <f>IF(AK215=1,U215,0)</f>
        <v>0</v>
      </c>
      <c r="AM215" s="1">
        <f>IF(AJ215&lt;-20000000.0/100,1,0)</f>
        <v>0</v>
      </c>
      <c r="AN215" s="1">
        <f>IF(AL215&gt;20000000.0/100,1,0)</f>
        <v>0</v>
      </c>
    </row>
    <row r="216" spans="1:40" s="1" customFormat="1">
      <c r="A216" s="3">
        <v>45609</v>
      </c>
      <c r="B216" s="2" t="s">
        <v>24</v>
      </c>
      <c r="C216" s="1">
        <f>SUM(PL!H216:J216)</f>
        <v>0</v>
      </c>
      <c r="D216" s="1">
        <f>SUM(PL!K216:M216)</f>
        <v>0</v>
      </c>
      <c r="E216" s="1">
        <f>SUM(PL!N216:P216)</f>
        <v>0</v>
      </c>
      <c r="F216" s="1">
        <f>SUM(PL!Q216:S216)</f>
        <v>0</v>
      </c>
      <c r="G216" s="1">
        <f>SUM(PL!T216:V216)</f>
        <v>0</v>
      </c>
      <c r="H216" s="1">
        <f>SUM(C216:G216)</f>
        <v>0</v>
      </c>
      <c r="I216" s="1">
        <f>IF(C216 + I215 &lt; 0, C216 + I215, 0)</f>
        <v>0</v>
      </c>
      <c r="J216" s="1">
        <f>IF(D216 + J215 &lt; 0, D216 + J215, 0)</f>
        <v>0</v>
      </c>
      <c r="K216" s="1">
        <f>IF(E216 + K215 &lt; 0, E216 + K215, 0)</f>
        <v>0</v>
      </c>
      <c r="L216" s="1">
        <f>IF(F216 + L215 &lt; 0, F216 + L215, 0)</f>
        <v>0</v>
      </c>
      <c r="M216" s="1">
        <f>IF(G216 + M215 &lt; 0, G216 + M215, 0)</f>
        <v>0</v>
      </c>
      <c r="N216" s="1">
        <f>IF(H216 + N215 &lt; 0, H216 + N215, 0)</f>
        <v>0</v>
      </c>
      <c r="O216" s="1">
        <f>IF(N216 &lt; 0, 1 + O215, 0)</f>
        <v>0</v>
      </c>
      <c r="P216" s="1">
        <f>C216-((ABS(SUM(PL!H216:J216)))*0.125)</f>
        <v>0</v>
      </c>
      <c r="Q216" s="1">
        <f>D216-((ABS(SUM(PL!K216:M216)))*0.125)</f>
        <v>0</v>
      </c>
      <c r="R216" s="1">
        <f>E216-((ABS(SUM(PL!N216:P216)))*0.125)</f>
        <v>0</v>
      </c>
      <c r="S216" s="1">
        <f>F216-((ABS(SUM(PL!Q216:S216)))*0.125)</f>
        <v>0</v>
      </c>
      <c r="T216" s="1">
        <f>G216-((ABS(SUM(PL!T216:V216)))*0.125)</f>
        <v>0</v>
      </c>
      <c r="U216" s="1">
        <f>P216 + Q216 + R216 + S216 + T216</f>
        <v>0</v>
      </c>
      <c r="V216" s="1">
        <f>IF(P216 + V215 &lt; 0, P216 + V215, 0)</f>
        <v>0</v>
      </c>
      <c r="W216" s="1">
        <f>IF(Q216 + W215 &lt; 0, Q216 + W215, 0)</f>
        <v>0</v>
      </c>
      <c r="X216" s="1">
        <f>IF(R216 + X215 &lt; 0, R216 + X215, 0)</f>
        <v>0</v>
      </c>
      <c r="Y216" s="1">
        <f>IF(S216 + Y215 &lt; 0, S216 + Y215, 0)</f>
        <v>0</v>
      </c>
      <c r="Z216" s="1">
        <f>IF(T216 + Z215 &lt; 0, T216 + Z215, 0)</f>
        <v>0</v>
      </c>
      <c r="AA216" s="1">
        <f>IF(U216 + AA215 &lt; 0, U216 + AA215, 0)</f>
        <v>0</v>
      </c>
      <c r="AB216" s="1">
        <f>IF(AA216 &lt; 0, 1 + AB215, 0)</f>
        <v>0</v>
      </c>
      <c r="AC216" s="1">
        <f>IF(H216&lt;0,1,0)</f>
        <v>0</v>
      </c>
      <c r="AD216" s="1">
        <f>IF(AC216=1,H216,0)</f>
        <v>0</v>
      </c>
      <c r="AE216" s="1">
        <f>IF(H216&gt;0,1,0)</f>
        <v>0</v>
      </c>
      <c r="AF216" s="1">
        <f>IF(AE216=1,H216,0)</f>
        <v>0</v>
      </c>
      <c r="AG216" s="1">
        <f>IF(AD216&lt;-20000000.0/100,1,0)</f>
        <v>0</v>
      </c>
      <c r="AH216" s="1">
        <f>IF(AF216&gt;20000000.0/100,1,0)</f>
        <v>0</v>
      </c>
      <c r="AI216" s="1">
        <f>IF(U216&lt;0,1,0)</f>
        <v>0</v>
      </c>
      <c r="AJ216" s="1">
        <f>IF(AI216=1,U216,0)</f>
        <v>0</v>
      </c>
      <c r="AK216" s="1">
        <f>IF(U216&gt;0,1,0)</f>
        <v>0</v>
      </c>
      <c r="AL216" s="1">
        <f>IF(AK216=1,U216,0)</f>
        <v>0</v>
      </c>
      <c r="AM216" s="1">
        <f>IF(AJ216&lt;-20000000.0/100,1,0)</f>
        <v>0</v>
      </c>
      <c r="AN216" s="1">
        <f>IF(AL216&gt;20000000.0/100,1,0)</f>
        <v>0</v>
      </c>
    </row>
    <row r="217" spans="1:40" s="1" customFormat="1">
      <c r="A217" s="3">
        <v>45610</v>
      </c>
      <c r="B217" s="2" t="s">
        <v>25</v>
      </c>
      <c r="C217" s="1">
        <f>SUM(PL!H217:J217)</f>
        <v>0</v>
      </c>
      <c r="D217" s="1">
        <f>SUM(PL!K217:M217)</f>
        <v>0</v>
      </c>
      <c r="E217" s="1">
        <f>SUM(PL!N217:P217)</f>
        <v>0</v>
      </c>
      <c r="F217" s="1">
        <f>SUM(PL!Q217:S217)</f>
        <v>0</v>
      </c>
      <c r="G217" s="1">
        <f>SUM(PL!T217:V217)</f>
        <v>0</v>
      </c>
      <c r="H217" s="1">
        <f>SUM(C217:G217)</f>
        <v>0</v>
      </c>
      <c r="I217" s="1">
        <f>IF(C217 + I216 &lt; 0, C217 + I216, 0)</f>
        <v>0</v>
      </c>
      <c r="J217" s="1">
        <f>IF(D217 + J216 &lt; 0, D217 + J216, 0)</f>
        <v>0</v>
      </c>
      <c r="K217" s="1">
        <f>IF(E217 + K216 &lt; 0, E217 + K216, 0)</f>
        <v>0</v>
      </c>
      <c r="L217" s="1">
        <f>IF(F217 + L216 &lt; 0, F217 + L216, 0)</f>
        <v>0</v>
      </c>
      <c r="M217" s="1">
        <f>IF(G217 + M216 &lt; 0, G217 + M216, 0)</f>
        <v>0</v>
      </c>
      <c r="N217" s="1">
        <f>IF(H217 + N216 &lt; 0, H217 + N216, 0)</f>
        <v>0</v>
      </c>
      <c r="O217" s="1">
        <f>IF(N217 &lt; 0, 1 + O216, 0)</f>
        <v>0</v>
      </c>
      <c r="P217" s="1">
        <f>C217-((ABS(SUM(PL!H217:J217)))*0.125)</f>
        <v>0</v>
      </c>
      <c r="Q217" s="1">
        <f>D217-((ABS(SUM(PL!K217:M217)))*0.125)</f>
        <v>0</v>
      </c>
      <c r="R217" s="1">
        <f>E217-((ABS(SUM(PL!N217:P217)))*0.125)</f>
        <v>0</v>
      </c>
      <c r="S217" s="1">
        <f>F217-((ABS(SUM(PL!Q217:S217)))*0.125)</f>
        <v>0</v>
      </c>
      <c r="T217" s="1">
        <f>G217-((ABS(SUM(PL!T217:V217)))*0.125)</f>
        <v>0</v>
      </c>
      <c r="U217" s="1">
        <f>P217 + Q217 + R217 + S217 + T217</f>
        <v>0</v>
      </c>
      <c r="V217" s="1">
        <f>IF(P217 + V216 &lt; 0, P217 + V216, 0)</f>
        <v>0</v>
      </c>
      <c r="W217" s="1">
        <f>IF(Q217 + W216 &lt; 0, Q217 + W216, 0)</f>
        <v>0</v>
      </c>
      <c r="X217" s="1">
        <f>IF(R217 + X216 &lt; 0, R217 + X216, 0)</f>
        <v>0</v>
      </c>
      <c r="Y217" s="1">
        <f>IF(S217 + Y216 &lt; 0, S217 + Y216, 0)</f>
        <v>0</v>
      </c>
      <c r="Z217" s="1">
        <f>IF(T217 + Z216 &lt; 0, T217 + Z216, 0)</f>
        <v>0</v>
      </c>
      <c r="AA217" s="1">
        <f>IF(U217 + AA216 &lt; 0, U217 + AA216, 0)</f>
        <v>0</v>
      </c>
      <c r="AB217" s="1">
        <f>IF(AA217 &lt; 0, 1 + AB216, 0)</f>
        <v>0</v>
      </c>
      <c r="AC217" s="1">
        <f>IF(H217&lt;0,1,0)</f>
        <v>0</v>
      </c>
      <c r="AD217" s="1">
        <f>IF(AC217=1,H217,0)</f>
        <v>0</v>
      </c>
      <c r="AE217" s="1">
        <f>IF(H217&gt;0,1,0)</f>
        <v>0</v>
      </c>
      <c r="AF217" s="1">
        <f>IF(AE217=1,H217,0)</f>
        <v>0</v>
      </c>
      <c r="AG217" s="1">
        <f>IF(AD217&lt;-20000000.0/100,1,0)</f>
        <v>0</v>
      </c>
      <c r="AH217" s="1">
        <f>IF(AF217&gt;20000000.0/100,1,0)</f>
        <v>0</v>
      </c>
      <c r="AI217" s="1">
        <f>IF(U217&lt;0,1,0)</f>
        <v>0</v>
      </c>
      <c r="AJ217" s="1">
        <f>IF(AI217=1,U217,0)</f>
        <v>0</v>
      </c>
      <c r="AK217" s="1">
        <f>IF(U217&gt;0,1,0)</f>
        <v>0</v>
      </c>
      <c r="AL217" s="1">
        <f>IF(AK217=1,U217,0)</f>
        <v>0</v>
      </c>
      <c r="AM217" s="1">
        <f>IF(AJ217&lt;-20000000.0/100,1,0)</f>
        <v>0</v>
      </c>
      <c r="AN217" s="1">
        <f>IF(AL217&gt;20000000.0/100,1,0)</f>
        <v>0</v>
      </c>
    </row>
    <row r="218" spans="1:40" s="1" customFormat="1">
      <c r="A218" s="3">
        <v>45614</v>
      </c>
      <c r="B218" s="2" t="s">
        <v>22</v>
      </c>
      <c r="C218" s="1">
        <f>SUM(PL!H218:J218)</f>
        <v>0</v>
      </c>
      <c r="D218" s="1">
        <f>SUM(PL!K218:M218)</f>
        <v>0</v>
      </c>
      <c r="E218" s="1">
        <f>SUM(PL!N218:P218)</f>
        <v>0</v>
      </c>
      <c r="F218" s="1">
        <f>SUM(PL!Q218:S218)</f>
        <v>0</v>
      </c>
      <c r="G218" s="1">
        <f>SUM(PL!T218:V218)</f>
        <v>0</v>
      </c>
      <c r="H218" s="1">
        <f>SUM(C218:G218)</f>
        <v>0</v>
      </c>
      <c r="I218" s="1">
        <f>IF(C218 + I217 &lt; 0, C218 + I217, 0)</f>
        <v>0</v>
      </c>
      <c r="J218" s="1">
        <f>IF(D218 + J217 &lt; 0, D218 + J217, 0)</f>
        <v>0</v>
      </c>
      <c r="K218" s="1">
        <f>IF(E218 + K217 &lt; 0, E218 + K217, 0)</f>
        <v>0</v>
      </c>
      <c r="L218" s="1">
        <f>IF(F218 + L217 &lt; 0, F218 + L217, 0)</f>
        <v>0</v>
      </c>
      <c r="M218" s="1">
        <f>IF(G218 + M217 &lt; 0, G218 + M217, 0)</f>
        <v>0</v>
      </c>
      <c r="N218" s="1">
        <f>IF(H218 + N217 &lt; 0, H218 + N217, 0)</f>
        <v>0</v>
      </c>
      <c r="O218" s="1">
        <f>IF(N218 &lt; 0, 1 + O217, 0)</f>
        <v>0</v>
      </c>
      <c r="P218" s="1">
        <f>C218-((ABS(SUM(PL!H218:J218)))*0.125)</f>
        <v>0</v>
      </c>
      <c r="Q218" s="1">
        <f>D218-((ABS(SUM(PL!K218:M218)))*0.125)</f>
        <v>0</v>
      </c>
      <c r="R218" s="1">
        <f>E218-((ABS(SUM(PL!N218:P218)))*0.125)</f>
        <v>0</v>
      </c>
      <c r="S218" s="1">
        <f>F218-((ABS(SUM(PL!Q218:S218)))*0.125)</f>
        <v>0</v>
      </c>
      <c r="T218" s="1">
        <f>G218-((ABS(SUM(PL!T218:V218)))*0.125)</f>
        <v>0</v>
      </c>
      <c r="U218" s="1">
        <f>P218 + Q218 + R218 + S218 + T218</f>
        <v>0</v>
      </c>
      <c r="V218" s="1">
        <f>IF(P218 + V217 &lt; 0, P218 + V217, 0)</f>
        <v>0</v>
      </c>
      <c r="W218" s="1">
        <f>IF(Q218 + W217 &lt; 0, Q218 + W217, 0)</f>
        <v>0</v>
      </c>
      <c r="X218" s="1">
        <f>IF(R218 + X217 &lt; 0, R218 + X217, 0)</f>
        <v>0</v>
      </c>
      <c r="Y218" s="1">
        <f>IF(S218 + Y217 &lt; 0, S218 + Y217, 0)</f>
        <v>0</v>
      </c>
      <c r="Z218" s="1">
        <f>IF(T218 + Z217 &lt; 0, T218 + Z217, 0)</f>
        <v>0</v>
      </c>
      <c r="AA218" s="1">
        <f>IF(U218 + AA217 &lt; 0, U218 + AA217, 0)</f>
        <v>0</v>
      </c>
      <c r="AB218" s="1">
        <f>IF(AA218 &lt; 0, 1 + AB217, 0)</f>
        <v>0</v>
      </c>
      <c r="AC218" s="1">
        <f>IF(H218&lt;0,1,0)</f>
        <v>0</v>
      </c>
      <c r="AD218" s="1">
        <f>IF(AC218=1,H218,0)</f>
        <v>0</v>
      </c>
      <c r="AE218" s="1">
        <f>IF(H218&gt;0,1,0)</f>
        <v>0</v>
      </c>
      <c r="AF218" s="1">
        <f>IF(AE218=1,H218,0)</f>
        <v>0</v>
      </c>
      <c r="AG218" s="1">
        <f>IF(AD218&lt;-20000000.0/100,1,0)</f>
        <v>0</v>
      </c>
      <c r="AH218" s="1">
        <f>IF(AF218&gt;20000000.0/100,1,0)</f>
        <v>0</v>
      </c>
      <c r="AI218" s="1">
        <f>IF(U218&lt;0,1,0)</f>
        <v>0</v>
      </c>
      <c r="AJ218" s="1">
        <f>IF(AI218=1,U218,0)</f>
        <v>0</v>
      </c>
      <c r="AK218" s="1">
        <f>IF(U218&gt;0,1,0)</f>
        <v>0</v>
      </c>
      <c r="AL218" s="1">
        <f>IF(AK218=1,U218,0)</f>
        <v>0</v>
      </c>
      <c r="AM218" s="1">
        <f>IF(AJ218&lt;-20000000.0/100,1,0)</f>
        <v>0</v>
      </c>
      <c r="AN218" s="1">
        <f>IF(AL218&gt;20000000.0/100,1,0)</f>
        <v>0</v>
      </c>
    </row>
    <row r="219" spans="1:40" s="1" customFormat="1">
      <c r="A219" s="3">
        <v>45615</v>
      </c>
      <c r="B219" s="2" t="s">
        <v>23</v>
      </c>
      <c r="C219" s="1">
        <f>SUM(PL!H219:J219)</f>
        <v>0</v>
      </c>
      <c r="D219" s="1">
        <f>SUM(PL!K219:M219)</f>
        <v>0</v>
      </c>
      <c r="E219" s="1">
        <f>SUM(PL!N219:P219)</f>
        <v>0</v>
      </c>
      <c r="F219" s="1">
        <f>SUM(PL!Q219:S219)</f>
        <v>0</v>
      </c>
      <c r="G219" s="1">
        <f>SUM(PL!T219:V219)</f>
        <v>0</v>
      </c>
      <c r="H219" s="1">
        <f>SUM(C219:G219)</f>
        <v>0</v>
      </c>
      <c r="I219" s="1">
        <f>IF(C219 + I218 &lt; 0, C219 + I218, 0)</f>
        <v>0</v>
      </c>
      <c r="J219" s="1">
        <f>IF(D219 + J218 &lt; 0, D219 + J218, 0)</f>
        <v>0</v>
      </c>
      <c r="K219" s="1">
        <f>IF(E219 + K218 &lt; 0, E219 + K218, 0)</f>
        <v>0</v>
      </c>
      <c r="L219" s="1">
        <f>IF(F219 + L218 &lt; 0, F219 + L218, 0)</f>
        <v>0</v>
      </c>
      <c r="M219" s="1">
        <f>IF(G219 + M218 &lt; 0, G219 + M218, 0)</f>
        <v>0</v>
      </c>
      <c r="N219" s="1">
        <f>IF(H219 + N218 &lt; 0, H219 + N218, 0)</f>
        <v>0</v>
      </c>
      <c r="O219" s="1">
        <f>IF(N219 &lt; 0, 1 + O218, 0)</f>
        <v>0</v>
      </c>
      <c r="P219" s="1">
        <f>C219-((ABS(SUM(PL!H219:J219)))*0.125)</f>
        <v>0</v>
      </c>
      <c r="Q219" s="1">
        <f>D219-((ABS(SUM(PL!K219:M219)))*0.125)</f>
        <v>0</v>
      </c>
      <c r="R219" s="1">
        <f>E219-((ABS(SUM(PL!N219:P219)))*0.125)</f>
        <v>0</v>
      </c>
      <c r="S219" s="1">
        <f>F219-((ABS(SUM(PL!Q219:S219)))*0.125)</f>
        <v>0</v>
      </c>
      <c r="T219" s="1">
        <f>G219-((ABS(SUM(PL!T219:V219)))*0.125)</f>
        <v>0</v>
      </c>
      <c r="U219" s="1">
        <f>P219 + Q219 + R219 + S219 + T219</f>
        <v>0</v>
      </c>
      <c r="V219" s="1">
        <f>IF(P219 + V218 &lt; 0, P219 + V218, 0)</f>
        <v>0</v>
      </c>
      <c r="W219" s="1">
        <f>IF(Q219 + W218 &lt; 0, Q219 + W218, 0)</f>
        <v>0</v>
      </c>
      <c r="X219" s="1">
        <f>IF(R219 + X218 &lt; 0, R219 + X218, 0)</f>
        <v>0</v>
      </c>
      <c r="Y219" s="1">
        <f>IF(S219 + Y218 &lt; 0, S219 + Y218, 0)</f>
        <v>0</v>
      </c>
      <c r="Z219" s="1">
        <f>IF(T219 + Z218 &lt; 0, T219 + Z218, 0)</f>
        <v>0</v>
      </c>
      <c r="AA219" s="1">
        <f>IF(U219 + AA218 &lt; 0, U219 + AA218, 0)</f>
        <v>0</v>
      </c>
      <c r="AB219" s="1">
        <f>IF(AA219 &lt; 0, 1 + AB218, 0)</f>
        <v>0</v>
      </c>
      <c r="AC219" s="1">
        <f>IF(H219&lt;0,1,0)</f>
        <v>0</v>
      </c>
      <c r="AD219" s="1">
        <f>IF(AC219=1,H219,0)</f>
        <v>0</v>
      </c>
      <c r="AE219" s="1">
        <f>IF(H219&gt;0,1,0)</f>
        <v>0</v>
      </c>
      <c r="AF219" s="1">
        <f>IF(AE219=1,H219,0)</f>
        <v>0</v>
      </c>
      <c r="AG219" s="1">
        <f>IF(AD219&lt;-20000000.0/100,1,0)</f>
        <v>0</v>
      </c>
      <c r="AH219" s="1">
        <f>IF(AF219&gt;20000000.0/100,1,0)</f>
        <v>0</v>
      </c>
      <c r="AI219" s="1">
        <f>IF(U219&lt;0,1,0)</f>
        <v>0</v>
      </c>
      <c r="AJ219" s="1">
        <f>IF(AI219=1,U219,0)</f>
        <v>0</v>
      </c>
      <c r="AK219" s="1">
        <f>IF(U219&gt;0,1,0)</f>
        <v>0</v>
      </c>
      <c r="AL219" s="1">
        <f>IF(AK219=1,U219,0)</f>
        <v>0</v>
      </c>
      <c r="AM219" s="1">
        <f>IF(AJ219&lt;-20000000.0/100,1,0)</f>
        <v>0</v>
      </c>
      <c r="AN219" s="1">
        <f>IF(AL219&gt;20000000.0/100,1,0)</f>
        <v>0</v>
      </c>
    </row>
    <row r="220" spans="1:40" s="1" customFormat="1">
      <c r="A220" s="3">
        <v>45617</v>
      </c>
      <c r="B220" s="2" t="s">
        <v>25</v>
      </c>
      <c r="C220" s="1">
        <f>SUM(PL!H220:J220)</f>
        <v>0</v>
      </c>
      <c r="D220" s="1">
        <f>SUM(PL!K220:M220)</f>
        <v>0</v>
      </c>
      <c r="E220" s="1">
        <f>SUM(PL!N220:P220)</f>
        <v>0</v>
      </c>
      <c r="F220" s="1">
        <f>SUM(PL!Q220:S220)</f>
        <v>0</v>
      </c>
      <c r="G220" s="1">
        <f>SUM(PL!T220:V220)</f>
        <v>0</v>
      </c>
      <c r="H220" s="1">
        <f>SUM(C220:G220)</f>
        <v>0</v>
      </c>
      <c r="I220" s="1">
        <f>IF(C220 + I219 &lt; 0, C220 + I219, 0)</f>
        <v>0</v>
      </c>
      <c r="J220" s="1">
        <f>IF(D220 + J219 &lt; 0, D220 + J219, 0)</f>
        <v>0</v>
      </c>
      <c r="K220" s="1">
        <f>IF(E220 + K219 &lt; 0, E220 + K219, 0)</f>
        <v>0</v>
      </c>
      <c r="L220" s="1">
        <f>IF(F220 + L219 &lt; 0, F220 + L219, 0)</f>
        <v>0</v>
      </c>
      <c r="M220" s="1">
        <f>IF(G220 + M219 &lt; 0, G220 + M219, 0)</f>
        <v>0</v>
      </c>
      <c r="N220" s="1">
        <f>IF(H220 + N219 &lt; 0, H220 + N219, 0)</f>
        <v>0</v>
      </c>
      <c r="O220" s="1">
        <f>IF(N220 &lt; 0, 1 + O219, 0)</f>
        <v>0</v>
      </c>
      <c r="P220" s="1">
        <f>C220-((ABS(SUM(PL!H220:J220)))*0.125)</f>
        <v>0</v>
      </c>
      <c r="Q220" s="1">
        <f>D220-((ABS(SUM(PL!K220:M220)))*0.125)</f>
        <v>0</v>
      </c>
      <c r="R220" s="1">
        <f>E220-((ABS(SUM(PL!N220:P220)))*0.125)</f>
        <v>0</v>
      </c>
      <c r="S220" s="1">
        <f>F220-((ABS(SUM(PL!Q220:S220)))*0.125)</f>
        <v>0</v>
      </c>
      <c r="T220" s="1">
        <f>G220-((ABS(SUM(PL!T220:V220)))*0.125)</f>
        <v>0</v>
      </c>
      <c r="U220" s="1">
        <f>P220 + Q220 + R220 + S220 + T220</f>
        <v>0</v>
      </c>
      <c r="V220" s="1">
        <f>IF(P220 + V219 &lt; 0, P220 + V219, 0)</f>
        <v>0</v>
      </c>
      <c r="W220" s="1">
        <f>IF(Q220 + W219 &lt; 0, Q220 + W219, 0)</f>
        <v>0</v>
      </c>
      <c r="X220" s="1">
        <f>IF(R220 + X219 &lt; 0, R220 + X219, 0)</f>
        <v>0</v>
      </c>
      <c r="Y220" s="1">
        <f>IF(S220 + Y219 &lt; 0, S220 + Y219, 0)</f>
        <v>0</v>
      </c>
      <c r="Z220" s="1">
        <f>IF(T220 + Z219 &lt; 0, T220 + Z219, 0)</f>
        <v>0</v>
      </c>
      <c r="AA220" s="1">
        <f>IF(U220 + AA219 &lt; 0, U220 + AA219, 0)</f>
        <v>0</v>
      </c>
      <c r="AB220" s="1">
        <f>IF(AA220 &lt; 0, 1 + AB219, 0)</f>
        <v>0</v>
      </c>
      <c r="AC220" s="1">
        <f>IF(H220&lt;0,1,0)</f>
        <v>0</v>
      </c>
      <c r="AD220" s="1">
        <f>IF(AC220=1,H220,0)</f>
        <v>0</v>
      </c>
      <c r="AE220" s="1">
        <f>IF(H220&gt;0,1,0)</f>
        <v>0</v>
      </c>
      <c r="AF220" s="1">
        <f>IF(AE220=1,H220,0)</f>
        <v>0</v>
      </c>
      <c r="AG220" s="1">
        <f>IF(AD220&lt;-20000000.0/100,1,0)</f>
        <v>0</v>
      </c>
      <c r="AH220" s="1">
        <f>IF(AF220&gt;20000000.0/100,1,0)</f>
        <v>0</v>
      </c>
      <c r="AI220" s="1">
        <f>IF(U220&lt;0,1,0)</f>
        <v>0</v>
      </c>
      <c r="AJ220" s="1">
        <f>IF(AI220=1,U220,0)</f>
        <v>0</v>
      </c>
      <c r="AK220" s="1">
        <f>IF(U220&gt;0,1,0)</f>
        <v>0</v>
      </c>
      <c r="AL220" s="1">
        <f>IF(AK220=1,U220,0)</f>
        <v>0</v>
      </c>
      <c r="AM220" s="1">
        <f>IF(AJ220&lt;-20000000.0/100,1,0)</f>
        <v>0</v>
      </c>
      <c r="AN220" s="1">
        <f>IF(AL220&gt;20000000.0/100,1,0)</f>
        <v>0</v>
      </c>
    </row>
    <row r="221" spans="1:40" s="1" customFormat="1">
      <c r="A221" s="3">
        <v>45618</v>
      </c>
      <c r="B221" s="2" t="s">
        <v>26</v>
      </c>
      <c r="C221" s="1">
        <f>SUM(PL!H221:J221)</f>
        <v>0</v>
      </c>
      <c r="D221" s="1">
        <f>SUM(PL!K221:M221)</f>
        <v>0</v>
      </c>
      <c r="E221" s="1">
        <f>SUM(PL!N221:P221)</f>
        <v>0</v>
      </c>
      <c r="F221" s="1">
        <f>SUM(PL!Q221:S221)</f>
        <v>0</v>
      </c>
      <c r="G221" s="1">
        <f>SUM(PL!T221:V221)</f>
        <v>0</v>
      </c>
      <c r="H221" s="1">
        <f>SUM(C221:G221)</f>
        <v>0</v>
      </c>
      <c r="I221" s="1">
        <f>IF(C221 + I220 &lt; 0, C221 + I220, 0)</f>
        <v>0</v>
      </c>
      <c r="J221" s="1">
        <f>IF(D221 + J220 &lt; 0, D221 + J220, 0)</f>
        <v>0</v>
      </c>
      <c r="K221" s="1">
        <f>IF(E221 + K220 &lt; 0, E221 + K220, 0)</f>
        <v>0</v>
      </c>
      <c r="L221" s="1">
        <f>IF(F221 + L220 &lt; 0, F221 + L220, 0)</f>
        <v>0</v>
      </c>
      <c r="M221" s="1">
        <f>IF(G221 + M220 &lt; 0, G221 + M220, 0)</f>
        <v>0</v>
      </c>
      <c r="N221" s="1">
        <f>IF(H221 + N220 &lt; 0, H221 + N220, 0)</f>
        <v>0</v>
      </c>
      <c r="O221" s="1">
        <f>IF(N221 &lt; 0, 1 + O220, 0)</f>
        <v>0</v>
      </c>
      <c r="P221" s="1">
        <f>C221-((ABS(SUM(PL!H221:J221)))*0.125)</f>
        <v>0</v>
      </c>
      <c r="Q221" s="1">
        <f>D221-((ABS(SUM(PL!K221:M221)))*0.125)</f>
        <v>0</v>
      </c>
      <c r="R221" s="1">
        <f>E221-((ABS(SUM(PL!N221:P221)))*0.125)</f>
        <v>0</v>
      </c>
      <c r="S221" s="1">
        <f>F221-((ABS(SUM(PL!Q221:S221)))*0.125)</f>
        <v>0</v>
      </c>
      <c r="T221" s="1">
        <f>G221-((ABS(SUM(PL!T221:V221)))*0.125)</f>
        <v>0</v>
      </c>
      <c r="U221" s="1">
        <f>P221 + Q221 + R221 + S221 + T221</f>
        <v>0</v>
      </c>
      <c r="V221" s="1">
        <f>IF(P221 + V220 &lt; 0, P221 + V220, 0)</f>
        <v>0</v>
      </c>
      <c r="W221" s="1">
        <f>IF(Q221 + W220 &lt; 0, Q221 + W220, 0)</f>
        <v>0</v>
      </c>
      <c r="X221" s="1">
        <f>IF(R221 + X220 &lt; 0, R221 + X220, 0)</f>
        <v>0</v>
      </c>
      <c r="Y221" s="1">
        <f>IF(S221 + Y220 &lt; 0, S221 + Y220, 0)</f>
        <v>0</v>
      </c>
      <c r="Z221" s="1">
        <f>IF(T221 + Z220 &lt; 0, T221 + Z220, 0)</f>
        <v>0</v>
      </c>
      <c r="AA221" s="1">
        <f>IF(U221 + AA220 &lt; 0, U221 + AA220, 0)</f>
        <v>0</v>
      </c>
      <c r="AB221" s="1">
        <f>IF(AA221 &lt; 0, 1 + AB220, 0)</f>
        <v>0</v>
      </c>
      <c r="AC221" s="1">
        <f>IF(H221&lt;0,1,0)</f>
        <v>0</v>
      </c>
      <c r="AD221" s="1">
        <f>IF(AC221=1,H221,0)</f>
        <v>0</v>
      </c>
      <c r="AE221" s="1">
        <f>IF(H221&gt;0,1,0)</f>
        <v>0</v>
      </c>
      <c r="AF221" s="1">
        <f>IF(AE221=1,H221,0)</f>
        <v>0</v>
      </c>
      <c r="AG221" s="1">
        <f>IF(AD221&lt;-20000000.0/100,1,0)</f>
        <v>0</v>
      </c>
      <c r="AH221" s="1">
        <f>IF(AF221&gt;20000000.0/100,1,0)</f>
        <v>0</v>
      </c>
      <c r="AI221" s="1">
        <f>IF(U221&lt;0,1,0)</f>
        <v>0</v>
      </c>
      <c r="AJ221" s="1">
        <f>IF(AI221=1,U221,0)</f>
        <v>0</v>
      </c>
      <c r="AK221" s="1">
        <f>IF(U221&gt;0,1,0)</f>
        <v>0</v>
      </c>
      <c r="AL221" s="1">
        <f>IF(AK221=1,U221,0)</f>
        <v>0</v>
      </c>
      <c r="AM221" s="1">
        <f>IF(AJ221&lt;-20000000.0/100,1,0)</f>
        <v>0</v>
      </c>
      <c r="AN221" s="1">
        <f>IF(AL221&gt;20000000.0/100,1,0)</f>
        <v>0</v>
      </c>
    </row>
    <row r="222" spans="1:40" s="1" customFormat="1">
      <c r="A222" s="3">
        <v>45621</v>
      </c>
      <c r="B222" s="2" t="s">
        <v>22</v>
      </c>
      <c r="C222" s="1">
        <f>SUM(PL!H222:J222)</f>
        <v>0</v>
      </c>
      <c r="D222" s="1">
        <f>SUM(PL!K222:M222)</f>
        <v>0</v>
      </c>
      <c r="E222" s="1">
        <f>SUM(PL!N222:P222)</f>
        <v>0</v>
      </c>
      <c r="F222" s="1">
        <f>SUM(PL!Q222:S222)</f>
        <v>0</v>
      </c>
      <c r="G222" s="1">
        <f>SUM(PL!T222:V222)</f>
        <v>0</v>
      </c>
      <c r="H222" s="1">
        <f>SUM(C222:G222)</f>
        <v>0</v>
      </c>
      <c r="I222" s="1">
        <f>IF(C222 + I221 &lt; 0, C222 + I221, 0)</f>
        <v>0</v>
      </c>
      <c r="J222" s="1">
        <f>IF(D222 + J221 &lt; 0, D222 + J221, 0)</f>
        <v>0</v>
      </c>
      <c r="K222" s="1">
        <f>IF(E222 + K221 &lt; 0, E222 + K221, 0)</f>
        <v>0</v>
      </c>
      <c r="L222" s="1">
        <f>IF(F222 + L221 &lt; 0, F222 + L221, 0)</f>
        <v>0</v>
      </c>
      <c r="M222" s="1">
        <f>IF(G222 + M221 &lt; 0, G222 + M221, 0)</f>
        <v>0</v>
      </c>
      <c r="N222" s="1">
        <f>IF(H222 + N221 &lt; 0, H222 + N221, 0)</f>
        <v>0</v>
      </c>
      <c r="O222" s="1">
        <f>IF(N222 &lt; 0, 1 + O221, 0)</f>
        <v>0</v>
      </c>
      <c r="P222" s="1">
        <f>C222-((ABS(SUM(PL!H222:J222)))*0.125)</f>
        <v>0</v>
      </c>
      <c r="Q222" s="1">
        <f>D222-((ABS(SUM(PL!K222:M222)))*0.125)</f>
        <v>0</v>
      </c>
      <c r="R222" s="1">
        <f>E222-((ABS(SUM(PL!N222:P222)))*0.125)</f>
        <v>0</v>
      </c>
      <c r="S222" s="1">
        <f>F222-((ABS(SUM(PL!Q222:S222)))*0.125)</f>
        <v>0</v>
      </c>
      <c r="T222" s="1">
        <f>G222-((ABS(SUM(PL!T222:V222)))*0.125)</f>
        <v>0</v>
      </c>
      <c r="U222" s="1">
        <f>P222 + Q222 + R222 + S222 + T222</f>
        <v>0</v>
      </c>
      <c r="V222" s="1">
        <f>IF(P222 + V221 &lt; 0, P222 + V221, 0)</f>
        <v>0</v>
      </c>
      <c r="W222" s="1">
        <f>IF(Q222 + W221 &lt; 0, Q222 + W221, 0)</f>
        <v>0</v>
      </c>
      <c r="X222" s="1">
        <f>IF(R222 + X221 &lt; 0, R222 + X221, 0)</f>
        <v>0</v>
      </c>
      <c r="Y222" s="1">
        <f>IF(S222 + Y221 &lt; 0, S222 + Y221, 0)</f>
        <v>0</v>
      </c>
      <c r="Z222" s="1">
        <f>IF(T222 + Z221 &lt; 0, T222 + Z221, 0)</f>
        <v>0</v>
      </c>
      <c r="AA222" s="1">
        <f>IF(U222 + AA221 &lt; 0, U222 + AA221, 0)</f>
        <v>0</v>
      </c>
      <c r="AB222" s="1">
        <f>IF(AA222 &lt; 0, 1 + AB221, 0)</f>
        <v>0</v>
      </c>
      <c r="AC222" s="1">
        <f>IF(H222&lt;0,1,0)</f>
        <v>0</v>
      </c>
      <c r="AD222" s="1">
        <f>IF(AC222=1,H222,0)</f>
        <v>0</v>
      </c>
      <c r="AE222" s="1">
        <f>IF(H222&gt;0,1,0)</f>
        <v>0</v>
      </c>
      <c r="AF222" s="1">
        <f>IF(AE222=1,H222,0)</f>
        <v>0</v>
      </c>
      <c r="AG222" s="1">
        <f>IF(AD222&lt;-20000000.0/100,1,0)</f>
        <v>0</v>
      </c>
      <c r="AH222" s="1">
        <f>IF(AF222&gt;20000000.0/100,1,0)</f>
        <v>0</v>
      </c>
      <c r="AI222" s="1">
        <f>IF(U222&lt;0,1,0)</f>
        <v>0</v>
      </c>
      <c r="AJ222" s="1">
        <f>IF(AI222=1,U222,0)</f>
        <v>0</v>
      </c>
      <c r="AK222" s="1">
        <f>IF(U222&gt;0,1,0)</f>
        <v>0</v>
      </c>
      <c r="AL222" s="1">
        <f>IF(AK222=1,U222,0)</f>
        <v>0</v>
      </c>
      <c r="AM222" s="1">
        <f>IF(AJ222&lt;-20000000.0/100,1,0)</f>
        <v>0</v>
      </c>
      <c r="AN222" s="1">
        <f>IF(AL222&gt;20000000.0/100,1,0)</f>
        <v>0</v>
      </c>
    </row>
    <row r="223" spans="1:40" s="1" customFormat="1">
      <c r="A223" s="3">
        <v>45622</v>
      </c>
      <c r="B223" s="2" t="s">
        <v>23</v>
      </c>
      <c r="C223" s="1">
        <f>SUM(PL!H223:J223)</f>
        <v>0</v>
      </c>
      <c r="D223" s="1">
        <f>SUM(PL!K223:M223)</f>
        <v>0</v>
      </c>
      <c r="E223" s="1">
        <f>SUM(PL!N223:P223)</f>
        <v>0</v>
      </c>
      <c r="F223" s="1">
        <f>SUM(PL!Q223:S223)</f>
        <v>0</v>
      </c>
      <c r="G223" s="1">
        <f>SUM(PL!T223:V223)</f>
        <v>0</v>
      </c>
      <c r="H223" s="1">
        <f>SUM(C223:G223)</f>
        <v>0</v>
      </c>
      <c r="I223" s="1">
        <f>IF(C223 + I222 &lt; 0, C223 + I222, 0)</f>
        <v>0</v>
      </c>
      <c r="J223" s="1">
        <f>IF(D223 + J222 &lt; 0, D223 + J222, 0)</f>
        <v>0</v>
      </c>
      <c r="K223" s="1">
        <f>IF(E223 + K222 &lt; 0, E223 + K222, 0)</f>
        <v>0</v>
      </c>
      <c r="L223" s="1">
        <f>IF(F223 + L222 &lt; 0, F223 + L222, 0)</f>
        <v>0</v>
      </c>
      <c r="M223" s="1">
        <f>IF(G223 + M222 &lt; 0, G223 + M222, 0)</f>
        <v>0</v>
      </c>
      <c r="N223" s="1">
        <f>IF(H223 + N222 &lt; 0, H223 + N222, 0)</f>
        <v>0</v>
      </c>
      <c r="O223" s="1">
        <f>IF(N223 &lt; 0, 1 + O222, 0)</f>
        <v>0</v>
      </c>
      <c r="P223" s="1">
        <f>C223-((ABS(SUM(PL!H223:J223)))*0.125)</f>
        <v>0</v>
      </c>
      <c r="Q223" s="1">
        <f>D223-((ABS(SUM(PL!K223:M223)))*0.125)</f>
        <v>0</v>
      </c>
      <c r="R223" s="1">
        <f>E223-((ABS(SUM(PL!N223:P223)))*0.125)</f>
        <v>0</v>
      </c>
      <c r="S223" s="1">
        <f>F223-((ABS(SUM(PL!Q223:S223)))*0.125)</f>
        <v>0</v>
      </c>
      <c r="T223" s="1">
        <f>G223-((ABS(SUM(PL!T223:V223)))*0.125)</f>
        <v>0</v>
      </c>
      <c r="U223" s="1">
        <f>P223 + Q223 + R223 + S223 + T223</f>
        <v>0</v>
      </c>
      <c r="V223" s="1">
        <f>IF(P223 + V222 &lt; 0, P223 + V222, 0)</f>
        <v>0</v>
      </c>
      <c r="W223" s="1">
        <f>IF(Q223 + W222 &lt; 0, Q223 + W222, 0)</f>
        <v>0</v>
      </c>
      <c r="X223" s="1">
        <f>IF(R223 + X222 &lt; 0, R223 + X222, 0)</f>
        <v>0</v>
      </c>
      <c r="Y223" s="1">
        <f>IF(S223 + Y222 &lt; 0, S223 + Y222, 0)</f>
        <v>0</v>
      </c>
      <c r="Z223" s="1">
        <f>IF(T223 + Z222 &lt; 0, T223 + Z222, 0)</f>
        <v>0</v>
      </c>
      <c r="AA223" s="1">
        <f>IF(U223 + AA222 &lt; 0, U223 + AA222, 0)</f>
        <v>0</v>
      </c>
      <c r="AB223" s="1">
        <f>IF(AA223 &lt; 0, 1 + AB222, 0)</f>
        <v>0</v>
      </c>
      <c r="AC223" s="1">
        <f>IF(H223&lt;0,1,0)</f>
        <v>0</v>
      </c>
      <c r="AD223" s="1">
        <f>IF(AC223=1,H223,0)</f>
        <v>0</v>
      </c>
      <c r="AE223" s="1">
        <f>IF(H223&gt;0,1,0)</f>
        <v>0</v>
      </c>
      <c r="AF223" s="1">
        <f>IF(AE223=1,H223,0)</f>
        <v>0</v>
      </c>
      <c r="AG223" s="1">
        <f>IF(AD223&lt;-20000000.0/100,1,0)</f>
        <v>0</v>
      </c>
      <c r="AH223" s="1">
        <f>IF(AF223&gt;20000000.0/100,1,0)</f>
        <v>0</v>
      </c>
      <c r="AI223" s="1">
        <f>IF(U223&lt;0,1,0)</f>
        <v>0</v>
      </c>
      <c r="AJ223" s="1">
        <f>IF(AI223=1,U223,0)</f>
        <v>0</v>
      </c>
      <c r="AK223" s="1">
        <f>IF(U223&gt;0,1,0)</f>
        <v>0</v>
      </c>
      <c r="AL223" s="1">
        <f>IF(AK223=1,U223,0)</f>
        <v>0</v>
      </c>
      <c r="AM223" s="1">
        <f>IF(AJ223&lt;-20000000.0/100,1,0)</f>
        <v>0</v>
      </c>
      <c r="AN223" s="1">
        <f>IF(AL223&gt;20000000.0/100,1,0)</f>
        <v>0</v>
      </c>
    </row>
    <row r="224" spans="1:40" s="1" customFormat="1">
      <c r="A224" s="3">
        <v>45623</v>
      </c>
      <c r="B224" s="2" t="s">
        <v>24</v>
      </c>
      <c r="C224" s="1">
        <f>SUM(PL!H224:J224)</f>
        <v>0</v>
      </c>
      <c r="D224" s="1">
        <f>SUM(PL!K224:M224)</f>
        <v>0</v>
      </c>
      <c r="E224" s="1">
        <f>SUM(PL!N224:P224)</f>
        <v>0</v>
      </c>
      <c r="F224" s="1">
        <f>SUM(PL!Q224:S224)</f>
        <v>0</v>
      </c>
      <c r="G224" s="1">
        <f>SUM(PL!T224:V224)</f>
        <v>0</v>
      </c>
      <c r="H224" s="1">
        <f>SUM(C224:G224)</f>
        <v>0</v>
      </c>
      <c r="I224" s="1">
        <f>IF(C224 + I223 &lt; 0, C224 + I223, 0)</f>
        <v>0</v>
      </c>
      <c r="J224" s="1">
        <f>IF(D224 + J223 &lt; 0, D224 + J223, 0)</f>
        <v>0</v>
      </c>
      <c r="K224" s="1">
        <f>IF(E224 + K223 &lt; 0, E224 + K223, 0)</f>
        <v>0</v>
      </c>
      <c r="L224" s="1">
        <f>IF(F224 + L223 &lt; 0, F224 + L223, 0)</f>
        <v>0</v>
      </c>
      <c r="M224" s="1">
        <f>IF(G224 + M223 &lt; 0, G224 + M223, 0)</f>
        <v>0</v>
      </c>
      <c r="N224" s="1">
        <f>IF(H224 + N223 &lt; 0, H224 + N223, 0)</f>
        <v>0</v>
      </c>
      <c r="O224" s="1">
        <f>IF(N224 &lt; 0, 1 + O223, 0)</f>
        <v>0</v>
      </c>
      <c r="P224" s="1">
        <f>C224-((ABS(SUM(PL!H224:J224)))*0.125)</f>
        <v>0</v>
      </c>
      <c r="Q224" s="1">
        <f>D224-((ABS(SUM(PL!K224:M224)))*0.125)</f>
        <v>0</v>
      </c>
      <c r="R224" s="1">
        <f>E224-((ABS(SUM(PL!N224:P224)))*0.125)</f>
        <v>0</v>
      </c>
      <c r="S224" s="1">
        <f>F224-((ABS(SUM(PL!Q224:S224)))*0.125)</f>
        <v>0</v>
      </c>
      <c r="T224" s="1">
        <f>G224-((ABS(SUM(PL!T224:V224)))*0.125)</f>
        <v>0</v>
      </c>
      <c r="U224" s="1">
        <f>P224 + Q224 + R224 + S224 + T224</f>
        <v>0</v>
      </c>
      <c r="V224" s="1">
        <f>IF(P224 + V223 &lt; 0, P224 + V223, 0)</f>
        <v>0</v>
      </c>
      <c r="W224" s="1">
        <f>IF(Q224 + W223 &lt; 0, Q224 + W223, 0)</f>
        <v>0</v>
      </c>
      <c r="X224" s="1">
        <f>IF(R224 + X223 &lt; 0, R224 + X223, 0)</f>
        <v>0</v>
      </c>
      <c r="Y224" s="1">
        <f>IF(S224 + Y223 &lt; 0, S224 + Y223, 0)</f>
        <v>0</v>
      </c>
      <c r="Z224" s="1">
        <f>IF(T224 + Z223 &lt; 0, T224 + Z223, 0)</f>
        <v>0</v>
      </c>
      <c r="AA224" s="1">
        <f>IF(U224 + AA223 &lt; 0, U224 + AA223, 0)</f>
        <v>0</v>
      </c>
      <c r="AB224" s="1">
        <f>IF(AA224 &lt; 0, 1 + AB223, 0)</f>
        <v>0</v>
      </c>
      <c r="AC224" s="1">
        <f>IF(H224&lt;0,1,0)</f>
        <v>0</v>
      </c>
      <c r="AD224" s="1">
        <f>IF(AC224=1,H224,0)</f>
        <v>0</v>
      </c>
      <c r="AE224" s="1">
        <f>IF(H224&gt;0,1,0)</f>
        <v>0</v>
      </c>
      <c r="AF224" s="1">
        <f>IF(AE224=1,H224,0)</f>
        <v>0</v>
      </c>
      <c r="AG224" s="1">
        <f>IF(AD224&lt;-20000000.0/100,1,0)</f>
        <v>0</v>
      </c>
      <c r="AH224" s="1">
        <f>IF(AF224&gt;20000000.0/100,1,0)</f>
        <v>0</v>
      </c>
      <c r="AI224" s="1">
        <f>IF(U224&lt;0,1,0)</f>
        <v>0</v>
      </c>
      <c r="AJ224" s="1">
        <f>IF(AI224=1,U224,0)</f>
        <v>0</v>
      </c>
      <c r="AK224" s="1">
        <f>IF(U224&gt;0,1,0)</f>
        <v>0</v>
      </c>
      <c r="AL224" s="1">
        <f>IF(AK224=1,U224,0)</f>
        <v>0</v>
      </c>
      <c r="AM224" s="1">
        <f>IF(AJ224&lt;-20000000.0/100,1,0)</f>
        <v>0</v>
      </c>
      <c r="AN224" s="1">
        <f>IF(AL224&gt;20000000.0/100,1,0)</f>
        <v>0</v>
      </c>
    </row>
    <row r="225" spans="1:40" s="1" customFormat="1">
      <c r="A225" s="3">
        <v>45624</v>
      </c>
      <c r="B225" s="2" t="s">
        <v>25</v>
      </c>
      <c r="C225" s="1">
        <f>SUM(PL!H225:J225)</f>
        <v>0</v>
      </c>
      <c r="D225" s="1">
        <f>SUM(PL!K225:M225)</f>
        <v>0</v>
      </c>
      <c r="E225" s="1">
        <f>SUM(PL!N225:P225)</f>
        <v>0</v>
      </c>
      <c r="F225" s="1">
        <f>SUM(PL!Q225:S225)</f>
        <v>0</v>
      </c>
      <c r="G225" s="1">
        <f>SUM(PL!T225:V225)</f>
        <v>0</v>
      </c>
      <c r="H225" s="1">
        <f>SUM(C225:G225)</f>
        <v>0</v>
      </c>
      <c r="I225" s="1">
        <f>IF(C225 + I224 &lt; 0, C225 + I224, 0)</f>
        <v>0</v>
      </c>
      <c r="J225" s="1">
        <f>IF(D225 + J224 &lt; 0, D225 + J224, 0)</f>
        <v>0</v>
      </c>
      <c r="K225" s="1">
        <f>IF(E225 + K224 &lt; 0, E225 + K224, 0)</f>
        <v>0</v>
      </c>
      <c r="L225" s="1">
        <f>IF(F225 + L224 &lt; 0, F225 + L224, 0)</f>
        <v>0</v>
      </c>
      <c r="M225" s="1">
        <f>IF(G225 + M224 &lt; 0, G225 + M224, 0)</f>
        <v>0</v>
      </c>
      <c r="N225" s="1">
        <f>IF(H225 + N224 &lt; 0, H225 + N224, 0)</f>
        <v>0</v>
      </c>
      <c r="O225" s="1">
        <f>IF(N225 &lt; 0, 1 + O224, 0)</f>
        <v>0</v>
      </c>
      <c r="P225" s="1">
        <f>C225-((ABS(SUM(PL!H225:J225)))*0.125)</f>
        <v>0</v>
      </c>
      <c r="Q225" s="1">
        <f>D225-((ABS(SUM(PL!K225:M225)))*0.125)</f>
        <v>0</v>
      </c>
      <c r="R225" s="1">
        <f>E225-((ABS(SUM(PL!N225:P225)))*0.125)</f>
        <v>0</v>
      </c>
      <c r="S225" s="1">
        <f>F225-((ABS(SUM(PL!Q225:S225)))*0.125)</f>
        <v>0</v>
      </c>
      <c r="T225" s="1">
        <f>G225-((ABS(SUM(PL!T225:V225)))*0.125)</f>
        <v>0</v>
      </c>
      <c r="U225" s="1">
        <f>P225 + Q225 + R225 + S225 + T225</f>
        <v>0</v>
      </c>
      <c r="V225" s="1">
        <f>IF(P225 + V224 &lt; 0, P225 + V224, 0)</f>
        <v>0</v>
      </c>
      <c r="W225" s="1">
        <f>IF(Q225 + W224 &lt; 0, Q225 + W224, 0)</f>
        <v>0</v>
      </c>
      <c r="X225" s="1">
        <f>IF(R225 + X224 &lt; 0, R225 + X224, 0)</f>
        <v>0</v>
      </c>
      <c r="Y225" s="1">
        <f>IF(S225 + Y224 &lt; 0, S225 + Y224, 0)</f>
        <v>0</v>
      </c>
      <c r="Z225" s="1">
        <f>IF(T225 + Z224 &lt; 0, T225 + Z224, 0)</f>
        <v>0</v>
      </c>
      <c r="AA225" s="1">
        <f>IF(U225 + AA224 &lt; 0, U225 + AA224, 0)</f>
        <v>0</v>
      </c>
      <c r="AB225" s="1">
        <f>IF(AA225 &lt; 0, 1 + AB224, 0)</f>
        <v>0</v>
      </c>
      <c r="AC225" s="1">
        <f>IF(H225&lt;0,1,0)</f>
        <v>0</v>
      </c>
      <c r="AD225" s="1">
        <f>IF(AC225=1,H225,0)</f>
        <v>0</v>
      </c>
      <c r="AE225" s="1">
        <f>IF(H225&gt;0,1,0)</f>
        <v>0</v>
      </c>
      <c r="AF225" s="1">
        <f>IF(AE225=1,H225,0)</f>
        <v>0</v>
      </c>
      <c r="AG225" s="1">
        <f>IF(AD225&lt;-20000000.0/100,1,0)</f>
        <v>0</v>
      </c>
      <c r="AH225" s="1">
        <f>IF(AF225&gt;20000000.0/100,1,0)</f>
        <v>0</v>
      </c>
      <c r="AI225" s="1">
        <f>IF(U225&lt;0,1,0)</f>
        <v>0</v>
      </c>
      <c r="AJ225" s="1">
        <f>IF(AI225=1,U225,0)</f>
        <v>0</v>
      </c>
      <c r="AK225" s="1">
        <f>IF(U225&gt;0,1,0)</f>
        <v>0</v>
      </c>
      <c r="AL225" s="1">
        <f>IF(AK225=1,U225,0)</f>
        <v>0</v>
      </c>
      <c r="AM225" s="1">
        <f>IF(AJ225&lt;-20000000.0/100,1,0)</f>
        <v>0</v>
      </c>
      <c r="AN225" s="1">
        <f>IF(AL225&gt;20000000.0/100,1,0)</f>
        <v>0</v>
      </c>
    </row>
    <row r="226" spans="1:40" s="1" customFormat="1">
      <c r="A226" s="3">
        <v>45625</v>
      </c>
      <c r="B226" s="2" t="s">
        <v>26</v>
      </c>
      <c r="C226" s="1">
        <f>SUM(PL!H226:J226)</f>
        <v>0</v>
      </c>
      <c r="D226" s="1">
        <f>SUM(PL!K226:M226)</f>
        <v>0</v>
      </c>
      <c r="E226" s="1">
        <f>SUM(PL!N226:P226)</f>
        <v>0</v>
      </c>
      <c r="F226" s="1">
        <f>SUM(PL!Q226:S226)</f>
        <v>0</v>
      </c>
      <c r="G226" s="1">
        <f>SUM(PL!T226:V226)</f>
        <v>0</v>
      </c>
      <c r="H226" s="1">
        <f>SUM(C226:G226)</f>
        <v>0</v>
      </c>
      <c r="I226" s="1">
        <f>IF(C226 + I225 &lt; 0, C226 + I225, 0)</f>
        <v>0</v>
      </c>
      <c r="J226" s="1">
        <f>IF(D226 + J225 &lt; 0, D226 + J225, 0)</f>
        <v>0</v>
      </c>
      <c r="K226" s="1">
        <f>IF(E226 + K225 &lt; 0, E226 + K225, 0)</f>
        <v>0</v>
      </c>
      <c r="L226" s="1">
        <f>IF(F226 + L225 &lt; 0, F226 + L225, 0)</f>
        <v>0</v>
      </c>
      <c r="M226" s="1">
        <f>IF(G226 + M225 &lt; 0, G226 + M225, 0)</f>
        <v>0</v>
      </c>
      <c r="N226" s="1">
        <f>IF(H226 + N225 &lt; 0, H226 + N225, 0)</f>
        <v>0</v>
      </c>
      <c r="O226" s="1">
        <f>IF(N226 &lt; 0, 1 + O225, 0)</f>
        <v>0</v>
      </c>
      <c r="P226" s="1">
        <f>C226-((ABS(SUM(PL!H226:J226)))*0.125)</f>
        <v>0</v>
      </c>
      <c r="Q226" s="1">
        <f>D226-((ABS(SUM(PL!K226:M226)))*0.125)</f>
        <v>0</v>
      </c>
      <c r="R226" s="1">
        <f>E226-((ABS(SUM(PL!N226:P226)))*0.125)</f>
        <v>0</v>
      </c>
      <c r="S226" s="1">
        <f>F226-((ABS(SUM(PL!Q226:S226)))*0.125)</f>
        <v>0</v>
      </c>
      <c r="T226" s="1">
        <f>G226-((ABS(SUM(PL!T226:V226)))*0.125)</f>
        <v>0</v>
      </c>
      <c r="U226" s="1">
        <f>P226 + Q226 + R226 + S226 + T226</f>
        <v>0</v>
      </c>
      <c r="V226" s="1">
        <f>IF(P226 + V225 &lt; 0, P226 + V225, 0)</f>
        <v>0</v>
      </c>
      <c r="W226" s="1">
        <f>IF(Q226 + W225 &lt; 0, Q226 + W225, 0)</f>
        <v>0</v>
      </c>
      <c r="X226" s="1">
        <f>IF(R226 + X225 &lt; 0, R226 + X225, 0)</f>
        <v>0</v>
      </c>
      <c r="Y226" s="1">
        <f>IF(S226 + Y225 &lt; 0, S226 + Y225, 0)</f>
        <v>0</v>
      </c>
      <c r="Z226" s="1">
        <f>IF(T226 + Z225 &lt; 0, T226 + Z225, 0)</f>
        <v>0</v>
      </c>
      <c r="AA226" s="1">
        <f>IF(U226 + AA225 &lt; 0, U226 + AA225, 0)</f>
        <v>0</v>
      </c>
      <c r="AB226" s="1">
        <f>IF(AA226 &lt; 0, 1 + AB225, 0)</f>
        <v>0</v>
      </c>
      <c r="AC226" s="1">
        <f>IF(H226&lt;0,1,0)</f>
        <v>0</v>
      </c>
      <c r="AD226" s="1">
        <f>IF(AC226=1,H226,0)</f>
        <v>0</v>
      </c>
      <c r="AE226" s="1">
        <f>IF(H226&gt;0,1,0)</f>
        <v>0</v>
      </c>
      <c r="AF226" s="1">
        <f>IF(AE226=1,H226,0)</f>
        <v>0</v>
      </c>
      <c r="AG226" s="1">
        <f>IF(AD226&lt;-20000000.0/100,1,0)</f>
        <v>0</v>
      </c>
      <c r="AH226" s="1">
        <f>IF(AF226&gt;20000000.0/100,1,0)</f>
        <v>0</v>
      </c>
      <c r="AI226" s="1">
        <f>IF(U226&lt;0,1,0)</f>
        <v>0</v>
      </c>
      <c r="AJ226" s="1">
        <f>IF(AI226=1,U226,0)</f>
        <v>0</v>
      </c>
      <c r="AK226" s="1">
        <f>IF(U226&gt;0,1,0)</f>
        <v>0</v>
      </c>
      <c r="AL226" s="1">
        <f>IF(AK226=1,U226,0)</f>
        <v>0</v>
      </c>
      <c r="AM226" s="1">
        <f>IF(AJ226&lt;-20000000.0/100,1,0)</f>
        <v>0</v>
      </c>
      <c r="AN226" s="1">
        <f>IF(AL226&gt;20000000.0/100,1,0)</f>
        <v>0</v>
      </c>
    </row>
    <row r="227" spans="1:40" s="1" customFormat="1">
      <c r="A227" s="3">
        <v>45628</v>
      </c>
      <c r="B227" s="2" t="s">
        <v>22</v>
      </c>
      <c r="C227" s="1">
        <f>SUM(PL!H227:J227)</f>
        <v>0</v>
      </c>
      <c r="D227" s="1">
        <f>SUM(PL!K227:M227)</f>
        <v>0</v>
      </c>
      <c r="E227" s="1">
        <f>SUM(PL!N227:P227)</f>
        <v>0</v>
      </c>
      <c r="F227" s="1">
        <f>SUM(PL!Q227:S227)</f>
        <v>0</v>
      </c>
      <c r="G227" s="1">
        <f>SUM(PL!T227:V227)</f>
        <v>0</v>
      </c>
      <c r="H227" s="1">
        <f>SUM(C227:G227)</f>
        <v>0</v>
      </c>
      <c r="I227" s="1">
        <f>IF(C227 + I226 &lt; 0, C227 + I226, 0)</f>
        <v>0</v>
      </c>
      <c r="J227" s="1">
        <f>IF(D227 + J226 &lt; 0, D227 + J226, 0)</f>
        <v>0</v>
      </c>
      <c r="K227" s="1">
        <f>IF(E227 + K226 &lt; 0, E227 + K226, 0)</f>
        <v>0</v>
      </c>
      <c r="L227" s="1">
        <f>IF(F227 + L226 &lt; 0, F227 + L226, 0)</f>
        <v>0</v>
      </c>
      <c r="M227" s="1">
        <f>IF(G227 + M226 &lt; 0, G227 + M226, 0)</f>
        <v>0</v>
      </c>
      <c r="N227" s="1">
        <f>IF(H227 + N226 &lt; 0, H227 + N226, 0)</f>
        <v>0</v>
      </c>
      <c r="O227" s="1">
        <f>IF(N227 &lt; 0, 1 + O226, 0)</f>
        <v>0</v>
      </c>
      <c r="P227" s="1">
        <f>C227-((ABS(SUM(PL!H227:J227)))*0.125)</f>
        <v>0</v>
      </c>
      <c r="Q227" s="1">
        <f>D227-((ABS(SUM(PL!K227:M227)))*0.125)</f>
        <v>0</v>
      </c>
      <c r="R227" s="1">
        <f>E227-((ABS(SUM(PL!N227:P227)))*0.125)</f>
        <v>0</v>
      </c>
      <c r="S227" s="1">
        <f>F227-((ABS(SUM(PL!Q227:S227)))*0.125)</f>
        <v>0</v>
      </c>
      <c r="T227" s="1">
        <f>G227-((ABS(SUM(PL!T227:V227)))*0.125)</f>
        <v>0</v>
      </c>
      <c r="U227" s="1">
        <f>P227 + Q227 + R227 + S227 + T227</f>
        <v>0</v>
      </c>
      <c r="V227" s="1">
        <f>IF(P227 + V226 &lt; 0, P227 + V226, 0)</f>
        <v>0</v>
      </c>
      <c r="W227" s="1">
        <f>IF(Q227 + W226 &lt; 0, Q227 + W226, 0)</f>
        <v>0</v>
      </c>
      <c r="X227" s="1">
        <f>IF(R227 + X226 &lt; 0, R227 + X226, 0)</f>
        <v>0</v>
      </c>
      <c r="Y227" s="1">
        <f>IF(S227 + Y226 &lt; 0, S227 + Y226, 0)</f>
        <v>0</v>
      </c>
      <c r="Z227" s="1">
        <f>IF(T227 + Z226 &lt; 0, T227 + Z226, 0)</f>
        <v>0</v>
      </c>
      <c r="AA227" s="1">
        <f>IF(U227 + AA226 &lt; 0, U227 + AA226, 0)</f>
        <v>0</v>
      </c>
      <c r="AB227" s="1">
        <f>IF(AA227 &lt; 0, 1 + AB226, 0)</f>
        <v>0</v>
      </c>
      <c r="AC227" s="1">
        <f>IF(H227&lt;0,1,0)</f>
        <v>0</v>
      </c>
      <c r="AD227" s="1">
        <f>IF(AC227=1,H227,0)</f>
        <v>0</v>
      </c>
      <c r="AE227" s="1">
        <f>IF(H227&gt;0,1,0)</f>
        <v>0</v>
      </c>
      <c r="AF227" s="1">
        <f>IF(AE227=1,H227,0)</f>
        <v>0</v>
      </c>
      <c r="AG227" s="1">
        <f>IF(AD227&lt;-20000000.0/100,1,0)</f>
        <v>0</v>
      </c>
      <c r="AH227" s="1">
        <f>IF(AF227&gt;20000000.0/100,1,0)</f>
        <v>0</v>
      </c>
      <c r="AI227" s="1">
        <f>IF(U227&lt;0,1,0)</f>
        <v>0</v>
      </c>
      <c r="AJ227" s="1">
        <f>IF(AI227=1,U227,0)</f>
        <v>0</v>
      </c>
      <c r="AK227" s="1">
        <f>IF(U227&gt;0,1,0)</f>
        <v>0</v>
      </c>
      <c r="AL227" s="1">
        <f>IF(AK227=1,U227,0)</f>
        <v>0</v>
      </c>
      <c r="AM227" s="1">
        <f>IF(AJ227&lt;-20000000.0/100,1,0)</f>
        <v>0</v>
      </c>
      <c r="AN227" s="1">
        <f>IF(AL227&gt;20000000.0/100,1,0)</f>
        <v>0</v>
      </c>
    </row>
    <row r="228" spans="1:40" s="1" customFormat="1">
      <c r="A228" s="3">
        <v>45629</v>
      </c>
      <c r="B228" s="2" t="s">
        <v>23</v>
      </c>
      <c r="C228" s="1">
        <f>SUM(PL!H228:J228)</f>
        <v>0</v>
      </c>
      <c r="D228" s="1">
        <f>SUM(PL!K228:M228)</f>
        <v>0</v>
      </c>
      <c r="E228" s="1">
        <f>SUM(PL!N228:P228)</f>
        <v>0</v>
      </c>
      <c r="F228" s="1">
        <f>SUM(PL!Q228:S228)</f>
        <v>0</v>
      </c>
      <c r="G228" s="1">
        <f>SUM(PL!T228:V228)</f>
        <v>0</v>
      </c>
      <c r="H228" s="1">
        <f>SUM(C228:G228)</f>
        <v>0</v>
      </c>
      <c r="I228" s="1">
        <f>IF(C228 + I227 &lt; 0, C228 + I227, 0)</f>
        <v>0</v>
      </c>
      <c r="J228" s="1">
        <f>IF(D228 + J227 &lt; 0, D228 + J227, 0)</f>
        <v>0</v>
      </c>
      <c r="K228" s="1">
        <f>IF(E228 + K227 &lt; 0, E228 + K227, 0)</f>
        <v>0</v>
      </c>
      <c r="L228" s="1">
        <f>IF(F228 + L227 &lt; 0, F228 + L227, 0)</f>
        <v>0</v>
      </c>
      <c r="M228" s="1">
        <f>IF(G228 + M227 &lt; 0, G228 + M227, 0)</f>
        <v>0</v>
      </c>
      <c r="N228" s="1">
        <f>IF(H228 + N227 &lt; 0, H228 + N227, 0)</f>
        <v>0</v>
      </c>
      <c r="O228" s="1">
        <f>IF(N228 &lt; 0, 1 + O227, 0)</f>
        <v>0</v>
      </c>
      <c r="P228" s="1">
        <f>C228-((ABS(SUM(PL!H228:J228)))*0.125)</f>
        <v>0</v>
      </c>
      <c r="Q228" s="1">
        <f>D228-((ABS(SUM(PL!K228:M228)))*0.125)</f>
        <v>0</v>
      </c>
      <c r="R228" s="1">
        <f>E228-((ABS(SUM(PL!N228:P228)))*0.125)</f>
        <v>0</v>
      </c>
      <c r="S228" s="1">
        <f>F228-((ABS(SUM(PL!Q228:S228)))*0.125)</f>
        <v>0</v>
      </c>
      <c r="T228" s="1">
        <f>G228-((ABS(SUM(PL!T228:V228)))*0.125)</f>
        <v>0</v>
      </c>
      <c r="U228" s="1">
        <f>P228 + Q228 + R228 + S228 + T228</f>
        <v>0</v>
      </c>
      <c r="V228" s="1">
        <f>IF(P228 + V227 &lt; 0, P228 + V227, 0)</f>
        <v>0</v>
      </c>
      <c r="W228" s="1">
        <f>IF(Q228 + W227 &lt; 0, Q228 + W227, 0)</f>
        <v>0</v>
      </c>
      <c r="X228" s="1">
        <f>IF(R228 + X227 &lt; 0, R228 + X227, 0)</f>
        <v>0</v>
      </c>
      <c r="Y228" s="1">
        <f>IF(S228 + Y227 &lt; 0, S228 + Y227, 0)</f>
        <v>0</v>
      </c>
      <c r="Z228" s="1">
        <f>IF(T228 + Z227 &lt; 0, T228 + Z227, 0)</f>
        <v>0</v>
      </c>
      <c r="AA228" s="1">
        <f>IF(U228 + AA227 &lt; 0, U228 + AA227, 0)</f>
        <v>0</v>
      </c>
      <c r="AB228" s="1">
        <f>IF(AA228 &lt; 0, 1 + AB227, 0)</f>
        <v>0</v>
      </c>
      <c r="AC228" s="1">
        <f>IF(H228&lt;0,1,0)</f>
        <v>0</v>
      </c>
      <c r="AD228" s="1">
        <f>IF(AC228=1,H228,0)</f>
        <v>0</v>
      </c>
      <c r="AE228" s="1">
        <f>IF(H228&gt;0,1,0)</f>
        <v>0</v>
      </c>
      <c r="AF228" s="1">
        <f>IF(AE228=1,H228,0)</f>
        <v>0</v>
      </c>
      <c r="AG228" s="1">
        <f>IF(AD228&lt;-20000000.0/100,1,0)</f>
        <v>0</v>
      </c>
      <c r="AH228" s="1">
        <f>IF(AF228&gt;20000000.0/100,1,0)</f>
        <v>0</v>
      </c>
      <c r="AI228" s="1">
        <f>IF(U228&lt;0,1,0)</f>
        <v>0</v>
      </c>
      <c r="AJ228" s="1">
        <f>IF(AI228=1,U228,0)</f>
        <v>0</v>
      </c>
      <c r="AK228" s="1">
        <f>IF(U228&gt;0,1,0)</f>
        <v>0</v>
      </c>
      <c r="AL228" s="1">
        <f>IF(AK228=1,U228,0)</f>
        <v>0</v>
      </c>
      <c r="AM228" s="1">
        <f>IF(AJ228&lt;-20000000.0/100,1,0)</f>
        <v>0</v>
      </c>
      <c r="AN228" s="1">
        <f>IF(AL228&gt;20000000.0/100,1,0)</f>
        <v>0</v>
      </c>
    </row>
    <row r="229" spans="1:40" s="1" customFormat="1">
      <c r="A229" s="3">
        <v>45630</v>
      </c>
      <c r="B229" s="2" t="s">
        <v>24</v>
      </c>
      <c r="C229" s="1">
        <f>SUM(PL!H229:J229)</f>
        <v>0</v>
      </c>
      <c r="D229" s="1">
        <f>SUM(PL!K229:M229)</f>
        <v>0</v>
      </c>
      <c r="E229" s="1">
        <f>SUM(PL!N229:P229)</f>
        <v>0</v>
      </c>
      <c r="F229" s="1">
        <f>SUM(PL!Q229:S229)</f>
        <v>0</v>
      </c>
      <c r="G229" s="1">
        <f>SUM(PL!T229:V229)</f>
        <v>0</v>
      </c>
      <c r="H229" s="1">
        <f>SUM(C229:G229)</f>
        <v>0</v>
      </c>
      <c r="I229" s="1">
        <f>IF(C229 + I228 &lt; 0, C229 + I228, 0)</f>
        <v>0</v>
      </c>
      <c r="J229" s="1">
        <f>IF(D229 + J228 &lt; 0, D229 + J228, 0)</f>
        <v>0</v>
      </c>
      <c r="K229" s="1">
        <f>IF(E229 + K228 &lt; 0, E229 + K228, 0)</f>
        <v>0</v>
      </c>
      <c r="L229" s="1">
        <f>IF(F229 + L228 &lt; 0, F229 + L228, 0)</f>
        <v>0</v>
      </c>
      <c r="M229" s="1">
        <f>IF(G229 + M228 &lt; 0, G229 + M228, 0)</f>
        <v>0</v>
      </c>
      <c r="N229" s="1">
        <f>IF(H229 + N228 &lt; 0, H229 + N228, 0)</f>
        <v>0</v>
      </c>
      <c r="O229" s="1">
        <f>IF(N229 &lt; 0, 1 + O228, 0)</f>
        <v>0</v>
      </c>
      <c r="P229" s="1">
        <f>C229-((ABS(SUM(PL!H229:J229)))*0.125)</f>
        <v>0</v>
      </c>
      <c r="Q229" s="1">
        <f>D229-((ABS(SUM(PL!K229:M229)))*0.125)</f>
        <v>0</v>
      </c>
      <c r="R229" s="1">
        <f>E229-((ABS(SUM(PL!N229:P229)))*0.125)</f>
        <v>0</v>
      </c>
      <c r="S229" s="1">
        <f>F229-((ABS(SUM(PL!Q229:S229)))*0.125)</f>
        <v>0</v>
      </c>
      <c r="T229" s="1">
        <f>G229-((ABS(SUM(PL!T229:V229)))*0.125)</f>
        <v>0</v>
      </c>
      <c r="U229" s="1">
        <f>P229 + Q229 + R229 + S229 + T229</f>
        <v>0</v>
      </c>
      <c r="V229" s="1">
        <f>IF(P229 + V228 &lt; 0, P229 + V228, 0)</f>
        <v>0</v>
      </c>
      <c r="W229" s="1">
        <f>IF(Q229 + W228 &lt; 0, Q229 + W228, 0)</f>
        <v>0</v>
      </c>
      <c r="X229" s="1">
        <f>IF(R229 + X228 &lt; 0, R229 + X228, 0)</f>
        <v>0</v>
      </c>
      <c r="Y229" s="1">
        <f>IF(S229 + Y228 &lt; 0, S229 + Y228, 0)</f>
        <v>0</v>
      </c>
      <c r="Z229" s="1">
        <f>IF(T229 + Z228 &lt; 0, T229 + Z228, 0)</f>
        <v>0</v>
      </c>
      <c r="AA229" s="1">
        <f>IF(U229 + AA228 &lt; 0, U229 + AA228, 0)</f>
        <v>0</v>
      </c>
      <c r="AB229" s="1">
        <f>IF(AA229 &lt; 0, 1 + AB228, 0)</f>
        <v>0</v>
      </c>
      <c r="AC229" s="1">
        <f>IF(H229&lt;0,1,0)</f>
        <v>0</v>
      </c>
      <c r="AD229" s="1">
        <f>IF(AC229=1,H229,0)</f>
        <v>0</v>
      </c>
      <c r="AE229" s="1">
        <f>IF(H229&gt;0,1,0)</f>
        <v>0</v>
      </c>
      <c r="AF229" s="1">
        <f>IF(AE229=1,H229,0)</f>
        <v>0</v>
      </c>
      <c r="AG229" s="1">
        <f>IF(AD229&lt;-20000000.0/100,1,0)</f>
        <v>0</v>
      </c>
      <c r="AH229" s="1">
        <f>IF(AF229&gt;20000000.0/100,1,0)</f>
        <v>0</v>
      </c>
      <c r="AI229" s="1">
        <f>IF(U229&lt;0,1,0)</f>
        <v>0</v>
      </c>
      <c r="AJ229" s="1">
        <f>IF(AI229=1,U229,0)</f>
        <v>0</v>
      </c>
      <c r="AK229" s="1">
        <f>IF(U229&gt;0,1,0)</f>
        <v>0</v>
      </c>
      <c r="AL229" s="1">
        <f>IF(AK229=1,U229,0)</f>
        <v>0</v>
      </c>
      <c r="AM229" s="1">
        <f>IF(AJ229&lt;-20000000.0/100,1,0)</f>
        <v>0</v>
      </c>
      <c r="AN229" s="1">
        <f>IF(AL229&gt;20000000.0/100,1,0)</f>
        <v>0</v>
      </c>
    </row>
    <row r="230" spans="1:40" s="1" customFormat="1">
      <c r="A230" s="3">
        <v>45631</v>
      </c>
      <c r="B230" s="2" t="s">
        <v>25</v>
      </c>
      <c r="C230" s="1">
        <f>SUM(PL!H230:J230)</f>
        <v>0</v>
      </c>
      <c r="D230" s="1">
        <f>SUM(PL!K230:M230)</f>
        <v>0</v>
      </c>
      <c r="E230" s="1">
        <f>SUM(PL!N230:P230)</f>
        <v>0</v>
      </c>
      <c r="F230" s="1">
        <f>SUM(PL!Q230:S230)</f>
        <v>0</v>
      </c>
      <c r="G230" s="1">
        <f>SUM(PL!T230:V230)</f>
        <v>0</v>
      </c>
      <c r="H230" s="1">
        <f>SUM(C230:G230)</f>
        <v>0</v>
      </c>
      <c r="I230" s="1">
        <f>IF(C230 + I229 &lt; 0, C230 + I229, 0)</f>
        <v>0</v>
      </c>
      <c r="J230" s="1">
        <f>IF(D230 + J229 &lt; 0, D230 + J229, 0)</f>
        <v>0</v>
      </c>
      <c r="K230" s="1">
        <f>IF(E230 + K229 &lt; 0, E230 + K229, 0)</f>
        <v>0</v>
      </c>
      <c r="L230" s="1">
        <f>IF(F230 + L229 &lt; 0, F230 + L229, 0)</f>
        <v>0</v>
      </c>
      <c r="M230" s="1">
        <f>IF(G230 + M229 &lt; 0, G230 + M229, 0)</f>
        <v>0</v>
      </c>
      <c r="N230" s="1">
        <f>IF(H230 + N229 &lt; 0, H230 + N229, 0)</f>
        <v>0</v>
      </c>
      <c r="O230" s="1">
        <f>IF(N230 &lt; 0, 1 + O229, 0)</f>
        <v>0</v>
      </c>
      <c r="P230" s="1">
        <f>C230-((ABS(SUM(PL!H230:J230)))*0.125)</f>
        <v>0</v>
      </c>
      <c r="Q230" s="1">
        <f>D230-((ABS(SUM(PL!K230:M230)))*0.125)</f>
        <v>0</v>
      </c>
      <c r="R230" s="1">
        <f>E230-((ABS(SUM(PL!N230:P230)))*0.125)</f>
        <v>0</v>
      </c>
      <c r="S230" s="1">
        <f>F230-((ABS(SUM(PL!Q230:S230)))*0.125)</f>
        <v>0</v>
      </c>
      <c r="T230" s="1">
        <f>G230-((ABS(SUM(PL!T230:V230)))*0.125)</f>
        <v>0</v>
      </c>
      <c r="U230" s="1">
        <f>P230 + Q230 + R230 + S230 + T230</f>
        <v>0</v>
      </c>
      <c r="V230" s="1">
        <f>IF(P230 + V229 &lt; 0, P230 + V229, 0)</f>
        <v>0</v>
      </c>
      <c r="W230" s="1">
        <f>IF(Q230 + W229 &lt; 0, Q230 + W229, 0)</f>
        <v>0</v>
      </c>
      <c r="X230" s="1">
        <f>IF(R230 + X229 &lt; 0, R230 + X229, 0)</f>
        <v>0</v>
      </c>
      <c r="Y230" s="1">
        <f>IF(S230 + Y229 &lt; 0, S230 + Y229, 0)</f>
        <v>0</v>
      </c>
      <c r="Z230" s="1">
        <f>IF(T230 + Z229 &lt; 0, T230 + Z229, 0)</f>
        <v>0</v>
      </c>
      <c r="AA230" s="1">
        <f>IF(U230 + AA229 &lt; 0, U230 + AA229, 0)</f>
        <v>0</v>
      </c>
      <c r="AB230" s="1">
        <f>IF(AA230 &lt; 0, 1 + AB229, 0)</f>
        <v>0</v>
      </c>
      <c r="AC230" s="1">
        <f>IF(H230&lt;0,1,0)</f>
        <v>0</v>
      </c>
      <c r="AD230" s="1">
        <f>IF(AC230=1,H230,0)</f>
        <v>0</v>
      </c>
      <c r="AE230" s="1">
        <f>IF(H230&gt;0,1,0)</f>
        <v>0</v>
      </c>
      <c r="AF230" s="1">
        <f>IF(AE230=1,H230,0)</f>
        <v>0</v>
      </c>
      <c r="AG230" s="1">
        <f>IF(AD230&lt;-20000000.0/100,1,0)</f>
        <v>0</v>
      </c>
      <c r="AH230" s="1">
        <f>IF(AF230&gt;20000000.0/100,1,0)</f>
        <v>0</v>
      </c>
      <c r="AI230" s="1">
        <f>IF(U230&lt;0,1,0)</f>
        <v>0</v>
      </c>
      <c r="AJ230" s="1">
        <f>IF(AI230=1,U230,0)</f>
        <v>0</v>
      </c>
      <c r="AK230" s="1">
        <f>IF(U230&gt;0,1,0)</f>
        <v>0</v>
      </c>
      <c r="AL230" s="1">
        <f>IF(AK230=1,U230,0)</f>
        <v>0</v>
      </c>
      <c r="AM230" s="1">
        <f>IF(AJ230&lt;-20000000.0/100,1,0)</f>
        <v>0</v>
      </c>
      <c r="AN230" s="1">
        <f>IF(AL230&gt;20000000.0/100,1,0)</f>
        <v>0</v>
      </c>
    </row>
    <row r="231" spans="1:40" s="1" customFormat="1">
      <c r="A231" s="3">
        <v>45632</v>
      </c>
      <c r="B231" s="2" t="s">
        <v>26</v>
      </c>
      <c r="C231" s="1">
        <f>SUM(PL!H231:J231)</f>
        <v>0</v>
      </c>
      <c r="D231" s="1">
        <f>SUM(PL!K231:M231)</f>
        <v>0</v>
      </c>
      <c r="E231" s="1">
        <f>SUM(PL!N231:P231)</f>
        <v>0</v>
      </c>
      <c r="F231" s="1">
        <f>SUM(PL!Q231:S231)</f>
        <v>0</v>
      </c>
      <c r="G231" s="1">
        <f>SUM(PL!T231:V231)</f>
        <v>0</v>
      </c>
      <c r="H231" s="1">
        <f>SUM(C231:G231)</f>
        <v>0</v>
      </c>
      <c r="I231" s="1">
        <f>IF(C231 + I230 &lt; 0, C231 + I230, 0)</f>
        <v>0</v>
      </c>
      <c r="J231" s="1">
        <f>IF(D231 + J230 &lt; 0, D231 + J230, 0)</f>
        <v>0</v>
      </c>
      <c r="K231" s="1">
        <f>IF(E231 + K230 &lt; 0, E231 + K230, 0)</f>
        <v>0</v>
      </c>
      <c r="L231" s="1">
        <f>IF(F231 + L230 &lt; 0, F231 + L230, 0)</f>
        <v>0</v>
      </c>
      <c r="M231" s="1">
        <f>IF(G231 + M230 &lt; 0, G231 + M230, 0)</f>
        <v>0</v>
      </c>
      <c r="N231" s="1">
        <f>IF(H231 + N230 &lt; 0, H231 + N230, 0)</f>
        <v>0</v>
      </c>
      <c r="O231" s="1">
        <f>IF(N231 &lt; 0, 1 + O230, 0)</f>
        <v>0</v>
      </c>
      <c r="P231" s="1">
        <f>C231-((ABS(SUM(PL!H231:J231)))*0.125)</f>
        <v>0</v>
      </c>
      <c r="Q231" s="1">
        <f>D231-((ABS(SUM(PL!K231:M231)))*0.125)</f>
        <v>0</v>
      </c>
      <c r="R231" s="1">
        <f>E231-((ABS(SUM(PL!N231:P231)))*0.125)</f>
        <v>0</v>
      </c>
      <c r="S231" s="1">
        <f>F231-((ABS(SUM(PL!Q231:S231)))*0.125)</f>
        <v>0</v>
      </c>
      <c r="T231" s="1">
        <f>G231-((ABS(SUM(PL!T231:V231)))*0.125)</f>
        <v>0</v>
      </c>
      <c r="U231" s="1">
        <f>P231 + Q231 + R231 + S231 + T231</f>
        <v>0</v>
      </c>
      <c r="V231" s="1">
        <f>IF(P231 + V230 &lt; 0, P231 + V230, 0)</f>
        <v>0</v>
      </c>
      <c r="W231" s="1">
        <f>IF(Q231 + W230 &lt; 0, Q231 + W230, 0)</f>
        <v>0</v>
      </c>
      <c r="X231" s="1">
        <f>IF(R231 + X230 &lt; 0, R231 + X230, 0)</f>
        <v>0</v>
      </c>
      <c r="Y231" s="1">
        <f>IF(S231 + Y230 &lt; 0, S231 + Y230, 0)</f>
        <v>0</v>
      </c>
      <c r="Z231" s="1">
        <f>IF(T231 + Z230 &lt; 0, T231 + Z230, 0)</f>
        <v>0</v>
      </c>
      <c r="AA231" s="1">
        <f>IF(U231 + AA230 &lt; 0, U231 + AA230, 0)</f>
        <v>0</v>
      </c>
      <c r="AB231" s="1">
        <f>IF(AA231 &lt; 0, 1 + AB230, 0)</f>
        <v>0</v>
      </c>
      <c r="AC231" s="1">
        <f>IF(H231&lt;0,1,0)</f>
        <v>0</v>
      </c>
      <c r="AD231" s="1">
        <f>IF(AC231=1,H231,0)</f>
        <v>0</v>
      </c>
      <c r="AE231" s="1">
        <f>IF(H231&gt;0,1,0)</f>
        <v>0</v>
      </c>
      <c r="AF231" s="1">
        <f>IF(AE231=1,H231,0)</f>
        <v>0</v>
      </c>
      <c r="AG231" s="1">
        <f>IF(AD231&lt;-20000000.0/100,1,0)</f>
        <v>0</v>
      </c>
      <c r="AH231" s="1">
        <f>IF(AF231&gt;20000000.0/100,1,0)</f>
        <v>0</v>
      </c>
      <c r="AI231" s="1">
        <f>IF(U231&lt;0,1,0)</f>
        <v>0</v>
      </c>
      <c r="AJ231" s="1">
        <f>IF(AI231=1,U231,0)</f>
        <v>0</v>
      </c>
      <c r="AK231" s="1">
        <f>IF(U231&gt;0,1,0)</f>
        <v>0</v>
      </c>
      <c r="AL231" s="1">
        <f>IF(AK231=1,U231,0)</f>
        <v>0</v>
      </c>
      <c r="AM231" s="1">
        <f>IF(AJ231&lt;-20000000.0/100,1,0)</f>
        <v>0</v>
      </c>
      <c r="AN231" s="1">
        <f>IF(AL231&gt;20000000.0/100,1,0)</f>
        <v>0</v>
      </c>
    </row>
    <row r="232" spans="1:40" s="1" customFormat="1">
      <c r="A232" s="3">
        <v>45635</v>
      </c>
      <c r="B232" s="2" t="s">
        <v>22</v>
      </c>
      <c r="C232" s="1">
        <f>SUM(PL!H232:J232)</f>
        <v>0</v>
      </c>
      <c r="D232" s="1">
        <f>SUM(PL!K232:M232)</f>
        <v>0</v>
      </c>
      <c r="E232" s="1">
        <f>SUM(PL!N232:P232)</f>
        <v>0</v>
      </c>
      <c r="F232" s="1">
        <f>SUM(PL!Q232:S232)</f>
        <v>0</v>
      </c>
      <c r="G232" s="1">
        <f>SUM(PL!T232:V232)</f>
        <v>0</v>
      </c>
      <c r="H232" s="1">
        <f>SUM(C232:G232)</f>
        <v>0</v>
      </c>
      <c r="I232" s="1">
        <f>IF(C232 + I231 &lt; 0, C232 + I231, 0)</f>
        <v>0</v>
      </c>
      <c r="J232" s="1">
        <f>IF(D232 + J231 &lt; 0, D232 + J231, 0)</f>
        <v>0</v>
      </c>
      <c r="K232" s="1">
        <f>IF(E232 + K231 &lt; 0, E232 + K231, 0)</f>
        <v>0</v>
      </c>
      <c r="L232" s="1">
        <f>IF(F232 + L231 &lt; 0, F232 + L231, 0)</f>
        <v>0</v>
      </c>
      <c r="M232" s="1">
        <f>IF(G232 + M231 &lt; 0, G232 + M231, 0)</f>
        <v>0</v>
      </c>
      <c r="N232" s="1">
        <f>IF(H232 + N231 &lt; 0, H232 + N231, 0)</f>
        <v>0</v>
      </c>
      <c r="O232" s="1">
        <f>IF(N232 &lt; 0, 1 + O231, 0)</f>
        <v>0</v>
      </c>
      <c r="P232" s="1">
        <f>C232-((ABS(SUM(PL!H232:J232)))*0.125)</f>
        <v>0</v>
      </c>
      <c r="Q232" s="1">
        <f>D232-((ABS(SUM(PL!K232:M232)))*0.125)</f>
        <v>0</v>
      </c>
      <c r="R232" s="1">
        <f>E232-((ABS(SUM(PL!N232:P232)))*0.125)</f>
        <v>0</v>
      </c>
      <c r="S232" s="1">
        <f>F232-((ABS(SUM(PL!Q232:S232)))*0.125)</f>
        <v>0</v>
      </c>
      <c r="T232" s="1">
        <f>G232-((ABS(SUM(PL!T232:V232)))*0.125)</f>
        <v>0</v>
      </c>
      <c r="U232" s="1">
        <f>P232 + Q232 + R232 + S232 + T232</f>
        <v>0</v>
      </c>
      <c r="V232" s="1">
        <f>IF(P232 + V231 &lt; 0, P232 + V231, 0)</f>
        <v>0</v>
      </c>
      <c r="W232" s="1">
        <f>IF(Q232 + W231 &lt; 0, Q232 + W231, 0)</f>
        <v>0</v>
      </c>
      <c r="X232" s="1">
        <f>IF(R232 + X231 &lt; 0, R232 + X231, 0)</f>
        <v>0</v>
      </c>
      <c r="Y232" s="1">
        <f>IF(S232 + Y231 &lt; 0, S232 + Y231, 0)</f>
        <v>0</v>
      </c>
      <c r="Z232" s="1">
        <f>IF(T232 + Z231 &lt; 0, T232 + Z231, 0)</f>
        <v>0</v>
      </c>
      <c r="AA232" s="1">
        <f>IF(U232 + AA231 &lt; 0, U232 + AA231, 0)</f>
        <v>0</v>
      </c>
      <c r="AB232" s="1">
        <f>IF(AA232 &lt; 0, 1 + AB231, 0)</f>
        <v>0</v>
      </c>
      <c r="AC232" s="1">
        <f>IF(H232&lt;0,1,0)</f>
        <v>0</v>
      </c>
      <c r="AD232" s="1">
        <f>IF(AC232=1,H232,0)</f>
        <v>0</v>
      </c>
      <c r="AE232" s="1">
        <f>IF(H232&gt;0,1,0)</f>
        <v>0</v>
      </c>
      <c r="AF232" s="1">
        <f>IF(AE232=1,H232,0)</f>
        <v>0</v>
      </c>
      <c r="AG232" s="1">
        <f>IF(AD232&lt;-20000000.0/100,1,0)</f>
        <v>0</v>
      </c>
      <c r="AH232" s="1">
        <f>IF(AF232&gt;20000000.0/100,1,0)</f>
        <v>0</v>
      </c>
      <c r="AI232" s="1">
        <f>IF(U232&lt;0,1,0)</f>
        <v>0</v>
      </c>
      <c r="AJ232" s="1">
        <f>IF(AI232=1,U232,0)</f>
        <v>0</v>
      </c>
      <c r="AK232" s="1">
        <f>IF(U232&gt;0,1,0)</f>
        <v>0</v>
      </c>
      <c r="AL232" s="1">
        <f>IF(AK232=1,U232,0)</f>
        <v>0</v>
      </c>
      <c r="AM232" s="1">
        <f>IF(AJ232&lt;-20000000.0/100,1,0)</f>
        <v>0</v>
      </c>
      <c r="AN232" s="1">
        <f>IF(AL232&gt;20000000.0/100,1,0)</f>
        <v>0</v>
      </c>
    </row>
    <row r="233" spans="1:40" s="1" customFormat="1">
      <c r="A233" s="3">
        <v>45636</v>
      </c>
      <c r="B233" s="2" t="s">
        <v>23</v>
      </c>
      <c r="C233" s="1">
        <f>SUM(PL!H233:J233)</f>
        <v>0</v>
      </c>
      <c r="D233" s="1">
        <f>SUM(PL!K233:M233)</f>
        <v>0</v>
      </c>
      <c r="E233" s="1">
        <f>SUM(PL!N233:P233)</f>
        <v>0</v>
      </c>
      <c r="F233" s="1">
        <f>SUM(PL!Q233:S233)</f>
        <v>0</v>
      </c>
      <c r="G233" s="1">
        <f>SUM(PL!T233:V233)</f>
        <v>0</v>
      </c>
      <c r="H233" s="1">
        <f>SUM(C233:G233)</f>
        <v>0</v>
      </c>
      <c r="I233" s="1">
        <f>IF(C233 + I232 &lt; 0, C233 + I232, 0)</f>
        <v>0</v>
      </c>
      <c r="J233" s="1">
        <f>IF(D233 + J232 &lt; 0, D233 + J232, 0)</f>
        <v>0</v>
      </c>
      <c r="K233" s="1">
        <f>IF(E233 + K232 &lt; 0, E233 + K232, 0)</f>
        <v>0</v>
      </c>
      <c r="L233" s="1">
        <f>IF(F233 + L232 &lt; 0, F233 + L232, 0)</f>
        <v>0</v>
      </c>
      <c r="M233" s="1">
        <f>IF(G233 + M232 &lt; 0, G233 + M232, 0)</f>
        <v>0</v>
      </c>
      <c r="N233" s="1">
        <f>IF(H233 + N232 &lt; 0, H233 + N232, 0)</f>
        <v>0</v>
      </c>
      <c r="O233" s="1">
        <f>IF(N233 &lt; 0, 1 + O232, 0)</f>
        <v>0</v>
      </c>
      <c r="P233" s="1">
        <f>C233-((ABS(SUM(PL!H233:J233)))*0.125)</f>
        <v>0</v>
      </c>
      <c r="Q233" s="1">
        <f>D233-((ABS(SUM(PL!K233:M233)))*0.125)</f>
        <v>0</v>
      </c>
      <c r="R233" s="1">
        <f>E233-((ABS(SUM(PL!N233:P233)))*0.125)</f>
        <v>0</v>
      </c>
      <c r="S233" s="1">
        <f>F233-((ABS(SUM(PL!Q233:S233)))*0.125)</f>
        <v>0</v>
      </c>
      <c r="T233" s="1">
        <f>G233-((ABS(SUM(PL!T233:V233)))*0.125)</f>
        <v>0</v>
      </c>
      <c r="U233" s="1">
        <f>P233 + Q233 + R233 + S233 + T233</f>
        <v>0</v>
      </c>
      <c r="V233" s="1">
        <f>IF(P233 + V232 &lt; 0, P233 + V232, 0)</f>
        <v>0</v>
      </c>
      <c r="W233" s="1">
        <f>IF(Q233 + W232 &lt; 0, Q233 + W232, 0)</f>
        <v>0</v>
      </c>
      <c r="X233" s="1">
        <f>IF(R233 + X232 &lt; 0, R233 + X232, 0)</f>
        <v>0</v>
      </c>
      <c r="Y233" s="1">
        <f>IF(S233 + Y232 &lt; 0, S233 + Y232, 0)</f>
        <v>0</v>
      </c>
      <c r="Z233" s="1">
        <f>IF(T233 + Z232 &lt; 0, T233 + Z232, 0)</f>
        <v>0</v>
      </c>
      <c r="AA233" s="1">
        <f>IF(U233 + AA232 &lt; 0, U233 + AA232, 0)</f>
        <v>0</v>
      </c>
      <c r="AB233" s="1">
        <f>IF(AA233 &lt; 0, 1 + AB232, 0)</f>
        <v>0</v>
      </c>
      <c r="AC233" s="1">
        <f>IF(H233&lt;0,1,0)</f>
        <v>0</v>
      </c>
      <c r="AD233" s="1">
        <f>IF(AC233=1,H233,0)</f>
        <v>0</v>
      </c>
      <c r="AE233" s="1">
        <f>IF(H233&gt;0,1,0)</f>
        <v>0</v>
      </c>
      <c r="AF233" s="1">
        <f>IF(AE233=1,H233,0)</f>
        <v>0</v>
      </c>
      <c r="AG233" s="1">
        <f>IF(AD233&lt;-20000000.0/100,1,0)</f>
        <v>0</v>
      </c>
      <c r="AH233" s="1">
        <f>IF(AF233&gt;20000000.0/100,1,0)</f>
        <v>0</v>
      </c>
      <c r="AI233" s="1">
        <f>IF(U233&lt;0,1,0)</f>
        <v>0</v>
      </c>
      <c r="AJ233" s="1">
        <f>IF(AI233=1,U233,0)</f>
        <v>0</v>
      </c>
      <c r="AK233" s="1">
        <f>IF(U233&gt;0,1,0)</f>
        <v>0</v>
      </c>
      <c r="AL233" s="1">
        <f>IF(AK233=1,U233,0)</f>
        <v>0</v>
      </c>
      <c r="AM233" s="1">
        <f>IF(AJ233&lt;-20000000.0/100,1,0)</f>
        <v>0</v>
      </c>
      <c r="AN233" s="1">
        <f>IF(AL233&gt;20000000.0/100,1,0)</f>
        <v>0</v>
      </c>
    </row>
    <row r="234" spans="1:40" s="1" customFormat="1">
      <c r="A234" s="3">
        <v>45637</v>
      </c>
      <c r="B234" s="2" t="s">
        <v>24</v>
      </c>
      <c r="C234" s="1">
        <f>SUM(PL!H234:J234)</f>
        <v>0</v>
      </c>
      <c r="D234" s="1">
        <f>SUM(PL!K234:M234)</f>
        <v>0</v>
      </c>
      <c r="E234" s="1">
        <f>SUM(PL!N234:P234)</f>
        <v>0</v>
      </c>
      <c r="F234" s="1">
        <f>SUM(PL!Q234:S234)</f>
        <v>0</v>
      </c>
      <c r="G234" s="1">
        <f>SUM(PL!T234:V234)</f>
        <v>0</v>
      </c>
      <c r="H234" s="1">
        <f>SUM(C234:G234)</f>
        <v>0</v>
      </c>
      <c r="I234" s="1">
        <f>IF(C234 + I233 &lt; 0, C234 + I233, 0)</f>
        <v>0</v>
      </c>
      <c r="J234" s="1">
        <f>IF(D234 + J233 &lt; 0, D234 + J233, 0)</f>
        <v>0</v>
      </c>
      <c r="K234" s="1">
        <f>IF(E234 + K233 &lt; 0, E234 + K233, 0)</f>
        <v>0</v>
      </c>
      <c r="L234" s="1">
        <f>IF(F234 + L233 &lt; 0, F234 + L233, 0)</f>
        <v>0</v>
      </c>
      <c r="M234" s="1">
        <f>IF(G234 + M233 &lt; 0, G234 + M233, 0)</f>
        <v>0</v>
      </c>
      <c r="N234" s="1">
        <f>IF(H234 + N233 &lt; 0, H234 + N233, 0)</f>
        <v>0</v>
      </c>
      <c r="O234" s="1">
        <f>IF(N234 &lt; 0, 1 + O233, 0)</f>
        <v>0</v>
      </c>
      <c r="P234" s="1">
        <f>C234-((ABS(SUM(PL!H234:J234)))*0.125)</f>
        <v>0</v>
      </c>
      <c r="Q234" s="1">
        <f>D234-((ABS(SUM(PL!K234:M234)))*0.125)</f>
        <v>0</v>
      </c>
      <c r="R234" s="1">
        <f>E234-((ABS(SUM(PL!N234:P234)))*0.125)</f>
        <v>0</v>
      </c>
      <c r="S234" s="1">
        <f>F234-((ABS(SUM(PL!Q234:S234)))*0.125)</f>
        <v>0</v>
      </c>
      <c r="T234" s="1">
        <f>G234-((ABS(SUM(PL!T234:V234)))*0.125)</f>
        <v>0</v>
      </c>
      <c r="U234" s="1">
        <f>P234 + Q234 + R234 + S234 + T234</f>
        <v>0</v>
      </c>
      <c r="V234" s="1">
        <f>IF(P234 + V233 &lt; 0, P234 + V233, 0)</f>
        <v>0</v>
      </c>
      <c r="W234" s="1">
        <f>IF(Q234 + W233 &lt; 0, Q234 + W233, 0)</f>
        <v>0</v>
      </c>
      <c r="X234" s="1">
        <f>IF(R234 + X233 &lt; 0, R234 + X233, 0)</f>
        <v>0</v>
      </c>
      <c r="Y234" s="1">
        <f>IF(S234 + Y233 &lt; 0, S234 + Y233, 0)</f>
        <v>0</v>
      </c>
      <c r="Z234" s="1">
        <f>IF(T234 + Z233 &lt; 0, T234 + Z233, 0)</f>
        <v>0</v>
      </c>
      <c r="AA234" s="1">
        <f>IF(U234 + AA233 &lt; 0, U234 + AA233, 0)</f>
        <v>0</v>
      </c>
      <c r="AB234" s="1">
        <f>IF(AA234 &lt; 0, 1 + AB233, 0)</f>
        <v>0</v>
      </c>
      <c r="AC234" s="1">
        <f>IF(H234&lt;0,1,0)</f>
        <v>0</v>
      </c>
      <c r="AD234" s="1">
        <f>IF(AC234=1,H234,0)</f>
        <v>0</v>
      </c>
      <c r="AE234" s="1">
        <f>IF(H234&gt;0,1,0)</f>
        <v>0</v>
      </c>
      <c r="AF234" s="1">
        <f>IF(AE234=1,H234,0)</f>
        <v>0</v>
      </c>
      <c r="AG234" s="1">
        <f>IF(AD234&lt;-20000000.0/100,1,0)</f>
        <v>0</v>
      </c>
      <c r="AH234" s="1">
        <f>IF(AF234&gt;20000000.0/100,1,0)</f>
        <v>0</v>
      </c>
      <c r="AI234" s="1">
        <f>IF(U234&lt;0,1,0)</f>
        <v>0</v>
      </c>
      <c r="AJ234" s="1">
        <f>IF(AI234=1,U234,0)</f>
        <v>0</v>
      </c>
      <c r="AK234" s="1">
        <f>IF(U234&gt;0,1,0)</f>
        <v>0</v>
      </c>
      <c r="AL234" s="1">
        <f>IF(AK234=1,U234,0)</f>
        <v>0</v>
      </c>
      <c r="AM234" s="1">
        <f>IF(AJ234&lt;-20000000.0/100,1,0)</f>
        <v>0</v>
      </c>
      <c r="AN234" s="1">
        <f>IF(AL234&gt;20000000.0/100,1,0)</f>
        <v>0</v>
      </c>
    </row>
    <row r="235" spans="1:40" s="1" customFormat="1">
      <c r="A235" s="3">
        <v>45638</v>
      </c>
      <c r="B235" s="2" t="s">
        <v>25</v>
      </c>
      <c r="C235" s="1">
        <f>SUM(PL!H235:J235)</f>
        <v>0</v>
      </c>
      <c r="D235" s="1">
        <f>SUM(PL!K235:M235)</f>
        <v>0</v>
      </c>
      <c r="E235" s="1">
        <f>SUM(PL!N235:P235)</f>
        <v>0</v>
      </c>
      <c r="F235" s="1">
        <f>SUM(PL!Q235:S235)</f>
        <v>0</v>
      </c>
      <c r="G235" s="1">
        <f>SUM(PL!T235:V235)</f>
        <v>0</v>
      </c>
      <c r="H235" s="1">
        <f>SUM(C235:G235)</f>
        <v>0</v>
      </c>
      <c r="I235" s="1">
        <f>IF(C235 + I234 &lt; 0, C235 + I234, 0)</f>
        <v>0</v>
      </c>
      <c r="J235" s="1">
        <f>IF(D235 + J234 &lt; 0, D235 + J234, 0)</f>
        <v>0</v>
      </c>
      <c r="K235" s="1">
        <f>IF(E235 + K234 &lt; 0, E235 + K234, 0)</f>
        <v>0</v>
      </c>
      <c r="L235" s="1">
        <f>IF(F235 + L234 &lt; 0, F235 + L234, 0)</f>
        <v>0</v>
      </c>
      <c r="M235" s="1">
        <f>IF(G235 + M234 &lt; 0, G235 + M234, 0)</f>
        <v>0</v>
      </c>
      <c r="N235" s="1">
        <f>IF(H235 + N234 &lt; 0, H235 + N234, 0)</f>
        <v>0</v>
      </c>
      <c r="O235" s="1">
        <f>IF(N235 &lt; 0, 1 + O234, 0)</f>
        <v>0</v>
      </c>
      <c r="P235" s="1">
        <f>C235-((ABS(SUM(PL!H235:J235)))*0.125)</f>
        <v>0</v>
      </c>
      <c r="Q235" s="1">
        <f>D235-((ABS(SUM(PL!K235:M235)))*0.125)</f>
        <v>0</v>
      </c>
      <c r="R235" s="1">
        <f>E235-((ABS(SUM(PL!N235:P235)))*0.125)</f>
        <v>0</v>
      </c>
      <c r="S235" s="1">
        <f>F235-((ABS(SUM(PL!Q235:S235)))*0.125)</f>
        <v>0</v>
      </c>
      <c r="T235" s="1">
        <f>G235-((ABS(SUM(PL!T235:V235)))*0.125)</f>
        <v>0</v>
      </c>
      <c r="U235" s="1">
        <f>P235 + Q235 + R235 + S235 + T235</f>
        <v>0</v>
      </c>
      <c r="V235" s="1">
        <f>IF(P235 + V234 &lt; 0, P235 + V234, 0)</f>
        <v>0</v>
      </c>
      <c r="W235" s="1">
        <f>IF(Q235 + W234 &lt; 0, Q235 + W234, 0)</f>
        <v>0</v>
      </c>
      <c r="X235" s="1">
        <f>IF(R235 + X234 &lt; 0, R235 + X234, 0)</f>
        <v>0</v>
      </c>
      <c r="Y235" s="1">
        <f>IF(S235 + Y234 &lt; 0, S235 + Y234, 0)</f>
        <v>0</v>
      </c>
      <c r="Z235" s="1">
        <f>IF(T235 + Z234 &lt; 0, T235 + Z234, 0)</f>
        <v>0</v>
      </c>
      <c r="AA235" s="1">
        <f>IF(U235 + AA234 &lt; 0, U235 + AA234, 0)</f>
        <v>0</v>
      </c>
      <c r="AB235" s="1">
        <f>IF(AA235 &lt; 0, 1 + AB234, 0)</f>
        <v>0</v>
      </c>
      <c r="AC235" s="1">
        <f>IF(H235&lt;0,1,0)</f>
        <v>0</v>
      </c>
      <c r="AD235" s="1">
        <f>IF(AC235=1,H235,0)</f>
        <v>0</v>
      </c>
      <c r="AE235" s="1">
        <f>IF(H235&gt;0,1,0)</f>
        <v>0</v>
      </c>
      <c r="AF235" s="1">
        <f>IF(AE235=1,H235,0)</f>
        <v>0</v>
      </c>
      <c r="AG235" s="1">
        <f>IF(AD235&lt;-20000000.0/100,1,0)</f>
        <v>0</v>
      </c>
      <c r="AH235" s="1">
        <f>IF(AF235&gt;20000000.0/100,1,0)</f>
        <v>0</v>
      </c>
      <c r="AI235" s="1">
        <f>IF(U235&lt;0,1,0)</f>
        <v>0</v>
      </c>
      <c r="AJ235" s="1">
        <f>IF(AI235=1,U235,0)</f>
        <v>0</v>
      </c>
      <c r="AK235" s="1">
        <f>IF(U235&gt;0,1,0)</f>
        <v>0</v>
      </c>
      <c r="AL235" s="1">
        <f>IF(AK235=1,U235,0)</f>
        <v>0</v>
      </c>
      <c r="AM235" s="1">
        <f>IF(AJ235&lt;-20000000.0/100,1,0)</f>
        <v>0</v>
      </c>
      <c r="AN235" s="1">
        <f>IF(AL235&gt;20000000.0/100,1,0)</f>
        <v>0</v>
      </c>
    </row>
    <row r="236" spans="1:40" s="1" customFormat="1">
      <c r="A236" s="3">
        <v>45639</v>
      </c>
      <c r="B236" s="2" t="s">
        <v>26</v>
      </c>
      <c r="C236" s="1">
        <f>SUM(PL!H236:J236)</f>
        <v>0</v>
      </c>
      <c r="D236" s="1">
        <f>SUM(PL!K236:M236)</f>
        <v>0</v>
      </c>
      <c r="E236" s="1">
        <f>SUM(PL!N236:P236)</f>
        <v>0</v>
      </c>
      <c r="F236" s="1">
        <f>SUM(PL!Q236:S236)</f>
        <v>0</v>
      </c>
      <c r="G236" s="1">
        <f>SUM(PL!T236:V236)</f>
        <v>0</v>
      </c>
      <c r="H236" s="1">
        <f>SUM(C236:G236)</f>
        <v>0</v>
      </c>
      <c r="I236" s="1">
        <f>IF(C236 + I235 &lt; 0, C236 + I235, 0)</f>
        <v>0</v>
      </c>
      <c r="J236" s="1">
        <f>IF(D236 + J235 &lt; 0, D236 + J235, 0)</f>
        <v>0</v>
      </c>
      <c r="K236" s="1">
        <f>IF(E236 + K235 &lt; 0, E236 + K235, 0)</f>
        <v>0</v>
      </c>
      <c r="L236" s="1">
        <f>IF(F236 + L235 &lt; 0, F236 + L235, 0)</f>
        <v>0</v>
      </c>
      <c r="M236" s="1">
        <f>IF(G236 + M235 &lt; 0, G236 + M235, 0)</f>
        <v>0</v>
      </c>
      <c r="N236" s="1">
        <f>IF(H236 + N235 &lt; 0, H236 + N235, 0)</f>
        <v>0</v>
      </c>
      <c r="O236" s="1">
        <f>IF(N236 &lt; 0, 1 + O235, 0)</f>
        <v>0</v>
      </c>
      <c r="P236" s="1">
        <f>C236-((ABS(SUM(PL!H236:J236)))*0.125)</f>
        <v>0</v>
      </c>
      <c r="Q236" s="1">
        <f>D236-((ABS(SUM(PL!K236:M236)))*0.125)</f>
        <v>0</v>
      </c>
      <c r="R236" s="1">
        <f>E236-((ABS(SUM(PL!N236:P236)))*0.125)</f>
        <v>0</v>
      </c>
      <c r="S236" s="1">
        <f>F236-((ABS(SUM(PL!Q236:S236)))*0.125)</f>
        <v>0</v>
      </c>
      <c r="T236" s="1">
        <f>G236-((ABS(SUM(PL!T236:V236)))*0.125)</f>
        <v>0</v>
      </c>
      <c r="U236" s="1">
        <f>P236 + Q236 + R236 + S236 + T236</f>
        <v>0</v>
      </c>
      <c r="V236" s="1">
        <f>IF(P236 + V235 &lt; 0, P236 + V235, 0)</f>
        <v>0</v>
      </c>
      <c r="W236" s="1">
        <f>IF(Q236 + W235 &lt; 0, Q236 + W235, 0)</f>
        <v>0</v>
      </c>
      <c r="X236" s="1">
        <f>IF(R236 + X235 &lt; 0, R236 + X235, 0)</f>
        <v>0</v>
      </c>
      <c r="Y236" s="1">
        <f>IF(S236 + Y235 &lt; 0, S236 + Y235, 0)</f>
        <v>0</v>
      </c>
      <c r="Z236" s="1">
        <f>IF(T236 + Z235 &lt; 0, T236 + Z235, 0)</f>
        <v>0</v>
      </c>
      <c r="AA236" s="1">
        <f>IF(U236 + AA235 &lt; 0, U236 + AA235, 0)</f>
        <v>0</v>
      </c>
      <c r="AB236" s="1">
        <f>IF(AA236 &lt; 0, 1 + AB235, 0)</f>
        <v>0</v>
      </c>
      <c r="AC236" s="1">
        <f>IF(H236&lt;0,1,0)</f>
        <v>0</v>
      </c>
      <c r="AD236" s="1">
        <f>IF(AC236=1,H236,0)</f>
        <v>0</v>
      </c>
      <c r="AE236" s="1">
        <f>IF(H236&gt;0,1,0)</f>
        <v>0</v>
      </c>
      <c r="AF236" s="1">
        <f>IF(AE236=1,H236,0)</f>
        <v>0</v>
      </c>
      <c r="AG236" s="1">
        <f>IF(AD236&lt;-20000000.0/100,1,0)</f>
        <v>0</v>
      </c>
      <c r="AH236" s="1">
        <f>IF(AF236&gt;20000000.0/100,1,0)</f>
        <v>0</v>
      </c>
      <c r="AI236" s="1">
        <f>IF(U236&lt;0,1,0)</f>
        <v>0</v>
      </c>
      <c r="AJ236" s="1">
        <f>IF(AI236=1,U236,0)</f>
        <v>0</v>
      </c>
      <c r="AK236" s="1">
        <f>IF(U236&gt;0,1,0)</f>
        <v>0</v>
      </c>
      <c r="AL236" s="1">
        <f>IF(AK236=1,U236,0)</f>
        <v>0</v>
      </c>
      <c r="AM236" s="1">
        <f>IF(AJ236&lt;-20000000.0/100,1,0)</f>
        <v>0</v>
      </c>
      <c r="AN236" s="1">
        <f>IF(AL236&gt;20000000.0/100,1,0)</f>
        <v>0</v>
      </c>
    </row>
    <row r="237" spans="1:40" s="1" customFormat="1">
      <c r="A237" s="3">
        <v>45642</v>
      </c>
      <c r="B237" s="2" t="s">
        <v>22</v>
      </c>
      <c r="C237" s="1">
        <f>SUM(PL!H237:J237)</f>
        <v>0</v>
      </c>
      <c r="D237" s="1">
        <f>SUM(PL!K237:M237)</f>
        <v>0</v>
      </c>
      <c r="E237" s="1">
        <f>SUM(PL!N237:P237)</f>
        <v>0</v>
      </c>
      <c r="F237" s="1">
        <f>SUM(PL!Q237:S237)</f>
        <v>0</v>
      </c>
      <c r="G237" s="1">
        <f>SUM(PL!T237:V237)</f>
        <v>0</v>
      </c>
      <c r="H237" s="1">
        <f>SUM(C237:G237)</f>
        <v>0</v>
      </c>
      <c r="I237" s="1">
        <f>IF(C237 + I236 &lt; 0, C237 + I236, 0)</f>
        <v>0</v>
      </c>
      <c r="J237" s="1">
        <f>IF(D237 + J236 &lt; 0, D237 + J236, 0)</f>
        <v>0</v>
      </c>
      <c r="K237" s="1">
        <f>IF(E237 + K236 &lt; 0, E237 + K236, 0)</f>
        <v>0</v>
      </c>
      <c r="L237" s="1">
        <f>IF(F237 + L236 &lt; 0, F237 + L236, 0)</f>
        <v>0</v>
      </c>
      <c r="M237" s="1">
        <f>IF(G237 + M236 &lt; 0, G237 + M236, 0)</f>
        <v>0</v>
      </c>
      <c r="N237" s="1">
        <f>IF(H237 + N236 &lt; 0, H237 + N236, 0)</f>
        <v>0</v>
      </c>
      <c r="O237" s="1">
        <f>IF(N237 &lt; 0, 1 + O236, 0)</f>
        <v>0</v>
      </c>
      <c r="P237" s="1">
        <f>C237-((ABS(SUM(PL!H237:J237)))*0.125)</f>
        <v>0</v>
      </c>
      <c r="Q237" s="1">
        <f>D237-((ABS(SUM(PL!K237:M237)))*0.125)</f>
        <v>0</v>
      </c>
      <c r="R237" s="1">
        <f>E237-((ABS(SUM(PL!N237:P237)))*0.125)</f>
        <v>0</v>
      </c>
      <c r="S237" s="1">
        <f>F237-((ABS(SUM(PL!Q237:S237)))*0.125)</f>
        <v>0</v>
      </c>
      <c r="T237" s="1">
        <f>G237-((ABS(SUM(PL!T237:V237)))*0.125)</f>
        <v>0</v>
      </c>
      <c r="U237" s="1">
        <f>P237 + Q237 + R237 + S237 + T237</f>
        <v>0</v>
      </c>
      <c r="V237" s="1">
        <f>IF(P237 + V236 &lt; 0, P237 + V236, 0)</f>
        <v>0</v>
      </c>
      <c r="W237" s="1">
        <f>IF(Q237 + W236 &lt; 0, Q237 + W236, 0)</f>
        <v>0</v>
      </c>
      <c r="X237" s="1">
        <f>IF(R237 + X236 &lt; 0, R237 + X236, 0)</f>
        <v>0</v>
      </c>
      <c r="Y237" s="1">
        <f>IF(S237 + Y236 &lt; 0, S237 + Y236, 0)</f>
        <v>0</v>
      </c>
      <c r="Z237" s="1">
        <f>IF(T237 + Z236 &lt; 0, T237 + Z236, 0)</f>
        <v>0</v>
      </c>
      <c r="AA237" s="1">
        <f>IF(U237 + AA236 &lt; 0, U237 + AA236, 0)</f>
        <v>0</v>
      </c>
      <c r="AB237" s="1">
        <f>IF(AA237 &lt; 0, 1 + AB236, 0)</f>
        <v>0</v>
      </c>
      <c r="AC237" s="1">
        <f>IF(H237&lt;0,1,0)</f>
        <v>0</v>
      </c>
      <c r="AD237" s="1">
        <f>IF(AC237=1,H237,0)</f>
        <v>0</v>
      </c>
      <c r="AE237" s="1">
        <f>IF(H237&gt;0,1,0)</f>
        <v>0</v>
      </c>
      <c r="AF237" s="1">
        <f>IF(AE237=1,H237,0)</f>
        <v>0</v>
      </c>
      <c r="AG237" s="1">
        <f>IF(AD237&lt;-20000000.0/100,1,0)</f>
        <v>0</v>
      </c>
      <c r="AH237" s="1">
        <f>IF(AF237&gt;20000000.0/100,1,0)</f>
        <v>0</v>
      </c>
      <c r="AI237" s="1">
        <f>IF(U237&lt;0,1,0)</f>
        <v>0</v>
      </c>
      <c r="AJ237" s="1">
        <f>IF(AI237=1,U237,0)</f>
        <v>0</v>
      </c>
      <c r="AK237" s="1">
        <f>IF(U237&gt;0,1,0)</f>
        <v>0</v>
      </c>
      <c r="AL237" s="1">
        <f>IF(AK237=1,U237,0)</f>
        <v>0</v>
      </c>
      <c r="AM237" s="1">
        <f>IF(AJ237&lt;-20000000.0/100,1,0)</f>
        <v>0</v>
      </c>
      <c r="AN237" s="1">
        <f>IF(AL237&gt;20000000.0/100,1,0)</f>
        <v>0</v>
      </c>
    </row>
    <row r="238" spans="1:40" s="1" customFormat="1">
      <c r="A238" s="3">
        <v>45643</v>
      </c>
      <c r="B238" s="2" t="s">
        <v>23</v>
      </c>
      <c r="C238" s="1">
        <f>SUM(PL!H238:J238)</f>
        <v>0</v>
      </c>
      <c r="D238" s="1">
        <f>SUM(PL!K238:M238)</f>
        <v>0</v>
      </c>
      <c r="E238" s="1">
        <f>SUM(PL!N238:P238)</f>
        <v>0</v>
      </c>
      <c r="F238" s="1">
        <f>SUM(PL!Q238:S238)</f>
        <v>0</v>
      </c>
      <c r="G238" s="1">
        <f>SUM(PL!T238:V238)</f>
        <v>0</v>
      </c>
      <c r="H238" s="1">
        <f>SUM(C238:G238)</f>
        <v>0</v>
      </c>
      <c r="I238" s="1">
        <f>IF(C238 + I237 &lt; 0, C238 + I237, 0)</f>
        <v>0</v>
      </c>
      <c r="J238" s="1">
        <f>IF(D238 + J237 &lt; 0, D238 + J237, 0)</f>
        <v>0</v>
      </c>
      <c r="K238" s="1">
        <f>IF(E238 + K237 &lt; 0, E238 + K237, 0)</f>
        <v>0</v>
      </c>
      <c r="L238" s="1">
        <f>IF(F238 + L237 &lt; 0, F238 + L237, 0)</f>
        <v>0</v>
      </c>
      <c r="M238" s="1">
        <f>IF(G238 + M237 &lt; 0, G238 + M237, 0)</f>
        <v>0</v>
      </c>
      <c r="N238" s="1">
        <f>IF(H238 + N237 &lt; 0, H238 + N237, 0)</f>
        <v>0</v>
      </c>
      <c r="O238" s="1">
        <f>IF(N238 &lt; 0, 1 + O237, 0)</f>
        <v>0</v>
      </c>
      <c r="P238" s="1">
        <f>C238-((ABS(SUM(PL!H238:J238)))*0.125)</f>
        <v>0</v>
      </c>
      <c r="Q238" s="1">
        <f>D238-((ABS(SUM(PL!K238:M238)))*0.125)</f>
        <v>0</v>
      </c>
      <c r="R238" s="1">
        <f>E238-((ABS(SUM(PL!N238:P238)))*0.125)</f>
        <v>0</v>
      </c>
      <c r="S238" s="1">
        <f>F238-((ABS(SUM(PL!Q238:S238)))*0.125)</f>
        <v>0</v>
      </c>
      <c r="T238" s="1">
        <f>G238-((ABS(SUM(PL!T238:V238)))*0.125)</f>
        <v>0</v>
      </c>
      <c r="U238" s="1">
        <f>P238 + Q238 + R238 + S238 + T238</f>
        <v>0</v>
      </c>
      <c r="V238" s="1">
        <f>IF(P238 + V237 &lt; 0, P238 + V237, 0)</f>
        <v>0</v>
      </c>
      <c r="W238" s="1">
        <f>IF(Q238 + W237 &lt; 0, Q238 + W237, 0)</f>
        <v>0</v>
      </c>
      <c r="X238" s="1">
        <f>IF(R238 + X237 &lt; 0, R238 + X237, 0)</f>
        <v>0</v>
      </c>
      <c r="Y238" s="1">
        <f>IF(S238 + Y237 &lt; 0, S238 + Y237, 0)</f>
        <v>0</v>
      </c>
      <c r="Z238" s="1">
        <f>IF(T238 + Z237 &lt; 0, T238 + Z237, 0)</f>
        <v>0</v>
      </c>
      <c r="AA238" s="1">
        <f>IF(U238 + AA237 &lt; 0, U238 + AA237, 0)</f>
        <v>0</v>
      </c>
      <c r="AB238" s="1">
        <f>IF(AA238 &lt; 0, 1 + AB237, 0)</f>
        <v>0</v>
      </c>
      <c r="AC238" s="1">
        <f>IF(H238&lt;0,1,0)</f>
        <v>0</v>
      </c>
      <c r="AD238" s="1">
        <f>IF(AC238=1,H238,0)</f>
        <v>0</v>
      </c>
      <c r="AE238" s="1">
        <f>IF(H238&gt;0,1,0)</f>
        <v>0</v>
      </c>
      <c r="AF238" s="1">
        <f>IF(AE238=1,H238,0)</f>
        <v>0</v>
      </c>
      <c r="AG238" s="1">
        <f>IF(AD238&lt;-20000000.0/100,1,0)</f>
        <v>0</v>
      </c>
      <c r="AH238" s="1">
        <f>IF(AF238&gt;20000000.0/100,1,0)</f>
        <v>0</v>
      </c>
      <c r="AI238" s="1">
        <f>IF(U238&lt;0,1,0)</f>
        <v>0</v>
      </c>
      <c r="AJ238" s="1">
        <f>IF(AI238=1,U238,0)</f>
        <v>0</v>
      </c>
      <c r="AK238" s="1">
        <f>IF(U238&gt;0,1,0)</f>
        <v>0</v>
      </c>
      <c r="AL238" s="1">
        <f>IF(AK238=1,U238,0)</f>
        <v>0</v>
      </c>
      <c r="AM238" s="1">
        <f>IF(AJ238&lt;-20000000.0/100,1,0)</f>
        <v>0</v>
      </c>
      <c r="AN238" s="1">
        <f>IF(AL238&gt;20000000.0/100,1,0)</f>
        <v>0</v>
      </c>
    </row>
    <row r="239" spans="1:40" s="1" customFormat="1">
      <c r="A239" s="3">
        <v>45644</v>
      </c>
      <c r="B239" s="2" t="s">
        <v>24</v>
      </c>
      <c r="C239" s="1">
        <f>SUM(PL!H239:J239)</f>
        <v>0</v>
      </c>
      <c r="D239" s="1">
        <f>SUM(PL!K239:M239)</f>
        <v>0</v>
      </c>
      <c r="E239" s="1">
        <f>SUM(PL!N239:P239)</f>
        <v>0</v>
      </c>
      <c r="F239" s="1">
        <f>SUM(PL!Q239:S239)</f>
        <v>0</v>
      </c>
      <c r="G239" s="1">
        <f>SUM(PL!T239:V239)</f>
        <v>0</v>
      </c>
      <c r="H239" s="1">
        <f>SUM(C239:G239)</f>
        <v>0</v>
      </c>
      <c r="I239" s="1">
        <f>IF(C239 + I238 &lt; 0, C239 + I238, 0)</f>
        <v>0</v>
      </c>
      <c r="J239" s="1">
        <f>IF(D239 + J238 &lt; 0, D239 + J238, 0)</f>
        <v>0</v>
      </c>
      <c r="K239" s="1">
        <f>IF(E239 + K238 &lt; 0, E239 + K238, 0)</f>
        <v>0</v>
      </c>
      <c r="L239" s="1">
        <f>IF(F239 + L238 &lt; 0, F239 + L238, 0)</f>
        <v>0</v>
      </c>
      <c r="M239" s="1">
        <f>IF(G239 + M238 &lt; 0, G239 + M238, 0)</f>
        <v>0</v>
      </c>
      <c r="N239" s="1">
        <f>IF(H239 + N238 &lt; 0, H239 + N238, 0)</f>
        <v>0</v>
      </c>
      <c r="O239" s="1">
        <f>IF(N239 &lt; 0, 1 + O238, 0)</f>
        <v>0</v>
      </c>
      <c r="P239" s="1">
        <f>C239-((ABS(SUM(PL!H239:J239)))*0.125)</f>
        <v>0</v>
      </c>
      <c r="Q239" s="1">
        <f>D239-((ABS(SUM(PL!K239:M239)))*0.125)</f>
        <v>0</v>
      </c>
      <c r="R239" s="1">
        <f>E239-((ABS(SUM(PL!N239:P239)))*0.125)</f>
        <v>0</v>
      </c>
      <c r="S239" s="1">
        <f>F239-((ABS(SUM(PL!Q239:S239)))*0.125)</f>
        <v>0</v>
      </c>
      <c r="T239" s="1">
        <f>G239-((ABS(SUM(PL!T239:V239)))*0.125)</f>
        <v>0</v>
      </c>
      <c r="U239" s="1">
        <f>P239 + Q239 + R239 + S239 + T239</f>
        <v>0</v>
      </c>
      <c r="V239" s="1">
        <f>IF(P239 + V238 &lt; 0, P239 + V238, 0)</f>
        <v>0</v>
      </c>
      <c r="W239" s="1">
        <f>IF(Q239 + W238 &lt; 0, Q239 + W238, 0)</f>
        <v>0</v>
      </c>
      <c r="X239" s="1">
        <f>IF(R239 + X238 &lt; 0, R239 + X238, 0)</f>
        <v>0</v>
      </c>
      <c r="Y239" s="1">
        <f>IF(S239 + Y238 &lt; 0, S239 + Y238, 0)</f>
        <v>0</v>
      </c>
      <c r="Z239" s="1">
        <f>IF(T239 + Z238 &lt; 0, T239 + Z238, 0)</f>
        <v>0</v>
      </c>
      <c r="AA239" s="1">
        <f>IF(U239 + AA238 &lt; 0, U239 + AA238, 0)</f>
        <v>0</v>
      </c>
      <c r="AB239" s="1">
        <f>IF(AA239 &lt; 0, 1 + AB238, 0)</f>
        <v>0</v>
      </c>
      <c r="AC239" s="1">
        <f>IF(H239&lt;0,1,0)</f>
        <v>0</v>
      </c>
      <c r="AD239" s="1">
        <f>IF(AC239=1,H239,0)</f>
        <v>0</v>
      </c>
      <c r="AE239" s="1">
        <f>IF(H239&gt;0,1,0)</f>
        <v>0</v>
      </c>
      <c r="AF239" s="1">
        <f>IF(AE239=1,H239,0)</f>
        <v>0</v>
      </c>
      <c r="AG239" s="1">
        <f>IF(AD239&lt;-20000000.0/100,1,0)</f>
        <v>0</v>
      </c>
      <c r="AH239" s="1">
        <f>IF(AF239&gt;20000000.0/100,1,0)</f>
        <v>0</v>
      </c>
      <c r="AI239" s="1">
        <f>IF(U239&lt;0,1,0)</f>
        <v>0</v>
      </c>
      <c r="AJ239" s="1">
        <f>IF(AI239=1,U239,0)</f>
        <v>0</v>
      </c>
      <c r="AK239" s="1">
        <f>IF(U239&gt;0,1,0)</f>
        <v>0</v>
      </c>
      <c r="AL239" s="1">
        <f>IF(AK239=1,U239,0)</f>
        <v>0</v>
      </c>
      <c r="AM239" s="1">
        <f>IF(AJ239&lt;-20000000.0/100,1,0)</f>
        <v>0</v>
      </c>
      <c r="AN239" s="1">
        <f>IF(AL239&gt;20000000.0/100,1,0)</f>
        <v>0</v>
      </c>
    </row>
    <row r="240" spans="1:40" s="1" customFormat="1">
      <c r="A240" s="3">
        <v>45645</v>
      </c>
      <c r="B240" s="2" t="s">
        <v>25</v>
      </c>
      <c r="C240" s="1">
        <f>SUM(PL!H240:J240)</f>
        <v>0</v>
      </c>
      <c r="D240" s="1">
        <f>SUM(PL!K240:M240)</f>
        <v>0</v>
      </c>
      <c r="E240" s="1">
        <f>SUM(PL!N240:P240)</f>
        <v>0</v>
      </c>
      <c r="F240" s="1">
        <f>SUM(PL!Q240:S240)</f>
        <v>0</v>
      </c>
      <c r="G240" s="1">
        <f>SUM(PL!T240:V240)</f>
        <v>0</v>
      </c>
      <c r="H240" s="1">
        <f>SUM(C240:G240)</f>
        <v>0</v>
      </c>
      <c r="I240" s="1">
        <f>IF(C240 + I239 &lt; 0, C240 + I239, 0)</f>
        <v>0</v>
      </c>
      <c r="J240" s="1">
        <f>IF(D240 + J239 &lt; 0, D240 + J239, 0)</f>
        <v>0</v>
      </c>
      <c r="K240" s="1">
        <f>IF(E240 + K239 &lt; 0, E240 + K239, 0)</f>
        <v>0</v>
      </c>
      <c r="L240" s="1">
        <f>IF(F240 + L239 &lt; 0, F240 + L239, 0)</f>
        <v>0</v>
      </c>
      <c r="M240" s="1">
        <f>IF(G240 + M239 &lt; 0, G240 + M239, 0)</f>
        <v>0</v>
      </c>
      <c r="N240" s="1">
        <f>IF(H240 + N239 &lt; 0, H240 + N239, 0)</f>
        <v>0</v>
      </c>
      <c r="O240" s="1">
        <f>IF(N240 &lt; 0, 1 + O239, 0)</f>
        <v>0</v>
      </c>
      <c r="P240" s="1">
        <f>C240-((ABS(SUM(PL!H240:J240)))*0.125)</f>
        <v>0</v>
      </c>
      <c r="Q240" s="1">
        <f>D240-((ABS(SUM(PL!K240:M240)))*0.125)</f>
        <v>0</v>
      </c>
      <c r="R240" s="1">
        <f>E240-((ABS(SUM(PL!N240:P240)))*0.125)</f>
        <v>0</v>
      </c>
      <c r="S240" s="1">
        <f>F240-((ABS(SUM(PL!Q240:S240)))*0.125)</f>
        <v>0</v>
      </c>
      <c r="T240" s="1">
        <f>G240-((ABS(SUM(PL!T240:V240)))*0.125)</f>
        <v>0</v>
      </c>
      <c r="U240" s="1">
        <f>P240 + Q240 + R240 + S240 + T240</f>
        <v>0</v>
      </c>
      <c r="V240" s="1">
        <f>IF(P240 + V239 &lt; 0, P240 + V239, 0)</f>
        <v>0</v>
      </c>
      <c r="W240" s="1">
        <f>IF(Q240 + W239 &lt; 0, Q240 + W239, 0)</f>
        <v>0</v>
      </c>
      <c r="X240" s="1">
        <f>IF(R240 + X239 &lt; 0, R240 + X239, 0)</f>
        <v>0</v>
      </c>
      <c r="Y240" s="1">
        <f>IF(S240 + Y239 &lt; 0, S240 + Y239, 0)</f>
        <v>0</v>
      </c>
      <c r="Z240" s="1">
        <f>IF(T240 + Z239 &lt; 0, T240 + Z239, 0)</f>
        <v>0</v>
      </c>
      <c r="AA240" s="1">
        <f>IF(U240 + AA239 &lt; 0, U240 + AA239, 0)</f>
        <v>0</v>
      </c>
      <c r="AB240" s="1">
        <f>IF(AA240 &lt; 0, 1 + AB239, 0)</f>
        <v>0</v>
      </c>
      <c r="AC240" s="1">
        <f>IF(H240&lt;0,1,0)</f>
        <v>0</v>
      </c>
      <c r="AD240" s="1">
        <f>IF(AC240=1,H240,0)</f>
        <v>0</v>
      </c>
      <c r="AE240" s="1">
        <f>IF(H240&gt;0,1,0)</f>
        <v>0</v>
      </c>
      <c r="AF240" s="1">
        <f>IF(AE240=1,H240,0)</f>
        <v>0</v>
      </c>
      <c r="AG240" s="1">
        <f>IF(AD240&lt;-20000000.0/100,1,0)</f>
        <v>0</v>
      </c>
      <c r="AH240" s="1">
        <f>IF(AF240&gt;20000000.0/100,1,0)</f>
        <v>0</v>
      </c>
      <c r="AI240" s="1">
        <f>IF(U240&lt;0,1,0)</f>
        <v>0</v>
      </c>
      <c r="AJ240" s="1">
        <f>IF(AI240=1,U240,0)</f>
        <v>0</v>
      </c>
      <c r="AK240" s="1">
        <f>IF(U240&gt;0,1,0)</f>
        <v>0</v>
      </c>
      <c r="AL240" s="1">
        <f>IF(AK240=1,U240,0)</f>
        <v>0</v>
      </c>
      <c r="AM240" s="1">
        <f>IF(AJ240&lt;-20000000.0/100,1,0)</f>
        <v>0</v>
      </c>
      <c r="AN240" s="1">
        <f>IF(AL240&gt;20000000.0/100,1,0)</f>
        <v>0</v>
      </c>
    </row>
    <row r="241" spans="1:40" s="1" customFormat="1">
      <c r="A241" s="3">
        <v>45646</v>
      </c>
      <c r="B241" s="2" t="s">
        <v>26</v>
      </c>
      <c r="C241" s="1">
        <f>SUM(PL!H241:J241)</f>
        <v>0</v>
      </c>
      <c r="D241" s="1">
        <f>SUM(PL!K241:M241)</f>
        <v>0</v>
      </c>
      <c r="E241" s="1">
        <f>SUM(PL!N241:P241)</f>
        <v>0</v>
      </c>
      <c r="F241" s="1">
        <f>SUM(PL!Q241:S241)</f>
        <v>0</v>
      </c>
      <c r="G241" s="1">
        <f>SUM(PL!T241:V241)</f>
        <v>0</v>
      </c>
      <c r="H241" s="1">
        <f>SUM(C241:G241)</f>
        <v>0</v>
      </c>
      <c r="I241" s="1">
        <f>IF(C241 + I240 &lt; 0, C241 + I240, 0)</f>
        <v>0</v>
      </c>
      <c r="J241" s="1">
        <f>IF(D241 + J240 &lt; 0, D241 + J240, 0)</f>
        <v>0</v>
      </c>
      <c r="K241" s="1">
        <f>IF(E241 + K240 &lt; 0, E241 + K240, 0)</f>
        <v>0</v>
      </c>
      <c r="L241" s="1">
        <f>IF(F241 + L240 &lt; 0, F241 + L240, 0)</f>
        <v>0</v>
      </c>
      <c r="M241" s="1">
        <f>IF(G241 + M240 &lt; 0, G241 + M240, 0)</f>
        <v>0</v>
      </c>
      <c r="N241" s="1">
        <f>IF(H241 + N240 &lt; 0, H241 + N240, 0)</f>
        <v>0</v>
      </c>
      <c r="O241" s="1">
        <f>IF(N241 &lt; 0, 1 + O240, 0)</f>
        <v>0</v>
      </c>
      <c r="P241" s="1">
        <f>C241-((ABS(SUM(PL!H241:J241)))*0.125)</f>
        <v>0</v>
      </c>
      <c r="Q241" s="1">
        <f>D241-((ABS(SUM(PL!K241:M241)))*0.125)</f>
        <v>0</v>
      </c>
      <c r="R241" s="1">
        <f>E241-((ABS(SUM(PL!N241:P241)))*0.125)</f>
        <v>0</v>
      </c>
      <c r="S241" s="1">
        <f>F241-((ABS(SUM(PL!Q241:S241)))*0.125)</f>
        <v>0</v>
      </c>
      <c r="T241" s="1">
        <f>G241-((ABS(SUM(PL!T241:V241)))*0.125)</f>
        <v>0</v>
      </c>
      <c r="U241" s="1">
        <f>P241 + Q241 + R241 + S241 + T241</f>
        <v>0</v>
      </c>
      <c r="V241" s="1">
        <f>IF(P241 + V240 &lt; 0, P241 + V240, 0)</f>
        <v>0</v>
      </c>
      <c r="W241" s="1">
        <f>IF(Q241 + W240 &lt; 0, Q241 + W240, 0)</f>
        <v>0</v>
      </c>
      <c r="X241" s="1">
        <f>IF(R241 + X240 &lt; 0, R241 + X240, 0)</f>
        <v>0</v>
      </c>
      <c r="Y241" s="1">
        <f>IF(S241 + Y240 &lt; 0, S241 + Y240, 0)</f>
        <v>0</v>
      </c>
      <c r="Z241" s="1">
        <f>IF(T241 + Z240 &lt; 0, T241 + Z240, 0)</f>
        <v>0</v>
      </c>
      <c r="AA241" s="1">
        <f>IF(U241 + AA240 &lt; 0, U241 + AA240, 0)</f>
        <v>0</v>
      </c>
      <c r="AB241" s="1">
        <f>IF(AA241 &lt; 0, 1 + AB240, 0)</f>
        <v>0</v>
      </c>
      <c r="AC241" s="1">
        <f>IF(H241&lt;0,1,0)</f>
        <v>0</v>
      </c>
      <c r="AD241" s="1">
        <f>IF(AC241=1,H241,0)</f>
        <v>0</v>
      </c>
      <c r="AE241" s="1">
        <f>IF(H241&gt;0,1,0)</f>
        <v>0</v>
      </c>
      <c r="AF241" s="1">
        <f>IF(AE241=1,H241,0)</f>
        <v>0</v>
      </c>
      <c r="AG241" s="1">
        <f>IF(AD241&lt;-20000000.0/100,1,0)</f>
        <v>0</v>
      </c>
      <c r="AH241" s="1">
        <f>IF(AF241&gt;20000000.0/100,1,0)</f>
        <v>0</v>
      </c>
      <c r="AI241" s="1">
        <f>IF(U241&lt;0,1,0)</f>
        <v>0</v>
      </c>
      <c r="AJ241" s="1">
        <f>IF(AI241=1,U241,0)</f>
        <v>0</v>
      </c>
      <c r="AK241" s="1">
        <f>IF(U241&gt;0,1,0)</f>
        <v>0</v>
      </c>
      <c r="AL241" s="1">
        <f>IF(AK241=1,U241,0)</f>
        <v>0</v>
      </c>
      <c r="AM241" s="1">
        <f>IF(AJ241&lt;-20000000.0/100,1,0)</f>
        <v>0</v>
      </c>
      <c r="AN241" s="1">
        <f>IF(AL241&gt;20000000.0/100,1,0)</f>
        <v>0</v>
      </c>
    </row>
    <row r="242" spans="1:40" s="1" customFormat="1">
      <c r="A242" s="3">
        <v>45649</v>
      </c>
      <c r="B242" s="2" t="s">
        <v>22</v>
      </c>
      <c r="C242" s="1">
        <f>SUM(PL!H242:J242)</f>
        <v>0</v>
      </c>
      <c r="D242" s="1">
        <f>SUM(PL!K242:M242)</f>
        <v>0</v>
      </c>
      <c r="E242" s="1">
        <f>SUM(PL!N242:P242)</f>
        <v>0</v>
      </c>
      <c r="F242" s="1">
        <f>SUM(PL!Q242:S242)</f>
        <v>0</v>
      </c>
      <c r="G242" s="1">
        <f>SUM(PL!T242:V242)</f>
        <v>0</v>
      </c>
      <c r="H242" s="1">
        <f>SUM(C242:G242)</f>
        <v>0</v>
      </c>
      <c r="I242" s="1">
        <f>IF(C242 + I241 &lt; 0, C242 + I241, 0)</f>
        <v>0</v>
      </c>
      <c r="J242" s="1">
        <f>IF(D242 + J241 &lt; 0, D242 + J241, 0)</f>
        <v>0</v>
      </c>
      <c r="K242" s="1">
        <f>IF(E242 + K241 &lt; 0, E242 + K241, 0)</f>
        <v>0</v>
      </c>
      <c r="L242" s="1">
        <f>IF(F242 + L241 &lt; 0, F242 + L241, 0)</f>
        <v>0</v>
      </c>
      <c r="M242" s="1">
        <f>IF(G242 + M241 &lt; 0, G242 + M241, 0)</f>
        <v>0</v>
      </c>
      <c r="N242" s="1">
        <f>IF(H242 + N241 &lt; 0, H242 + N241, 0)</f>
        <v>0</v>
      </c>
      <c r="O242" s="1">
        <f>IF(N242 &lt; 0, 1 + O241, 0)</f>
        <v>0</v>
      </c>
      <c r="P242" s="1">
        <f>C242-((ABS(SUM(PL!H242:J242)))*0.125)</f>
        <v>0</v>
      </c>
      <c r="Q242" s="1">
        <f>D242-((ABS(SUM(PL!K242:M242)))*0.125)</f>
        <v>0</v>
      </c>
      <c r="R242" s="1">
        <f>E242-((ABS(SUM(PL!N242:P242)))*0.125)</f>
        <v>0</v>
      </c>
      <c r="S242" s="1">
        <f>F242-((ABS(SUM(PL!Q242:S242)))*0.125)</f>
        <v>0</v>
      </c>
      <c r="T242" s="1">
        <f>G242-((ABS(SUM(PL!T242:V242)))*0.125)</f>
        <v>0</v>
      </c>
      <c r="U242" s="1">
        <f>P242 + Q242 + R242 + S242 + T242</f>
        <v>0</v>
      </c>
      <c r="V242" s="1">
        <f>IF(P242 + V241 &lt; 0, P242 + V241, 0)</f>
        <v>0</v>
      </c>
      <c r="W242" s="1">
        <f>IF(Q242 + W241 &lt; 0, Q242 + W241, 0)</f>
        <v>0</v>
      </c>
      <c r="X242" s="1">
        <f>IF(R242 + X241 &lt; 0, R242 + X241, 0)</f>
        <v>0</v>
      </c>
      <c r="Y242" s="1">
        <f>IF(S242 + Y241 &lt; 0, S242 + Y241, 0)</f>
        <v>0</v>
      </c>
      <c r="Z242" s="1">
        <f>IF(T242 + Z241 &lt; 0, T242 + Z241, 0)</f>
        <v>0</v>
      </c>
      <c r="AA242" s="1">
        <f>IF(U242 + AA241 &lt; 0, U242 + AA241, 0)</f>
        <v>0</v>
      </c>
      <c r="AB242" s="1">
        <f>IF(AA242 &lt; 0, 1 + AB241, 0)</f>
        <v>0</v>
      </c>
      <c r="AC242" s="1">
        <f>IF(H242&lt;0,1,0)</f>
        <v>0</v>
      </c>
      <c r="AD242" s="1">
        <f>IF(AC242=1,H242,0)</f>
        <v>0</v>
      </c>
      <c r="AE242" s="1">
        <f>IF(H242&gt;0,1,0)</f>
        <v>0</v>
      </c>
      <c r="AF242" s="1">
        <f>IF(AE242=1,H242,0)</f>
        <v>0</v>
      </c>
      <c r="AG242" s="1">
        <f>IF(AD242&lt;-20000000.0/100,1,0)</f>
        <v>0</v>
      </c>
      <c r="AH242" s="1">
        <f>IF(AF242&gt;20000000.0/100,1,0)</f>
        <v>0</v>
      </c>
      <c r="AI242" s="1">
        <f>IF(U242&lt;0,1,0)</f>
        <v>0</v>
      </c>
      <c r="AJ242" s="1">
        <f>IF(AI242=1,U242,0)</f>
        <v>0</v>
      </c>
      <c r="AK242" s="1">
        <f>IF(U242&gt;0,1,0)</f>
        <v>0</v>
      </c>
      <c r="AL242" s="1">
        <f>IF(AK242=1,U242,0)</f>
        <v>0</v>
      </c>
      <c r="AM242" s="1">
        <f>IF(AJ242&lt;-20000000.0/100,1,0)</f>
        <v>0</v>
      </c>
      <c r="AN242" s="1">
        <f>IF(AL242&gt;20000000.0/100,1,0)</f>
        <v>0</v>
      </c>
    </row>
    <row r="243" spans="1:40" s="1" customFormat="1">
      <c r="A243" s="3">
        <v>45650</v>
      </c>
      <c r="B243" s="2" t="s">
        <v>23</v>
      </c>
      <c r="C243" s="1">
        <f>SUM(PL!H243:J243)</f>
        <v>0</v>
      </c>
      <c r="D243" s="1">
        <f>SUM(PL!K243:M243)</f>
        <v>0</v>
      </c>
      <c r="E243" s="1">
        <f>SUM(PL!N243:P243)</f>
        <v>0</v>
      </c>
      <c r="F243" s="1">
        <f>SUM(PL!Q243:S243)</f>
        <v>0</v>
      </c>
      <c r="G243" s="1">
        <f>SUM(PL!T243:V243)</f>
        <v>0</v>
      </c>
      <c r="H243" s="1">
        <f>SUM(C243:G243)</f>
        <v>0</v>
      </c>
      <c r="I243" s="1">
        <f>IF(C243 + I242 &lt; 0, C243 + I242, 0)</f>
        <v>0</v>
      </c>
      <c r="J243" s="1">
        <f>IF(D243 + J242 &lt; 0, D243 + J242, 0)</f>
        <v>0</v>
      </c>
      <c r="K243" s="1">
        <f>IF(E243 + K242 &lt; 0, E243 + K242, 0)</f>
        <v>0</v>
      </c>
      <c r="L243" s="1">
        <f>IF(F243 + L242 &lt; 0, F243 + L242, 0)</f>
        <v>0</v>
      </c>
      <c r="M243" s="1">
        <f>IF(G243 + M242 &lt; 0, G243 + M242, 0)</f>
        <v>0</v>
      </c>
      <c r="N243" s="1">
        <f>IF(H243 + N242 &lt; 0, H243 + N242, 0)</f>
        <v>0</v>
      </c>
      <c r="O243" s="1">
        <f>IF(N243 &lt; 0, 1 + O242, 0)</f>
        <v>0</v>
      </c>
      <c r="P243" s="1">
        <f>C243-((ABS(SUM(PL!H243:J243)))*0.125)</f>
        <v>0</v>
      </c>
      <c r="Q243" s="1">
        <f>D243-((ABS(SUM(PL!K243:M243)))*0.125)</f>
        <v>0</v>
      </c>
      <c r="R243" s="1">
        <f>E243-((ABS(SUM(PL!N243:P243)))*0.125)</f>
        <v>0</v>
      </c>
      <c r="S243" s="1">
        <f>F243-((ABS(SUM(PL!Q243:S243)))*0.125)</f>
        <v>0</v>
      </c>
      <c r="T243" s="1">
        <f>G243-((ABS(SUM(PL!T243:V243)))*0.125)</f>
        <v>0</v>
      </c>
      <c r="U243" s="1">
        <f>P243 + Q243 + R243 + S243 + T243</f>
        <v>0</v>
      </c>
      <c r="V243" s="1">
        <f>IF(P243 + V242 &lt; 0, P243 + V242, 0)</f>
        <v>0</v>
      </c>
      <c r="W243" s="1">
        <f>IF(Q243 + W242 &lt; 0, Q243 + W242, 0)</f>
        <v>0</v>
      </c>
      <c r="X243" s="1">
        <f>IF(R243 + X242 &lt; 0, R243 + X242, 0)</f>
        <v>0</v>
      </c>
      <c r="Y243" s="1">
        <f>IF(S243 + Y242 &lt; 0, S243 + Y242, 0)</f>
        <v>0</v>
      </c>
      <c r="Z243" s="1">
        <f>IF(T243 + Z242 &lt; 0, T243 + Z242, 0)</f>
        <v>0</v>
      </c>
      <c r="AA243" s="1">
        <f>IF(U243 + AA242 &lt; 0, U243 + AA242, 0)</f>
        <v>0</v>
      </c>
      <c r="AB243" s="1">
        <f>IF(AA243 &lt; 0, 1 + AB242, 0)</f>
        <v>0</v>
      </c>
      <c r="AC243" s="1">
        <f>IF(H243&lt;0,1,0)</f>
        <v>0</v>
      </c>
      <c r="AD243" s="1">
        <f>IF(AC243=1,H243,0)</f>
        <v>0</v>
      </c>
      <c r="AE243" s="1">
        <f>IF(H243&gt;0,1,0)</f>
        <v>0</v>
      </c>
      <c r="AF243" s="1">
        <f>IF(AE243=1,H243,0)</f>
        <v>0</v>
      </c>
      <c r="AG243" s="1">
        <f>IF(AD243&lt;-20000000.0/100,1,0)</f>
        <v>0</v>
      </c>
      <c r="AH243" s="1">
        <f>IF(AF243&gt;20000000.0/100,1,0)</f>
        <v>0</v>
      </c>
      <c r="AI243" s="1">
        <f>IF(U243&lt;0,1,0)</f>
        <v>0</v>
      </c>
      <c r="AJ243" s="1">
        <f>IF(AI243=1,U243,0)</f>
        <v>0</v>
      </c>
      <c r="AK243" s="1">
        <f>IF(U243&gt;0,1,0)</f>
        <v>0</v>
      </c>
      <c r="AL243" s="1">
        <f>IF(AK243=1,U243,0)</f>
        <v>0</v>
      </c>
      <c r="AM243" s="1">
        <f>IF(AJ243&lt;-20000000.0/100,1,0)</f>
        <v>0</v>
      </c>
      <c r="AN243" s="1">
        <f>IF(AL243&gt;20000000.0/100,1,0)</f>
        <v>0</v>
      </c>
    </row>
    <row r="244" spans="1:40" s="1" customFormat="1">
      <c r="A244" s="3">
        <v>45652</v>
      </c>
      <c r="B244" s="2" t="s">
        <v>25</v>
      </c>
      <c r="C244" s="1">
        <f>SUM(PL!H244:J244)</f>
        <v>0</v>
      </c>
      <c r="D244" s="1">
        <f>SUM(PL!K244:M244)</f>
        <v>0</v>
      </c>
      <c r="E244" s="1">
        <f>SUM(PL!N244:P244)</f>
        <v>0</v>
      </c>
      <c r="F244" s="1">
        <f>SUM(PL!Q244:S244)</f>
        <v>0</v>
      </c>
      <c r="G244" s="1">
        <f>SUM(PL!T244:V244)</f>
        <v>0</v>
      </c>
      <c r="H244" s="1">
        <f>SUM(C244:G244)</f>
        <v>0</v>
      </c>
      <c r="I244" s="1">
        <f>IF(C244 + I243 &lt; 0, C244 + I243, 0)</f>
        <v>0</v>
      </c>
      <c r="J244" s="1">
        <f>IF(D244 + J243 &lt; 0, D244 + J243, 0)</f>
        <v>0</v>
      </c>
      <c r="K244" s="1">
        <f>IF(E244 + K243 &lt; 0, E244 + K243, 0)</f>
        <v>0</v>
      </c>
      <c r="L244" s="1">
        <f>IF(F244 + L243 &lt; 0, F244 + L243, 0)</f>
        <v>0</v>
      </c>
      <c r="M244" s="1">
        <f>IF(G244 + M243 &lt; 0, G244 + M243, 0)</f>
        <v>0</v>
      </c>
      <c r="N244" s="1">
        <f>IF(H244 + N243 &lt; 0, H244 + N243, 0)</f>
        <v>0</v>
      </c>
      <c r="O244" s="1">
        <f>IF(N244 &lt; 0, 1 + O243, 0)</f>
        <v>0</v>
      </c>
      <c r="P244" s="1">
        <f>C244-((ABS(SUM(PL!H244:J244)))*0.125)</f>
        <v>0</v>
      </c>
      <c r="Q244" s="1">
        <f>D244-((ABS(SUM(PL!K244:M244)))*0.125)</f>
        <v>0</v>
      </c>
      <c r="R244" s="1">
        <f>E244-((ABS(SUM(PL!N244:P244)))*0.125)</f>
        <v>0</v>
      </c>
      <c r="S244" s="1">
        <f>F244-((ABS(SUM(PL!Q244:S244)))*0.125)</f>
        <v>0</v>
      </c>
      <c r="T244" s="1">
        <f>G244-((ABS(SUM(PL!T244:V244)))*0.125)</f>
        <v>0</v>
      </c>
      <c r="U244" s="1">
        <f>P244 + Q244 + R244 + S244 + T244</f>
        <v>0</v>
      </c>
      <c r="V244" s="1">
        <f>IF(P244 + V243 &lt; 0, P244 + V243, 0)</f>
        <v>0</v>
      </c>
      <c r="W244" s="1">
        <f>IF(Q244 + W243 &lt; 0, Q244 + W243, 0)</f>
        <v>0</v>
      </c>
      <c r="X244" s="1">
        <f>IF(R244 + X243 &lt; 0, R244 + X243, 0)</f>
        <v>0</v>
      </c>
      <c r="Y244" s="1">
        <f>IF(S244 + Y243 &lt; 0, S244 + Y243, 0)</f>
        <v>0</v>
      </c>
      <c r="Z244" s="1">
        <f>IF(T244 + Z243 &lt; 0, T244 + Z243, 0)</f>
        <v>0</v>
      </c>
      <c r="AA244" s="1">
        <f>IF(U244 + AA243 &lt; 0, U244 + AA243, 0)</f>
        <v>0</v>
      </c>
      <c r="AB244" s="1">
        <f>IF(AA244 &lt; 0, 1 + AB243, 0)</f>
        <v>0</v>
      </c>
      <c r="AC244" s="1">
        <f>IF(H244&lt;0,1,0)</f>
        <v>0</v>
      </c>
      <c r="AD244" s="1">
        <f>IF(AC244=1,H244,0)</f>
        <v>0</v>
      </c>
      <c r="AE244" s="1">
        <f>IF(H244&gt;0,1,0)</f>
        <v>0</v>
      </c>
      <c r="AF244" s="1">
        <f>IF(AE244=1,H244,0)</f>
        <v>0</v>
      </c>
      <c r="AG244" s="1">
        <f>IF(AD244&lt;-20000000.0/100,1,0)</f>
        <v>0</v>
      </c>
      <c r="AH244" s="1">
        <f>IF(AF244&gt;20000000.0/100,1,0)</f>
        <v>0</v>
      </c>
      <c r="AI244" s="1">
        <f>IF(U244&lt;0,1,0)</f>
        <v>0</v>
      </c>
      <c r="AJ244" s="1">
        <f>IF(AI244=1,U244,0)</f>
        <v>0</v>
      </c>
      <c r="AK244" s="1">
        <f>IF(U244&gt;0,1,0)</f>
        <v>0</v>
      </c>
      <c r="AL244" s="1">
        <f>IF(AK244=1,U244,0)</f>
        <v>0</v>
      </c>
      <c r="AM244" s="1">
        <f>IF(AJ244&lt;-20000000.0/100,1,0)</f>
        <v>0</v>
      </c>
      <c r="AN244" s="1">
        <f>IF(AL244&gt;20000000.0/100,1,0)</f>
        <v>0</v>
      </c>
    </row>
    <row r="245" spans="1:40" s="1" customFormat="1">
      <c r="A245" s="3">
        <v>45653</v>
      </c>
      <c r="B245" s="2" t="s">
        <v>26</v>
      </c>
      <c r="C245" s="1">
        <f>SUM(PL!H245:J245)</f>
        <v>0</v>
      </c>
      <c r="D245" s="1">
        <f>SUM(PL!K245:M245)</f>
        <v>0</v>
      </c>
      <c r="E245" s="1">
        <f>SUM(PL!N245:P245)</f>
        <v>0</v>
      </c>
      <c r="F245" s="1">
        <f>SUM(PL!Q245:S245)</f>
        <v>0</v>
      </c>
      <c r="G245" s="1">
        <f>SUM(PL!T245:V245)</f>
        <v>0</v>
      </c>
      <c r="H245" s="1">
        <f>SUM(C245:G245)</f>
        <v>0</v>
      </c>
      <c r="I245" s="1">
        <f>IF(C245 + I244 &lt; 0, C245 + I244, 0)</f>
        <v>0</v>
      </c>
      <c r="J245" s="1">
        <f>IF(D245 + J244 &lt; 0, D245 + J244, 0)</f>
        <v>0</v>
      </c>
      <c r="K245" s="1">
        <f>IF(E245 + K244 &lt; 0, E245 + K244, 0)</f>
        <v>0</v>
      </c>
      <c r="L245" s="1">
        <f>IF(F245 + L244 &lt; 0, F245 + L244, 0)</f>
        <v>0</v>
      </c>
      <c r="M245" s="1">
        <f>IF(G245 + M244 &lt; 0, G245 + M244, 0)</f>
        <v>0</v>
      </c>
      <c r="N245" s="1">
        <f>IF(H245 + N244 &lt; 0, H245 + N244, 0)</f>
        <v>0</v>
      </c>
      <c r="O245" s="1">
        <f>IF(N245 &lt; 0, 1 + O244, 0)</f>
        <v>0</v>
      </c>
      <c r="P245" s="1">
        <f>C245-((ABS(SUM(PL!H245:J245)))*0.125)</f>
        <v>0</v>
      </c>
      <c r="Q245" s="1">
        <f>D245-((ABS(SUM(PL!K245:M245)))*0.125)</f>
        <v>0</v>
      </c>
      <c r="R245" s="1">
        <f>E245-((ABS(SUM(PL!N245:P245)))*0.125)</f>
        <v>0</v>
      </c>
      <c r="S245" s="1">
        <f>F245-((ABS(SUM(PL!Q245:S245)))*0.125)</f>
        <v>0</v>
      </c>
      <c r="T245" s="1">
        <f>G245-((ABS(SUM(PL!T245:V245)))*0.125)</f>
        <v>0</v>
      </c>
      <c r="U245" s="1">
        <f>P245 + Q245 + R245 + S245 + T245</f>
        <v>0</v>
      </c>
      <c r="V245" s="1">
        <f>IF(P245 + V244 &lt; 0, P245 + V244, 0)</f>
        <v>0</v>
      </c>
      <c r="W245" s="1">
        <f>IF(Q245 + W244 &lt; 0, Q245 + W244, 0)</f>
        <v>0</v>
      </c>
      <c r="X245" s="1">
        <f>IF(R245 + X244 &lt; 0, R245 + X244, 0)</f>
        <v>0</v>
      </c>
      <c r="Y245" s="1">
        <f>IF(S245 + Y244 &lt; 0, S245 + Y244, 0)</f>
        <v>0</v>
      </c>
      <c r="Z245" s="1">
        <f>IF(T245 + Z244 &lt; 0, T245 + Z244, 0)</f>
        <v>0</v>
      </c>
      <c r="AA245" s="1">
        <f>IF(U245 + AA244 &lt; 0, U245 + AA244, 0)</f>
        <v>0</v>
      </c>
      <c r="AB245" s="1">
        <f>IF(AA245 &lt; 0, 1 + AB244, 0)</f>
        <v>0</v>
      </c>
      <c r="AC245" s="1">
        <f>IF(H245&lt;0,1,0)</f>
        <v>0</v>
      </c>
      <c r="AD245" s="1">
        <f>IF(AC245=1,H245,0)</f>
        <v>0</v>
      </c>
      <c r="AE245" s="1">
        <f>IF(H245&gt;0,1,0)</f>
        <v>0</v>
      </c>
      <c r="AF245" s="1">
        <f>IF(AE245=1,H245,0)</f>
        <v>0</v>
      </c>
      <c r="AG245" s="1">
        <f>IF(AD245&lt;-20000000.0/100,1,0)</f>
        <v>0</v>
      </c>
      <c r="AH245" s="1">
        <f>IF(AF245&gt;20000000.0/100,1,0)</f>
        <v>0</v>
      </c>
      <c r="AI245" s="1">
        <f>IF(U245&lt;0,1,0)</f>
        <v>0</v>
      </c>
      <c r="AJ245" s="1">
        <f>IF(AI245=1,U245,0)</f>
        <v>0</v>
      </c>
      <c r="AK245" s="1">
        <f>IF(U245&gt;0,1,0)</f>
        <v>0</v>
      </c>
      <c r="AL245" s="1">
        <f>IF(AK245=1,U245,0)</f>
        <v>0</v>
      </c>
      <c r="AM245" s="1">
        <f>IF(AJ245&lt;-20000000.0/100,1,0)</f>
        <v>0</v>
      </c>
      <c r="AN245" s="1">
        <f>IF(AL245&gt;20000000.0/100,1,0)</f>
        <v>0</v>
      </c>
    </row>
    <row r="246" spans="1:40" s="1" customFormat="1">
      <c r="A246" s="3">
        <v>45656</v>
      </c>
      <c r="B246" s="2" t="s">
        <v>22</v>
      </c>
      <c r="C246" s="1">
        <f>SUM(PL!H246:J246)</f>
        <v>0</v>
      </c>
      <c r="D246" s="1">
        <f>SUM(PL!K246:M246)</f>
        <v>0</v>
      </c>
      <c r="E246" s="1">
        <f>SUM(PL!N246:P246)</f>
        <v>0</v>
      </c>
      <c r="F246" s="1">
        <f>SUM(PL!Q246:S246)</f>
        <v>0</v>
      </c>
      <c r="G246" s="1">
        <f>SUM(PL!T246:V246)</f>
        <v>0</v>
      </c>
      <c r="H246" s="1">
        <f>SUM(C246:G246)</f>
        <v>0</v>
      </c>
      <c r="I246" s="1">
        <f>IF(C246 + I245 &lt; 0, C246 + I245, 0)</f>
        <v>0</v>
      </c>
      <c r="J246" s="1">
        <f>IF(D246 + J245 &lt; 0, D246 + J245, 0)</f>
        <v>0</v>
      </c>
      <c r="K246" s="1">
        <f>IF(E246 + K245 &lt; 0, E246 + K245, 0)</f>
        <v>0</v>
      </c>
      <c r="L246" s="1">
        <f>IF(F246 + L245 &lt; 0, F246 + L245, 0)</f>
        <v>0</v>
      </c>
      <c r="M246" s="1">
        <f>IF(G246 + M245 &lt; 0, G246 + M245, 0)</f>
        <v>0</v>
      </c>
      <c r="N246" s="1">
        <f>IF(H246 + N245 &lt; 0, H246 + N245, 0)</f>
        <v>0</v>
      </c>
      <c r="O246" s="1">
        <f>IF(N246 &lt; 0, 1 + O245, 0)</f>
        <v>0</v>
      </c>
      <c r="P246" s="1">
        <f>C246-((ABS(SUM(PL!H246:J246)))*0.125)</f>
        <v>0</v>
      </c>
      <c r="Q246" s="1">
        <f>D246-((ABS(SUM(PL!K246:M246)))*0.125)</f>
        <v>0</v>
      </c>
      <c r="R246" s="1">
        <f>E246-((ABS(SUM(PL!N246:P246)))*0.125)</f>
        <v>0</v>
      </c>
      <c r="S246" s="1">
        <f>F246-((ABS(SUM(PL!Q246:S246)))*0.125)</f>
        <v>0</v>
      </c>
      <c r="T246" s="1">
        <f>G246-((ABS(SUM(PL!T246:V246)))*0.125)</f>
        <v>0</v>
      </c>
      <c r="U246" s="1">
        <f>P246 + Q246 + R246 + S246 + T246</f>
        <v>0</v>
      </c>
      <c r="V246" s="1">
        <f>IF(P246 + V245 &lt; 0, P246 + V245, 0)</f>
        <v>0</v>
      </c>
      <c r="W246" s="1">
        <f>IF(Q246 + W245 &lt; 0, Q246 + W245, 0)</f>
        <v>0</v>
      </c>
      <c r="X246" s="1">
        <f>IF(R246 + X245 &lt; 0, R246 + X245, 0)</f>
        <v>0</v>
      </c>
      <c r="Y246" s="1">
        <f>IF(S246 + Y245 &lt; 0, S246 + Y245, 0)</f>
        <v>0</v>
      </c>
      <c r="Z246" s="1">
        <f>IF(T246 + Z245 &lt; 0, T246 + Z245, 0)</f>
        <v>0</v>
      </c>
      <c r="AA246" s="1">
        <f>IF(U246 + AA245 &lt; 0, U246 + AA245, 0)</f>
        <v>0</v>
      </c>
      <c r="AB246" s="1">
        <f>IF(AA246 &lt; 0, 1 + AB245, 0)</f>
        <v>0</v>
      </c>
      <c r="AC246" s="1">
        <f>IF(H246&lt;0,1,0)</f>
        <v>0</v>
      </c>
      <c r="AD246" s="1">
        <f>IF(AC246=1,H246,0)</f>
        <v>0</v>
      </c>
      <c r="AE246" s="1">
        <f>IF(H246&gt;0,1,0)</f>
        <v>0</v>
      </c>
      <c r="AF246" s="1">
        <f>IF(AE246=1,H246,0)</f>
        <v>0</v>
      </c>
      <c r="AG246" s="1">
        <f>IF(AD246&lt;-20000000.0/100,1,0)</f>
        <v>0</v>
      </c>
      <c r="AH246" s="1">
        <f>IF(AF246&gt;20000000.0/100,1,0)</f>
        <v>0</v>
      </c>
      <c r="AI246" s="1">
        <f>IF(U246&lt;0,1,0)</f>
        <v>0</v>
      </c>
      <c r="AJ246" s="1">
        <f>IF(AI246=1,U246,0)</f>
        <v>0</v>
      </c>
      <c r="AK246" s="1">
        <f>IF(U246&gt;0,1,0)</f>
        <v>0</v>
      </c>
      <c r="AL246" s="1">
        <f>IF(AK246=1,U246,0)</f>
        <v>0</v>
      </c>
      <c r="AM246" s="1">
        <f>IF(AJ246&lt;-20000000.0/100,1,0)</f>
        <v>0</v>
      </c>
      <c r="AN246" s="1">
        <f>IF(AL246&gt;20000000.0/100,1,0)</f>
        <v>0</v>
      </c>
    </row>
    <row r="247" spans="1:40" s="1" customFormat="1">
      <c r="A247" s="3">
        <v>45657</v>
      </c>
      <c r="B247" s="2" t="s">
        <v>23</v>
      </c>
      <c r="C247" s="1">
        <f>SUM(PL!H247:J247)</f>
        <v>0</v>
      </c>
      <c r="D247" s="1">
        <f>SUM(PL!K247:M247)</f>
        <v>0</v>
      </c>
      <c r="E247" s="1">
        <f>SUM(PL!N247:P247)</f>
        <v>0</v>
      </c>
      <c r="F247" s="1">
        <f>SUM(PL!Q247:S247)</f>
        <v>0</v>
      </c>
      <c r="G247" s="1">
        <f>SUM(PL!T247:V247)</f>
        <v>0</v>
      </c>
      <c r="H247" s="1">
        <f>SUM(C247:G247)</f>
        <v>0</v>
      </c>
      <c r="I247" s="1">
        <f>IF(C247 + I246 &lt; 0, C247 + I246, 0)</f>
        <v>0</v>
      </c>
      <c r="J247" s="1">
        <f>IF(D247 + J246 &lt; 0, D247 + J246, 0)</f>
        <v>0</v>
      </c>
      <c r="K247" s="1">
        <f>IF(E247 + K246 &lt; 0, E247 + K246, 0)</f>
        <v>0</v>
      </c>
      <c r="L247" s="1">
        <f>IF(F247 + L246 &lt; 0, F247 + L246, 0)</f>
        <v>0</v>
      </c>
      <c r="M247" s="1">
        <f>IF(G247 + M246 &lt; 0, G247 + M246, 0)</f>
        <v>0</v>
      </c>
      <c r="N247" s="1">
        <f>IF(H247 + N246 &lt; 0, H247 + N246, 0)</f>
        <v>0</v>
      </c>
      <c r="O247" s="1">
        <f>IF(N247 &lt; 0, 1 + O246, 0)</f>
        <v>0</v>
      </c>
      <c r="P247" s="1">
        <f>C247-((ABS(SUM(PL!H247:J247)))*0.125)</f>
        <v>0</v>
      </c>
      <c r="Q247" s="1">
        <f>D247-((ABS(SUM(PL!K247:M247)))*0.125)</f>
        <v>0</v>
      </c>
      <c r="R247" s="1">
        <f>E247-((ABS(SUM(PL!N247:P247)))*0.125)</f>
        <v>0</v>
      </c>
      <c r="S247" s="1">
        <f>F247-((ABS(SUM(PL!Q247:S247)))*0.125)</f>
        <v>0</v>
      </c>
      <c r="T247" s="1">
        <f>G247-((ABS(SUM(PL!T247:V247)))*0.125)</f>
        <v>0</v>
      </c>
      <c r="U247" s="1">
        <f>P247 + Q247 + R247 + S247 + T247</f>
        <v>0</v>
      </c>
      <c r="V247" s="1">
        <f>IF(P247 + V246 &lt; 0, P247 + V246, 0)</f>
        <v>0</v>
      </c>
      <c r="W247" s="1">
        <f>IF(Q247 + W246 &lt; 0, Q247 + W246, 0)</f>
        <v>0</v>
      </c>
      <c r="X247" s="1">
        <f>IF(R247 + X246 &lt; 0, R247 + X246, 0)</f>
        <v>0</v>
      </c>
      <c r="Y247" s="1">
        <f>IF(S247 + Y246 &lt; 0, S247 + Y246, 0)</f>
        <v>0</v>
      </c>
      <c r="Z247" s="1">
        <f>IF(T247 + Z246 &lt; 0, T247 + Z246, 0)</f>
        <v>0</v>
      </c>
      <c r="AA247" s="1">
        <f>IF(U247 + AA246 &lt; 0, U247 + AA246, 0)</f>
        <v>0</v>
      </c>
      <c r="AB247" s="1">
        <f>IF(AA247 &lt; 0, 1 + AB246, 0)</f>
        <v>0</v>
      </c>
      <c r="AC247" s="1">
        <f>IF(H247&lt;0,1,0)</f>
        <v>0</v>
      </c>
      <c r="AD247" s="1">
        <f>IF(AC247=1,H247,0)</f>
        <v>0</v>
      </c>
      <c r="AE247" s="1">
        <f>IF(H247&gt;0,1,0)</f>
        <v>0</v>
      </c>
      <c r="AF247" s="1">
        <f>IF(AE247=1,H247,0)</f>
        <v>0</v>
      </c>
      <c r="AG247" s="1">
        <f>IF(AD247&lt;-20000000.0/100,1,0)</f>
        <v>0</v>
      </c>
      <c r="AH247" s="1">
        <f>IF(AF247&gt;20000000.0/100,1,0)</f>
        <v>0</v>
      </c>
      <c r="AI247" s="1">
        <f>IF(U247&lt;0,1,0)</f>
        <v>0</v>
      </c>
      <c r="AJ247" s="1">
        <f>IF(AI247=1,U247,0)</f>
        <v>0</v>
      </c>
      <c r="AK247" s="1">
        <f>IF(U247&gt;0,1,0)</f>
        <v>0</v>
      </c>
      <c r="AL247" s="1">
        <f>IF(AK247=1,U247,0)</f>
        <v>0</v>
      </c>
      <c r="AM247" s="1">
        <f>IF(AJ247&lt;-20000000.0/100,1,0)</f>
        <v>0</v>
      </c>
      <c r="AN247" s="1">
        <f>IF(AL247&gt;20000000.0/100,1,0)</f>
        <v>0</v>
      </c>
    </row>
    <row r="248" spans="1:40" s="1" customFormat="1">
      <c r="A248" s="3">
        <v>45658</v>
      </c>
      <c r="B248" s="2" t="s">
        <v>24</v>
      </c>
      <c r="C248" s="1">
        <f>SUM(PL!H248:J248)</f>
        <v>0</v>
      </c>
      <c r="D248" s="1">
        <f>SUM(PL!K248:M248)</f>
        <v>0</v>
      </c>
      <c r="E248" s="1">
        <f>SUM(PL!N248:P248)</f>
        <v>0</v>
      </c>
      <c r="F248" s="1">
        <f>SUM(PL!Q248:S248)</f>
        <v>0</v>
      </c>
      <c r="G248" s="1">
        <f>SUM(PL!T248:V248)</f>
        <v>0</v>
      </c>
      <c r="H248" s="1">
        <f>SUM(C248:G248)</f>
        <v>0</v>
      </c>
      <c r="I248" s="1">
        <f>IF(C248 + I247 &lt; 0, C248 + I247, 0)</f>
        <v>0</v>
      </c>
      <c r="J248" s="1">
        <f>IF(D248 + J247 &lt; 0, D248 + J247, 0)</f>
        <v>0</v>
      </c>
      <c r="K248" s="1">
        <f>IF(E248 + K247 &lt; 0, E248 + K247, 0)</f>
        <v>0</v>
      </c>
      <c r="L248" s="1">
        <f>IF(F248 + L247 &lt; 0, F248 + L247, 0)</f>
        <v>0</v>
      </c>
      <c r="M248" s="1">
        <f>IF(G248 + M247 &lt; 0, G248 + M247, 0)</f>
        <v>0</v>
      </c>
      <c r="N248" s="1">
        <f>IF(H248 + N247 &lt; 0, H248 + N247, 0)</f>
        <v>0</v>
      </c>
      <c r="O248" s="1">
        <f>IF(N248 &lt; 0, 1 + O247, 0)</f>
        <v>0</v>
      </c>
      <c r="P248" s="1">
        <f>C248-((ABS(SUM(PL!H248:J248)))*0.125)</f>
        <v>0</v>
      </c>
      <c r="Q248" s="1">
        <f>D248-((ABS(SUM(PL!K248:M248)))*0.125)</f>
        <v>0</v>
      </c>
      <c r="R248" s="1">
        <f>E248-((ABS(SUM(PL!N248:P248)))*0.125)</f>
        <v>0</v>
      </c>
      <c r="S248" s="1">
        <f>F248-((ABS(SUM(PL!Q248:S248)))*0.125)</f>
        <v>0</v>
      </c>
      <c r="T248" s="1">
        <f>G248-((ABS(SUM(PL!T248:V248)))*0.125)</f>
        <v>0</v>
      </c>
      <c r="U248" s="1">
        <f>P248 + Q248 + R248 + S248 + T248</f>
        <v>0</v>
      </c>
      <c r="V248" s="1">
        <f>IF(P248 + V247 &lt; 0, P248 + V247, 0)</f>
        <v>0</v>
      </c>
      <c r="W248" s="1">
        <f>IF(Q248 + W247 &lt; 0, Q248 + W247, 0)</f>
        <v>0</v>
      </c>
      <c r="X248" s="1">
        <f>IF(R248 + X247 &lt; 0, R248 + X247, 0)</f>
        <v>0</v>
      </c>
      <c r="Y248" s="1">
        <f>IF(S248 + Y247 &lt; 0, S248 + Y247, 0)</f>
        <v>0</v>
      </c>
      <c r="Z248" s="1">
        <f>IF(T248 + Z247 &lt; 0, T248 + Z247, 0)</f>
        <v>0</v>
      </c>
      <c r="AA248" s="1">
        <f>IF(U248 + AA247 &lt; 0, U248 + AA247, 0)</f>
        <v>0</v>
      </c>
      <c r="AB248" s="1">
        <f>IF(AA248 &lt; 0, 1 + AB247, 0)</f>
        <v>0</v>
      </c>
      <c r="AC248" s="1">
        <f>IF(H248&lt;0,1,0)</f>
        <v>0</v>
      </c>
      <c r="AD248" s="1">
        <f>IF(AC248=1,H248,0)</f>
        <v>0</v>
      </c>
      <c r="AE248" s="1">
        <f>IF(H248&gt;0,1,0)</f>
        <v>0</v>
      </c>
      <c r="AF248" s="1">
        <f>IF(AE248=1,H248,0)</f>
        <v>0</v>
      </c>
      <c r="AG248" s="1">
        <f>IF(AD248&lt;-20000000.0/100,1,0)</f>
        <v>0</v>
      </c>
      <c r="AH248" s="1">
        <f>IF(AF248&gt;20000000.0/100,1,0)</f>
        <v>0</v>
      </c>
      <c r="AI248" s="1">
        <f>IF(U248&lt;0,1,0)</f>
        <v>0</v>
      </c>
      <c r="AJ248" s="1">
        <f>IF(AI248=1,U248,0)</f>
        <v>0</v>
      </c>
      <c r="AK248" s="1">
        <f>IF(U248&gt;0,1,0)</f>
        <v>0</v>
      </c>
      <c r="AL248" s="1">
        <f>IF(AK248=1,U248,0)</f>
        <v>0</v>
      </c>
      <c r="AM248" s="1">
        <f>IF(AJ248&lt;-20000000.0/100,1,0)</f>
        <v>0</v>
      </c>
      <c r="AN248" s="1">
        <f>IF(AL248&gt;20000000.0/100,1,0)</f>
        <v>0</v>
      </c>
    </row>
    <row r="249" spans="1:40" s="1" customFormat="1">
      <c r="A249" s="3">
        <v>45659</v>
      </c>
      <c r="B249" s="2" t="s">
        <v>25</v>
      </c>
      <c r="C249" s="1">
        <f>SUM(PL!H249:J249)</f>
        <v>0</v>
      </c>
      <c r="D249" s="1">
        <f>SUM(PL!K249:M249)</f>
        <v>0</v>
      </c>
      <c r="E249" s="1">
        <f>SUM(PL!N249:P249)</f>
        <v>0</v>
      </c>
      <c r="F249" s="1">
        <f>SUM(PL!Q249:S249)</f>
        <v>0</v>
      </c>
      <c r="G249" s="1">
        <f>SUM(PL!T249:V249)</f>
        <v>0</v>
      </c>
      <c r="H249" s="1">
        <f>SUM(C249:G249)</f>
        <v>0</v>
      </c>
      <c r="I249" s="1">
        <f>IF(C249 + I248 &lt; 0, C249 + I248, 0)</f>
        <v>0</v>
      </c>
      <c r="J249" s="1">
        <f>IF(D249 + J248 &lt; 0, D249 + J248, 0)</f>
        <v>0</v>
      </c>
      <c r="K249" s="1">
        <f>IF(E249 + K248 &lt; 0, E249 + K248, 0)</f>
        <v>0</v>
      </c>
      <c r="L249" s="1">
        <f>IF(F249 + L248 &lt; 0, F249 + L248, 0)</f>
        <v>0</v>
      </c>
      <c r="M249" s="1">
        <f>IF(G249 + M248 &lt; 0, G249 + M248, 0)</f>
        <v>0</v>
      </c>
      <c r="N249" s="1">
        <f>IF(H249 + N248 &lt; 0, H249 + N248, 0)</f>
        <v>0</v>
      </c>
      <c r="O249" s="1">
        <f>IF(N249 &lt; 0, 1 + O248, 0)</f>
        <v>0</v>
      </c>
      <c r="P249" s="1">
        <f>C249-((ABS(SUM(PL!H249:J249)))*0.125)</f>
        <v>0</v>
      </c>
      <c r="Q249" s="1">
        <f>D249-((ABS(SUM(PL!K249:M249)))*0.125)</f>
        <v>0</v>
      </c>
      <c r="R249" s="1">
        <f>E249-((ABS(SUM(PL!N249:P249)))*0.125)</f>
        <v>0</v>
      </c>
      <c r="S249" s="1">
        <f>F249-((ABS(SUM(PL!Q249:S249)))*0.125)</f>
        <v>0</v>
      </c>
      <c r="T249" s="1">
        <f>G249-((ABS(SUM(PL!T249:V249)))*0.125)</f>
        <v>0</v>
      </c>
      <c r="U249" s="1">
        <f>P249 + Q249 + R249 + S249 + T249</f>
        <v>0</v>
      </c>
      <c r="V249" s="1">
        <f>IF(P249 + V248 &lt; 0, P249 + V248, 0)</f>
        <v>0</v>
      </c>
      <c r="W249" s="1">
        <f>IF(Q249 + W248 &lt; 0, Q249 + W248, 0)</f>
        <v>0</v>
      </c>
      <c r="X249" s="1">
        <f>IF(R249 + X248 &lt; 0, R249 + X248, 0)</f>
        <v>0</v>
      </c>
      <c r="Y249" s="1">
        <f>IF(S249 + Y248 &lt; 0, S249 + Y248, 0)</f>
        <v>0</v>
      </c>
      <c r="Z249" s="1">
        <f>IF(T249 + Z248 &lt; 0, T249 + Z248, 0)</f>
        <v>0</v>
      </c>
      <c r="AA249" s="1">
        <f>IF(U249 + AA248 &lt; 0, U249 + AA248, 0)</f>
        <v>0</v>
      </c>
      <c r="AB249" s="1">
        <f>IF(AA249 &lt; 0, 1 + AB248, 0)</f>
        <v>0</v>
      </c>
      <c r="AC249" s="1">
        <f>IF(H249&lt;0,1,0)</f>
        <v>0</v>
      </c>
      <c r="AD249" s="1">
        <f>IF(AC249=1,H249,0)</f>
        <v>0</v>
      </c>
      <c r="AE249" s="1">
        <f>IF(H249&gt;0,1,0)</f>
        <v>0</v>
      </c>
      <c r="AF249" s="1">
        <f>IF(AE249=1,H249,0)</f>
        <v>0</v>
      </c>
      <c r="AG249" s="1">
        <f>IF(AD249&lt;-20000000.0/100,1,0)</f>
        <v>0</v>
      </c>
      <c r="AH249" s="1">
        <f>IF(AF249&gt;20000000.0/100,1,0)</f>
        <v>0</v>
      </c>
      <c r="AI249" s="1">
        <f>IF(U249&lt;0,1,0)</f>
        <v>0</v>
      </c>
      <c r="AJ249" s="1">
        <f>IF(AI249=1,U249,0)</f>
        <v>0</v>
      </c>
      <c r="AK249" s="1">
        <f>IF(U249&gt;0,1,0)</f>
        <v>0</v>
      </c>
      <c r="AL249" s="1">
        <f>IF(AK249=1,U249,0)</f>
        <v>0</v>
      </c>
      <c r="AM249" s="1">
        <f>IF(AJ249&lt;-20000000.0/100,1,0)</f>
        <v>0</v>
      </c>
      <c r="AN249" s="1">
        <f>IF(AL249&gt;20000000.0/100,1,0)</f>
        <v>0</v>
      </c>
    </row>
    <row r="250" spans="1:40" s="1" customFormat="1">
      <c r="A250" s="3">
        <v>45660</v>
      </c>
      <c r="B250" s="2" t="s">
        <v>26</v>
      </c>
      <c r="C250" s="1">
        <f>SUM(PL!H250:J250)</f>
        <v>0</v>
      </c>
      <c r="D250" s="1">
        <f>SUM(PL!K250:M250)</f>
        <v>0</v>
      </c>
      <c r="E250" s="1">
        <f>SUM(PL!N250:P250)</f>
        <v>0</v>
      </c>
      <c r="F250" s="1">
        <f>SUM(PL!Q250:S250)</f>
        <v>0</v>
      </c>
      <c r="G250" s="1">
        <f>SUM(PL!T250:V250)</f>
        <v>0</v>
      </c>
      <c r="H250" s="1">
        <f>SUM(C250:G250)</f>
        <v>0</v>
      </c>
      <c r="I250" s="1">
        <f>IF(C250 + I249 &lt; 0, C250 + I249, 0)</f>
        <v>0</v>
      </c>
      <c r="J250" s="1">
        <f>IF(D250 + J249 &lt; 0, D250 + J249, 0)</f>
        <v>0</v>
      </c>
      <c r="K250" s="1">
        <f>IF(E250 + K249 &lt; 0, E250 + K249, 0)</f>
        <v>0</v>
      </c>
      <c r="L250" s="1">
        <f>IF(F250 + L249 &lt; 0, F250 + L249, 0)</f>
        <v>0</v>
      </c>
      <c r="M250" s="1">
        <f>IF(G250 + M249 &lt; 0, G250 + M249, 0)</f>
        <v>0</v>
      </c>
      <c r="N250" s="1">
        <f>IF(H250 + N249 &lt; 0, H250 + N249, 0)</f>
        <v>0</v>
      </c>
      <c r="O250" s="1">
        <f>IF(N250 &lt; 0, 1 + O249, 0)</f>
        <v>0</v>
      </c>
      <c r="P250" s="1">
        <f>C250-((ABS(SUM(PL!H250:J250)))*0.125)</f>
        <v>0</v>
      </c>
      <c r="Q250" s="1">
        <f>D250-((ABS(SUM(PL!K250:M250)))*0.125)</f>
        <v>0</v>
      </c>
      <c r="R250" s="1">
        <f>E250-((ABS(SUM(PL!N250:P250)))*0.125)</f>
        <v>0</v>
      </c>
      <c r="S250" s="1">
        <f>F250-((ABS(SUM(PL!Q250:S250)))*0.125)</f>
        <v>0</v>
      </c>
      <c r="T250" s="1">
        <f>G250-((ABS(SUM(PL!T250:V250)))*0.125)</f>
        <v>0</v>
      </c>
      <c r="U250" s="1">
        <f>P250 + Q250 + R250 + S250 + T250</f>
        <v>0</v>
      </c>
      <c r="V250" s="1">
        <f>IF(P250 + V249 &lt; 0, P250 + V249, 0)</f>
        <v>0</v>
      </c>
      <c r="W250" s="1">
        <f>IF(Q250 + W249 &lt; 0, Q250 + W249, 0)</f>
        <v>0</v>
      </c>
      <c r="X250" s="1">
        <f>IF(R250 + X249 &lt; 0, R250 + X249, 0)</f>
        <v>0</v>
      </c>
      <c r="Y250" s="1">
        <f>IF(S250 + Y249 &lt; 0, S250 + Y249, 0)</f>
        <v>0</v>
      </c>
      <c r="Z250" s="1">
        <f>IF(T250 + Z249 &lt; 0, T250 + Z249, 0)</f>
        <v>0</v>
      </c>
      <c r="AA250" s="1">
        <f>IF(U250 + AA249 &lt; 0, U250 + AA249, 0)</f>
        <v>0</v>
      </c>
      <c r="AB250" s="1">
        <f>IF(AA250 &lt; 0, 1 + AB249, 0)</f>
        <v>0</v>
      </c>
      <c r="AC250" s="1">
        <f>IF(H250&lt;0,1,0)</f>
        <v>0</v>
      </c>
      <c r="AD250" s="1">
        <f>IF(AC250=1,H250,0)</f>
        <v>0</v>
      </c>
      <c r="AE250" s="1">
        <f>IF(H250&gt;0,1,0)</f>
        <v>0</v>
      </c>
      <c r="AF250" s="1">
        <f>IF(AE250=1,H250,0)</f>
        <v>0</v>
      </c>
      <c r="AG250" s="1">
        <f>IF(AD250&lt;-20000000.0/100,1,0)</f>
        <v>0</v>
      </c>
      <c r="AH250" s="1">
        <f>IF(AF250&gt;20000000.0/100,1,0)</f>
        <v>0</v>
      </c>
      <c r="AI250" s="1">
        <f>IF(U250&lt;0,1,0)</f>
        <v>0</v>
      </c>
      <c r="AJ250" s="1">
        <f>IF(AI250=1,U250,0)</f>
        <v>0</v>
      </c>
      <c r="AK250" s="1">
        <f>IF(U250&gt;0,1,0)</f>
        <v>0</v>
      </c>
      <c r="AL250" s="1">
        <f>IF(AK250=1,U250,0)</f>
        <v>0</v>
      </c>
      <c r="AM250" s="1">
        <f>IF(AJ250&lt;-20000000.0/100,1,0)</f>
        <v>0</v>
      </c>
      <c r="AN250" s="1">
        <f>IF(AL250&gt;20000000.0/100,1,0)</f>
        <v>0</v>
      </c>
    </row>
    <row r="251" spans="1:40" s="1" customFormat="1">
      <c r="A251" s="3">
        <v>45663</v>
      </c>
      <c r="B251" s="2" t="s">
        <v>22</v>
      </c>
      <c r="C251" s="1">
        <f>SUM(PL!H251:J251)</f>
        <v>0</v>
      </c>
      <c r="D251" s="1">
        <f>SUM(PL!K251:M251)</f>
        <v>0</v>
      </c>
      <c r="E251" s="1">
        <f>SUM(PL!N251:P251)</f>
        <v>0</v>
      </c>
      <c r="F251" s="1">
        <f>SUM(PL!Q251:S251)</f>
        <v>0</v>
      </c>
      <c r="G251" s="1">
        <f>SUM(PL!T251:V251)</f>
        <v>0</v>
      </c>
      <c r="H251" s="1">
        <f>SUM(C251:G251)</f>
        <v>0</v>
      </c>
      <c r="I251" s="1">
        <f>IF(C251 + I250 &lt; 0, C251 + I250, 0)</f>
        <v>0</v>
      </c>
      <c r="J251" s="1">
        <f>IF(D251 + J250 &lt; 0, D251 + J250, 0)</f>
        <v>0</v>
      </c>
      <c r="K251" s="1">
        <f>IF(E251 + K250 &lt; 0, E251 + K250, 0)</f>
        <v>0</v>
      </c>
      <c r="L251" s="1">
        <f>IF(F251 + L250 &lt; 0, F251 + L250, 0)</f>
        <v>0</v>
      </c>
      <c r="M251" s="1">
        <f>IF(G251 + M250 &lt; 0, G251 + M250, 0)</f>
        <v>0</v>
      </c>
      <c r="N251" s="1">
        <f>IF(H251 + N250 &lt; 0, H251 + N250, 0)</f>
        <v>0</v>
      </c>
      <c r="O251" s="1">
        <f>IF(N251 &lt; 0, 1 + O250, 0)</f>
        <v>0</v>
      </c>
      <c r="P251" s="1">
        <f>C251-((ABS(SUM(PL!H251:J251)))*0.125)</f>
        <v>0</v>
      </c>
      <c r="Q251" s="1">
        <f>D251-((ABS(SUM(PL!K251:M251)))*0.125)</f>
        <v>0</v>
      </c>
      <c r="R251" s="1">
        <f>E251-((ABS(SUM(PL!N251:P251)))*0.125)</f>
        <v>0</v>
      </c>
      <c r="S251" s="1">
        <f>F251-((ABS(SUM(PL!Q251:S251)))*0.125)</f>
        <v>0</v>
      </c>
      <c r="T251" s="1">
        <f>G251-((ABS(SUM(PL!T251:V251)))*0.125)</f>
        <v>0</v>
      </c>
      <c r="U251" s="1">
        <f>P251 + Q251 + R251 + S251 + T251</f>
        <v>0</v>
      </c>
      <c r="V251" s="1">
        <f>IF(P251 + V250 &lt; 0, P251 + V250, 0)</f>
        <v>0</v>
      </c>
      <c r="W251" s="1">
        <f>IF(Q251 + W250 &lt; 0, Q251 + W250, 0)</f>
        <v>0</v>
      </c>
      <c r="X251" s="1">
        <f>IF(R251 + X250 &lt; 0, R251 + X250, 0)</f>
        <v>0</v>
      </c>
      <c r="Y251" s="1">
        <f>IF(S251 + Y250 &lt; 0, S251 + Y250, 0)</f>
        <v>0</v>
      </c>
      <c r="Z251" s="1">
        <f>IF(T251 + Z250 &lt; 0, T251 + Z250, 0)</f>
        <v>0</v>
      </c>
      <c r="AA251" s="1">
        <f>IF(U251 + AA250 &lt; 0, U251 + AA250, 0)</f>
        <v>0</v>
      </c>
      <c r="AB251" s="1">
        <f>IF(AA251 &lt; 0, 1 + AB250, 0)</f>
        <v>0</v>
      </c>
      <c r="AC251" s="1">
        <f>IF(H251&lt;0,1,0)</f>
        <v>0</v>
      </c>
      <c r="AD251" s="1">
        <f>IF(AC251=1,H251,0)</f>
        <v>0</v>
      </c>
      <c r="AE251" s="1">
        <f>IF(H251&gt;0,1,0)</f>
        <v>0</v>
      </c>
      <c r="AF251" s="1">
        <f>IF(AE251=1,H251,0)</f>
        <v>0</v>
      </c>
      <c r="AG251" s="1">
        <f>IF(AD251&lt;-20000000.0/100,1,0)</f>
        <v>0</v>
      </c>
      <c r="AH251" s="1">
        <f>IF(AF251&gt;20000000.0/100,1,0)</f>
        <v>0</v>
      </c>
      <c r="AI251" s="1">
        <f>IF(U251&lt;0,1,0)</f>
        <v>0</v>
      </c>
      <c r="AJ251" s="1">
        <f>IF(AI251=1,U251,0)</f>
        <v>0</v>
      </c>
      <c r="AK251" s="1">
        <f>IF(U251&gt;0,1,0)</f>
        <v>0</v>
      </c>
      <c r="AL251" s="1">
        <f>IF(AK251=1,U251,0)</f>
        <v>0</v>
      </c>
      <c r="AM251" s="1">
        <f>IF(AJ251&lt;-20000000.0/100,1,0)</f>
        <v>0</v>
      </c>
      <c r="AN251" s="1">
        <f>IF(AL251&gt;20000000.0/100,1,0)</f>
        <v>0</v>
      </c>
    </row>
    <row r="252" spans="1:40" s="1" customFormat="1">
      <c r="A252" s="3">
        <v>45664</v>
      </c>
      <c r="B252" s="2" t="s">
        <v>23</v>
      </c>
      <c r="C252" s="1">
        <f>SUM(PL!H252:J252)</f>
        <v>0</v>
      </c>
      <c r="D252" s="1">
        <f>SUM(PL!K252:M252)</f>
        <v>0</v>
      </c>
      <c r="E252" s="1">
        <f>SUM(PL!N252:P252)</f>
        <v>0</v>
      </c>
      <c r="F252" s="1">
        <f>SUM(PL!Q252:S252)</f>
        <v>0</v>
      </c>
      <c r="G252" s="1">
        <f>SUM(PL!T252:V252)</f>
        <v>0</v>
      </c>
      <c r="H252" s="1">
        <f>SUM(C252:G252)</f>
        <v>0</v>
      </c>
      <c r="I252" s="1">
        <f>IF(C252 + I251 &lt; 0, C252 + I251, 0)</f>
        <v>0</v>
      </c>
      <c r="J252" s="1">
        <f>IF(D252 + J251 &lt; 0, D252 + J251, 0)</f>
        <v>0</v>
      </c>
      <c r="K252" s="1">
        <f>IF(E252 + K251 &lt; 0, E252 + K251, 0)</f>
        <v>0</v>
      </c>
      <c r="L252" s="1">
        <f>IF(F252 + L251 &lt; 0, F252 + L251, 0)</f>
        <v>0</v>
      </c>
      <c r="M252" s="1">
        <f>IF(G252 + M251 &lt; 0, G252 + M251, 0)</f>
        <v>0</v>
      </c>
      <c r="N252" s="1">
        <f>IF(H252 + N251 &lt; 0, H252 + N251, 0)</f>
        <v>0</v>
      </c>
      <c r="O252" s="1">
        <f>IF(N252 &lt; 0, 1 + O251, 0)</f>
        <v>0</v>
      </c>
      <c r="P252" s="1">
        <f>C252-((ABS(SUM(PL!H252:J252)))*0.125)</f>
        <v>0</v>
      </c>
      <c r="Q252" s="1">
        <f>D252-((ABS(SUM(PL!K252:M252)))*0.125)</f>
        <v>0</v>
      </c>
      <c r="R252" s="1">
        <f>E252-((ABS(SUM(PL!N252:P252)))*0.125)</f>
        <v>0</v>
      </c>
      <c r="S252" s="1">
        <f>F252-((ABS(SUM(PL!Q252:S252)))*0.125)</f>
        <v>0</v>
      </c>
      <c r="T252" s="1">
        <f>G252-((ABS(SUM(PL!T252:V252)))*0.125)</f>
        <v>0</v>
      </c>
      <c r="U252" s="1">
        <f>P252 + Q252 + R252 + S252 + T252</f>
        <v>0</v>
      </c>
      <c r="V252" s="1">
        <f>IF(P252 + V251 &lt; 0, P252 + V251, 0)</f>
        <v>0</v>
      </c>
      <c r="W252" s="1">
        <f>IF(Q252 + W251 &lt; 0, Q252 + W251, 0)</f>
        <v>0</v>
      </c>
      <c r="X252" s="1">
        <f>IF(R252 + X251 &lt; 0, R252 + X251, 0)</f>
        <v>0</v>
      </c>
      <c r="Y252" s="1">
        <f>IF(S252 + Y251 &lt; 0, S252 + Y251, 0)</f>
        <v>0</v>
      </c>
      <c r="Z252" s="1">
        <f>IF(T252 + Z251 &lt; 0, T252 + Z251, 0)</f>
        <v>0</v>
      </c>
      <c r="AA252" s="1">
        <f>IF(U252 + AA251 &lt; 0, U252 + AA251, 0)</f>
        <v>0</v>
      </c>
      <c r="AB252" s="1">
        <f>IF(AA252 &lt; 0, 1 + AB251, 0)</f>
        <v>0</v>
      </c>
      <c r="AC252" s="1">
        <f>IF(H252&lt;0,1,0)</f>
        <v>0</v>
      </c>
      <c r="AD252" s="1">
        <f>IF(AC252=1,H252,0)</f>
        <v>0</v>
      </c>
      <c r="AE252" s="1">
        <f>IF(H252&gt;0,1,0)</f>
        <v>0</v>
      </c>
      <c r="AF252" s="1">
        <f>IF(AE252=1,H252,0)</f>
        <v>0</v>
      </c>
      <c r="AG252" s="1">
        <f>IF(AD252&lt;-20000000.0/100,1,0)</f>
        <v>0</v>
      </c>
      <c r="AH252" s="1">
        <f>IF(AF252&gt;20000000.0/100,1,0)</f>
        <v>0</v>
      </c>
      <c r="AI252" s="1">
        <f>IF(U252&lt;0,1,0)</f>
        <v>0</v>
      </c>
      <c r="AJ252" s="1">
        <f>IF(AI252=1,U252,0)</f>
        <v>0</v>
      </c>
      <c r="AK252" s="1">
        <f>IF(U252&gt;0,1,0)</f>
        <v>0</v>
      </c>
      <c r="AL252" s="1">
        <f>IF(AK252=1,U252,0)</f>
        <v>0</v>
      </c>
      <c r="AM252" s="1">
        <f>IF(AJ252&lt;-20000000.0/100,1,0)</f>
        <v>0</v>
      </c>
      <c r="AN252" s="1">
        <f>IF(AL252&gt;20000000.0/100,1,0)</f>
        <v>0</v>
      </c>
    </row>
    <row r="253" spans="1:40" s="1" customFormat="1">
      <c r="A253" s="3">
        <v>45665</v>
      </c>
      <c r="B253" s="2" t="s">
        <v>24</v>
      </c>
      <c r="C253" s="1">
        <f>SUM(PL!H253:J253)</f>
        <v>0</v>
      </c>
      <c r="D253" s="1">
        <f>SUM(PL!K253:M253)</f>
        <v>0</v>
      </c>
      <c r="E253" s="1">
        <f>SUM(PL!N253:P253)</f>
        <v>0</v>
      </c>
      <c r="F253" s="1">
        <f>SUM(PL!Q253:S253)</f>
        <v>0</v>
      </c>
      <c r="G253" s="1">
        <f>SUM(PL!T253:V253)</f>
        <v>0</v>
      </c>
      <c r="H253" s="1">
        <f>SUM(C253:G253)</f>
        <v>0</v>
      </c>
      <c r="I253" s="1">
        <f>IF(C253 + I252 &lt; 0, C253 + I252, 0)</f>
        <v>0</v>
      </c>
      <c r="J253" s="1">
        <f>IF(D253 + J252 &lt; 0, D253 + J252, 0)</f>
        <v>0</v>
      </c>
      <c r="K253" s="1">
        <f>IF(E253 + K252 &lt; 0, E253 + K252, 0)</f>
        <v>0</v>
      </c>
      <c r="L253" s="1">
        <f>IF(F253 + L252 &lt; 0, F253 + L252, 0)</f>
        <v>0</v>
      </c>
      <c r="M253" s="1">
        <f>IF(G253 + M252 &lt; 0, G253 + M252, 0)</f>
        <v>0</v>
      </c>
      <c r="N253" s="1">
        <f>IF(H253 + N252 &lt; 0, H253 + N252, 0)</f>
        <v>0</v>
      </c>
      <c r="O253" s="1">
        <f>IF(N253 &lt; 0, 1 + O252, 0)</f>
        <v>0</v>
      </c>
      <c r="P253" s="1">
        <f>C253-((ABS(SUM(PL!H253:J253)))*0.125)</f>
        <v>0</v>
      </c>
      <c r="Q253" s="1">
        <f>D253-((ABS(SUM(PL!K253:M253)))*0.125)</f>
        <v>0</v>
      </c>
      <c r="R253" s="1">
        <f>E253-((ABS(SUM(PL!N253:P253)))*0.125)</f>
        <v>0</v>
      </c>
      <c r="S253" s="1">
        <f>F253-((ABS(SUM(PL!Q253:S253)))*0.125)</f>
        <v>0</v>
      </c>
      <c r="T253" s="1">
        <f>G253-((ABS(SUM(PL!T253:V253)))*0.125)</f>
        <v>0</v>
      </c>
      <c r="U253" s="1">
        <f>P253 + Q253 + R253 + S253 + T253</f>
        <v>0</v>
      </c>
      <c r="V253" s="1">
        <f>IF(P253 + V252 &lt; 0, P253 + V252, 0)</f>
        <v>0</v>
      </c>
      <c r="W253" s="1">
        <f>IF(Q253 + W252 &lt; 0, Q253 + W252, 0)</f>
        <v>0</v>
      </c>
      <c r="X253" s="1">
        <f>IF(R253 + X252 &lt; 0, R253 + X252, 0)</f>
        <v>0</v>
      </c>
      <c r="Y253" s="1">
        <f>IF(S253 + Y252 &lt; 0, S253 + Y252, 0)</f>
        <v>0</v>
      </c>
      <c r="Z253" s="1">
        <f>IF(T253 + Z252 &lt; 0, T253 + Z252, 0)</f>
        <v>0</v>
      </c>
      <c r="AA253" s="1">
        <f>IF(U253 + AA252 &lt; 0, U253 + AA252, 0)</f>
        <v>0</v>
      </c>
      <c r="AB253" s="1">
        <f>IF(AA253 &lt; 0, 1 + AB252, 0)</f>
        <v>0</v>
      </c>
      <c r="AC253" s="1">
        <f>IF(H253&lt;0,1,0)</f>
        <v>0</v>
      </c>
      <c r="AD253" s="1">
        <f>IF(AC253=1,H253,0)</f>
        <v>0</v>
      </c>
      <c r="AE253" s="1">
        <f>IF(H253&gt;0,1,0)</f>
        <v>0</v>
      </c>
      <c r="AF253" s="1">
        <f>IF(AE253=1,H253,0)</f>
        <v>0</v>
      </c>
      <c r="AG253" s="1">
        <f>IF(AD253&lt;-20000000.0/100,1,0)</f>
        <v>0</v>
      </c>
      <c r="AH253" s="1">
        <f>IF(AF253&gt;20000000.0/100,1,0)</f>
        <v>0</v>
      </c>
      <c r="AI253" s="1">
        <f>IF(U253&lt;0,1,0)</f>
        <v>0</v>
      </c>
      <c r="AJ253" s="1">
        <f>IF(AI253=1,U253,0)</f>
        <v>0</v>
      </c>
      <c r="AK253" s="1">
        <f>IF(U253&gt;0,1,0)</f>
        <v>0</v>
      </c>
      <c r="AL253" s="1">
        <f>IF(AK253=1,U253,0)</f>
        <v>0</v>
      </c>
      <c r="AM253" s="1">
        <f>IF(AJ253&lt;-20000000.0/100,1,0)</f>
        <v>0</v>
      </c>
      <c r="AN253" s="1">
        <f>IF(AL253&gt;20000000.0/100,1,0)</f>
        <v>0</v>
      </c>
    </row>
    <row r="254" spans="1:40" s="1" customFormat="1">
      <c r="A254" s="3">
        <v>45666</v>
      </c>
      <c r="B254" s="2" t="s">
        <v>25</v>
      </c>
      <c r="C254" s="1">
        <f>SUM(PL!H254:J254)</f>
        <v>0</v>
      </c>
      <c r="D254" s="1">
        <f>SUM(PL!K254:M254)</f>
        <v>0</v>
      </c>
      <c r="E254" s="1">
        <f>SUM(PL!N254:P254)</f>
        <v>0</v>
      </c>
      <c r="F254" s="1">
        <f>SUM(PL!Q254:S254)</f>
        <v>0</v>
      </c>
      <c r="G254" s="1">
        <f>SUM(PL!T254:V254)</f>
        <v>0</v>
      </c>
      <c r="H254" s="1">
        <f>SUM(C254:G254)</f>
        <v>0</v>
      </c>
      <c r="I254" s="1">
        <f>IF(C254 + I253 &lt; 0, C254 + I253, 0)</f>
        <v>0</v>
      </c>
      <c r="J254" s="1">
        <f>IF(D254 + J253 &lt; 0, D254 + J253, 0)</f>
        <v>0</v>
      </c>
      <c r="K254" s="1">
        <f>IF(E254 + K253 &lt; 0, E254 + K253, 0)</f>
        <v>0</v>
      </c>
      <c r="L254" s="1">
        <f>IF(F254 + L253 &lt; 0, F254 + L253, 0)</f>
        <v>0</v>
      </c>
      <c r="M254" s="1">
        <f>IF(G254 + M253 &lt; 0, G254 + M253, 0)</f>
        <v>0</v>
      </c>
      <c r="N254" s="1">
        <f>IF(H254 + N253 &lt; 0, H254 + N253, 0)</f>
        <v>0</v>
      </c>
      <c r="O254" s="1">
        <f>IF(N254 &lt; 0, 1 + O253, 0)</f>
        <v>0</v>
      </c>
      <c r="P254" s="1">
        <f>C254-((ABS(SUM(PL!H254:J254)))*0.125)</f>
        <v>0</v>
      </c>
      <c r="Q254" s="1">
        <f>D254-((ABS(SUM(PL!K254:M254)))*0.125)</f>
        <v>0</v>
      </c>
      <c r="R254" s="1">
        <f>E254-((ABS(SUM(PL!N254:P254)))*0.125)</f>
        <v>0</v>
      </c>
      <c r="S254" s="1">
        <f>F254-((ABS(SUM(PL!Q254:S254)))*0.125)</f>
        <v>0</v>
      </c>
      <c r="T254" s="1">
        <f>G254-((ABS(SUM(PL!T254:V254)))*0.125)</f>
        <v>0</v>
      </c>
      <c r="U254" s="1">
        <f>P254 + Q254 + R254 + S254 + T254</f>
        <v>0</v>
      </c>
      <c r="V254" s="1">
        <f>IF(P254 + V253 &lt; 0, P254 + V253, 0)</f>
        <v>0</v>
      </c>
      <c r="W254" s="1">
        <f>IF(Q254 + W253 &lt; 0, Q254 + W253, 0)</f>
        <v>0</v>
      </c>
      <c r="X254" s="1">
        <f>IF(R254 + X253 &lt; 0, R254 + X253, 0)</f>
        <v>0</v>
      </c>
      <c r="Y254" s="1">
        <f>IF(S254 + Y253 &lt; 0, S254 + Y253, 0)</f>
        <v>0</v>
      </c>
      <c r="Z254" s="1">
        <f>IF(T254 + Z253 &lt; 0, T254 + Z253, 0)</f>
        <v>0</v>
      </c>
      <c r="AA254" s="1">
        <f>IF(U254 + AA253 &lt; 0, U254 + AA253, 0)</f>
        <v>0</v>
      </c>
      <c r="AB254" s="1">
        <f>IF(AA254 &lt; 0, 1 + AB253, 0)</f>
        <v>0</v>
      </c>
      <c r="AC254" s="1">
        <f>IF(H254&lt;0,1,0)</f>
        <v>0</v>
      </c>
      <c r="AD254" s="1">
        <f>IF(AC254=1,H254,0)</f>
        <v>0</v>
      </c>
      <c r="AE254" s="1">
        <f>IF(H254&gt;0,1,0)</f>
        <v>0</v>
      </c>
      <c r="AF254" s="1">
        <f>IF(AE254=1,H254,0)</f>
        <v>0</v>
      </c>
      <c r="AG254" s="1">
        <f>IF(AD254&lt;-20000000.0/100,1,0)</f>
        <v>0</v>
      </c>
      <c r="AH254" s="1">
        <f>IF(AF254&gt;20000000.0/100,1,0)</f>
        <v>0</v>
      </c>
      <c r="AI254" s="1">
        <f>IF(U254&lt;0,1,0)</f>
        <v>0</v>
      </c>
      <c r="AJ254" s="1">
        <f>IF(AI254=1,U254,0)</f>
        <v>0</v>
      </c>
      <c r="AK254" s="1">
        <f>IF(U254&gt;0,1,0)</f>
        <v>0</v>
      </c>
      <c r="AL254" s="1">
        <f>IF(AK254=1,U254,0)</f>
        <v>0</v>
      </c>
      <c r="AM254" s="1">
        <f>IF(AJ254&lt;-20000000.0/100,1,0)</f>
        <v>0</v>
      </c>
      <c r="AN254" s="1">
        <f>IF(AL254&gt;20000000.0/100,1,0)</f>
        <v>0</v>
      </c>
    </row>
    <row r="255" spans="1:40" s="1" customFormat="1">
      <c r="A255" s="3">
        <v>45667</v>
      </c>
      <c r="B255" s="2" t="s">
        <v>26</v>
      </c>
      <c r="C255" s="1">
        <f>SUM(PL!H255:J255)</f>
        <v>0</v>
      </c>
      <c r="D255" s="1">
        <f>SUM(PL!K255:M255)</f>
        <v>0</v>
      </c>
      <c r="E255" s="1">
        <f>SUM(PL!N255:P255)</f>
        <v>0</v>
      </c>
      <c r="F255" s="1">
        <f>SUM(PL!Q255:S255)</f>
        <v>0</v>
      </c>
      <c r="G255" s="1">
        <f>SUM(PL!T255:V255)</f>
        <v>0</v>
      </c>
      <c r="H255" s="1">
        <f>SUM(C255:G255)</f>
        <v>0</v>
      </c>
      <c r="I255" s="1">
        <f>IF(C255 + I254 &lt; 0, C255 + I254, 0)</f>
        <v>0</v>
      </c>
      <c r="J255" s="1">
        <f>IF(D255 + J254 &lt; 0, D255 + J254, 0)</f>
        <v>0</v>
      </c>
      <c r="K255" s="1">
        <f>IF(E255 + K254 &lt; 0, E255 + K254, 0)</f>
        <v>0</v>
      </c>
      <c r="L255" s="1">
        <f>IF(F255 + L254 &lt; 0, F255 + L254, 0)</f>
        <v>0</v>
      </c>
      <c r="M255" s="1">
        <f>IF(G255 + M254 &lt; 0, G255 + M254, 0)</f>
        <v>0</v>
      </c>
      <c r="N255" s="1">
        <f>IF(H255 + N254 &lt; 0, H255 + N254, 0)</f>
        <v>0</v>
      </c>
      <c r="O255" s="1">
        <f>IF(N255 &lt; 0, 1 + O254, 0)</f>
        <v>0</v>
      </c>
      <c r="P255" s="1">
        <f>C255-((ABS(SUM(PL!H255:J255)))*0.125)</f>
        <v>0</v>
      </c>
      <c r="Q255" s="1">
        <f>D255-((ABS(SUM(PL!K255:M255)))*0.125)</f>
        <v>0</v>
      </c>
      <c r="R255" s="1">
        <f>E255-((ABS(SUM(PL!N255:P255)))*0.125)</f>
        <v>0</v>
      </c>
      <c r="S255" s="1">
        <f>F255-((ABS(SUM(PL!Q255:S255)))*0.125)</f>
        <v>0</v>
      </c>
      <c r="T255" s="1">
        <f>G255-((ABS(SUM(PL!T255:V255)))*0.125)</f>
        <v>0</v>
      </c>
      <c r="U255" s="1">
        <f>P255 + Q255 + R255 + S255 + T255</f>
        <v>0</v>
      </c>
      <c r="V255" s="1">
        <f>IF(P255 + V254 &lt; 0, P255 + V254, 0)</f>
        <v>0</v>
      </c>
      <c r="W255" s="1">
        <f>IF(Q255 + W254 &lt; 0, Q255 + W254, 0)</f>
        <v>0</v>
      </c>
      <c r="X255" s="1">
        <f>IF(R255 + X254 &lt; 0, R255 + X254, 0)</f>
        <v>0</v>
      </c>
      <c r="Y255" s="1">
        <f>IF(S255 + Y254 &lt; 0, S255 + Y254, 0)</f>
        <v>0</v>
      </c>
      <c r="Z255" s="1">
        <f>IF(T255 + Z254 &lt; 0, T255 + Z254, 0)</f>
        <v>0</v>
      </c>
      <c r="AA255" s="1">
        <f>IF(U255 + AA254 &lt; 0, U255 + AA254, 0)</f>
        <v>0</v>
      </c>
      <c r="AB255" s="1">
        <f>IF(AA255 &lt; 0, 1 + AB254, 0)</f>
        <v>0</v>
      </c>
      <c r="AC255" s="1">
        <f>IF(H255&lt;0,1,0)</f>
        <v>0</v>
      </c>
      <c r="AD255" s="1">
        <f>IF(AC255=1,H255,0)</f>
        <v>0</v>
      </c>
      <c r="AE255" s="1">
        <f>IF(H255&gt;0,1,0)</f>
        <v>0</v>
      </c>
      <c r="AF255" s="1">
        <f>IF(AE255=1,H255,0)</f>
        <v>0</v>
      </c>
      <c r="AG255" s="1">
        <f>IF(AD255&lt;-20000000.0/100,1,0)</f>
        <v>0</v>
      </c>
      <c r="AH255" s="1">
        <f>IF(AF255&gt;20000000.0/100,1,0)</f>
        <v>0</v>
      </c>
      <c r="AI255" s="1">
        <f>IF(U255&lt;0,1,0)</f>
        <v>0</v>
      </c>
      <c r="AJ255" s="1">
        <f>IF(AI255=1,U255,0)</f>
        <v>0</v>
      </c>
      <c r="AK255" s="1">
        <f>IF(U255&gt;0,1,0)</f>
        <v>0</v>
      </c>
      <c r="AL255" s="1">
        <f>IF(AK255=1,U255,0)</f>
        <v>0</v>
      </c>
      <c r="AM255" s="1">
        <f>IF(AJ255&lt;-20000000.0/100,1,0)</f>
        <v>0</v>
      </c>
      <c r="AN255" s="1">
        <f>IF(AL255&gt;20000000.0/100,1,0)</f>
        <v>0</v>
      </c>
    </row>
    <row r="256" spans="1:40" s="1" customFormat="1">
      <c r="A256" s="3">
        <v>45670</v>
      </c>
      <c r="B256" s="2" t="s">
        <v>22</v>
      </c>
      <c r="C256" s="1">
        <f>SUM(PL!H256:J256)</f>
        <v>0</v>
      </c>
      <c r="D256" s="1">
        <f>SUM(PL!K256:M256)</f>
        <v>0</v>
      </c>
      <c r="E256" s="1">
        <f>SUM(PL!N256:P256)</f>
        <v>0</v>
      </c>
      <c r="F256" s="1">
        <f>SUM(PL!Q256:S256)</f>
        <v>0</v>
      </c>
      <c r="G256" s="1">
        <f>SUM(PL!T256:V256)</f>
        <v>0</v>
      </c>
      <c r="H256" s="1">
        <f>SUM(C256:G256)</f>
        <v>0</v>
      </c>
      <c r="I256" s="1">
        <f>IF(C256 + I255 &lt; 0, C256 + I255, 0)</f>
        <v>0</v>
      </c>
      <c r="J256" s="1">
        <f>IF(D256 + J255 &lt; 0, D256 + J255, 0)</f>
        <v>0</v>
      </c>
      <c r="K256" s="1">
        <f>IF(E256 + K255 &lt; 0, E256 + K255, 0)</f>
        <v>0</v>
      </c>
      <c r="L256" s="1">
        <f>IF(F256 + L255 &lt; 0, F256 + L255, 0)</f>
        <v>0</v>
      </c>
      <c r="M256" s="1">
        <f>IF(G256 + M255 &lt; 0, G256 + M255, 0)</f>
        <v>0</v>
      </c>
      <c r="N256" s="1">
        <f>IF(H256 + N255 &lt; 0, H256 + N255, 0)</f>
        <v>0</v>
      </c>
      <c r="O256" s="1">
        <f>IF(N256 &lt; 0, 1 + O255, 0)</f>
        <v>0</v>
      </c>
      <c r="P256" s="1">
        <f>C256-((ABS(SUM(PL!H256:J256)))*0.125)</f>
        <v>0</v>
      </c>
      <c r="Q256" s="1">
        <f>D256-((ABS(SUM(PL!K256:M256)))*0.125)</f>
        <v>0</v>
      </c>
      <c r="R256" s="1">
        <f>E256-((ABS(SUM(PL!N256:P256)))*0.125)</f>
        <v>0</v>
      </c>
      <c r="S256" s="1">
        <f>F256-((ABS(SUM(PL!Q256:S256)))*0.125)</f>
        <v>0</v>
      </c>
      <c r="T256" s="1">
        <f>G256-((ABS(SUM(PL!T256:V256)))*0.125)</f>
        <v>0</v>
      </c>
      <c r="U256" s="1">
        <f>P256 + Q256 + R256 + S256 + T256</f>
        <v>0</v>
      </c>
      <c r="V256" s="1">
        <f>IF(P256 + V255 &lt; 0, P256 + V255, 0)</f>
        <v>0</v>
      </c>
      <c r="W256" s="1">
        <f>IF(Q256 + W255 &lt; 0, Q256 + W255, 0)</f>
        <v>0</v>
      </c>
      <c r="X256" s="1">
        <f>IF(R256 + X255 &lt; 0, R256 + X255, 0)</f>
        <v>0</v>
      </c>
      <c r="Y256" s="1">
        <f>IF(S256 + Y255 &lt; 0, S256 + Y255, 0)</f>
        <v>0</v>
      </c>
      <c r="Z256" s="1">
        <f>IF(T256 + Z255 &lt; 0, T256 + Z255, 0)</f>
        <v>0</v>
      </c>
      <c r="AA256" s="1">
        <f>IF(U256 + AA255 &lt; 0, U256 + AA255, 0)</f>
        <v>0</v>
      </c>
      <c r="AB256" s="1">
        <f>IF(AA256 &lt; 0, 1 + AB255, 0)</f>
        <v>0</v>
      </c>
      <c r="AC256" s="1">
        <f>IF(H256&lt;0,1,0)</f>
        <v>0</v>
      </c>
      <c r="AD256" s="1">
        <f>IF(AC256=1,H256,0)</f>
        <v>0</v>
      </c>
      <c r="AE256" s="1">
        <f>IF(H256&gt;0,1,0)</f>
        <v>0</v>
      </c>
      <c r="AF256" s="1">
        <f>IF(AE256=1,H256,0)</f>
        <v>0</v>
      </c>
      <c r="AG256" s="1">
        <f>IF(AD256&lt;-20000000.0/100,1,0)</f>
        <v>0</v>
      </c>
      <c r="AH256" s="1">
        <f>IF(AF256&gt;20000000.0/100,1,0)</f>
        <v>0</v>
      </c>
      <c r="AI256" s="1">
        <f>IF(U256&lt;0,1,0)</f>
        <v>0</v>
      </c>
      <c r="AJ256" s="1">
        <f>IF(AI256=1,U256,0)</f>
        <v>0</v>
      </c>
      <c r="AK256" s="1">
        <f>IF(U256&gt;0,1,0)</f>
        <v>0</v>
      </c>
      <c r="AL256" s="1">
        <f>IF(AK256=1,U256,0)</f>
        <v>0</v>
      </c>
      <c r="AM256" s="1">
        <f>IF(AJ256&lt;-20000000.0/100,1,0)</f>
        <v>0</v>
      </c>
      <c r="AN256" s="1">
        <f>IF(AL256&gt;20000000.0/100,1,0)</f>
        <v>0</v>
      </c>
    </row>
    <row r="257" spans="1:40" s="1" customFormat="1">
      <c r="A257" s="3">
        <v>45671</v>
      </c>
      <c r="B257" s="2" t="s">
        <v>23</v>
      </c>
      <c r="C257" s="1">
        <f>SUM(PL!H257:J257)</f>
        <v>0</v>
      </c>
      <c r="D257" s="1">
        <f>SUM(PL!K257:M257)</f>
        <v>0</v>
      </c>
      <c r="E257" s="1">
        <f>SUM(PL!N257:P257)</f>
        <v>0</v>
      </c>
      <c r="F257" s="1">
        <f>SUM(PL!Q257:S257)</f>
        <v>0</v>
      </c>
      <c r="G257" s="1">
        <f>SUM(PL!T257:V257)</f>
        <v>0</v>
      </c>
      <c r="H257" s="1">
        <f>SUM(C257:G257)</f>
        <v>0</v>
      </c>
      <c r="I257" s="1">
        <f>IF(C257 + I256 &lt; 0, C257 + I256, 0)</f>
        <v>0</v>
      </c>
      <c r="J257" s="1">
        <f>IF(D257 + J256 &lt; 0, D257 + J256, 0)</f>
        <v>0</v>
      </c>
      <c r="K257" s="1">
        <f>IF(E257 + K256 &lt; 0, E257 + K256, 0)</f>
        <v>0</v>
      </c>
      <c r="L257" s="1">
        <f>IF(F257 + L256 &lt; 0, F257 + L256, 0)</f>
        <v>0</v>
      </c>
      <c r="M257" s="1">
        <f>IF(G257 + M256 &lt; 0, G257 + M256, 0)</f>
        <v>0</v>
      </c>
      <c r="N257" s="1">
        <f>IF(H257 + N256 &lt; 0, H257 + N256, 0)</f>
        <v>0</v>
      </c>
      <c r="O257" s="1">
        <f>IF(N257 &lt; 0, 1 + O256, 0)</f>
        <v>0</v>
      </c>
      <c r="P257" s="1">
        <f>C257-((ABS(SUM(PL!H257:J257)))*0.125)</f>
        <v>0</v>
      </c>
      <c r="Q257" s="1">
        <f>D257-((ABS(SUM(PL!K257:M257)))*0.125)</f>
        <v>0</v>
      </c>
      <c r="R257" s="1">
        <f>E257-((ABS(SUM(PL!N257:P257)))*0.125)</f>
        <v>0</v>
      </c>
      <c r="S257" s="1">
        <f>F257-((ABS(SUM(PL!Q257:S257)))*0.125)</f>
        <v>0</v>
      </c>
      <c r="T257" s="1">
        <f>G257-((ABS(SUM(PL!T257:V257)))*0.125)</f>
        <v>0</v>
      </c>
      <c r="U257" s="1">
        <f>P257 + Q257 + R257 + S257 + T257</f>
        <v>0</v>
      </c>
      <c r="V257" s="1">
        <f>IF(P257 + V256 &lt; 0, P257 + V256, 0)</f>
        <v>0</v>
      </c>
      <c r="W257" s="1">
        <f>IF(Q257 + W256 &lt; 0, Q257 + W256, 0)</f>
        <v>0</v>
      </c>
      <c r="X257" s="1">
        <f>IF(R257 + X256 &lt; 0, R257 + X256, 0)</f>
        <v>0</v>
      </c>
      <c r="Y257" s="1">
        <f>IF(S257 + Y256 &lt; 0, S257 + Y256, 0)</f>
        <v>0</v>
      </c>
      <c r="Z257" s="1">
        <f>IF(T257 + Z256 &lt; 0, T257 + Z256, 0)</f>
        <v>0</v>
      </c>
      <c r="AA257" s="1">
        <f>IF(U257 + AA256 &lt; 0, U257 + AA256, 0)</f>
        <v>0</v>
      </c>
      <c r="AB257" s="1">
        <f>IF(AA257 &lt; 0, 1 + AB256, 0)</f>
        <v>0</v>
      </c>
      <c r="AC257" s="1">
        <f>IF(H257&lt;0,1,0)</f>
        <v>0</v>
      </c>
      <c r="AD257" s="1">
        <f>IF(AC257=1,H257,0)</f>
        <v>0</v>
      </c>
      <c r="AE257" s="1">
        <f>IF(H257&gt;0,1,0)</f>
        <v>0</v>
      </c>
      <c r="AF257" s="1">
        <f>IF(AE257=1,H257,0)</f>
        <v>0</v>
      </c>
      <c r="AG257" s="1">
        <f>IF(AD257&lt;-20000000.0/100,1,0)</f>
        <v>0</v>
      </c>
      <c r="AH257" s="1">
        <f>IF(AF257&gt;20000000.0/100,1,0)</f>
        <v>0</v>
      </c>
      <c r="AI257" s="1">
        <f>IF(U257&lt;0,1,0)</f>
        <v>0</v>
      </c>
      <c r="AJ257" s="1">
        <f>IF(AI257=1,U257,0)</f>
        <v>0</v>
      </c>
      <c r="AK257" s="1">
        <f>IF(U257&gt;0,1,0)</f>
        <v>0</v>
      </c>
      <c r="AL257" s="1">
        <f>IF(AK257=1,U257,0)</f>
        <v>0</v>
      </c>
      <c r="AM257" s="1">
        <f>IF(AJ257&lt;-20000000.0/100,1,0)</f>
        <v>0</v>
      </c>
      <c r="AN257" s="1">
        <f>IF(AL257&gt;20000000.0/100,1,0)</f>
        <v>0</v>
      </c>
    </row>
    <row r="258" spans="1:40" s="1" customFormat="1">
      <c r="A258" s="3">
        <v>45672</v>
      </c>
      <c r="B258" s="2" t="s">
        <v>24</v>
      </c>
      <c r="C258" s="1">
        <f>SUM(PL!H258:J258)</f>
        <v>0</v>
      </c>
      <c r="D258" s="1">
        <f>SUM(PL!K258:M258)</f>
        <v>0</v>
      </c>
      <c r="E258" s="1">
        <f>SUM(PL!N258:P258)</f>
        <v>0</v>
      </c>
      <c r="F258" s="1">
        <f>SUM(PL!Q258:S258)</f>
        <v>0</v>
      </c>
      <c r="G258" s="1">
        <f>SUM(PL!T258:V258)</f>
        <v>0</v>
      </c>
      <c r="H258" s="1">
        <f>SUM(C258:G258)</f>
        <v>0</v>
      </c>
      <c r="I258" s="1">
        <f>IF(C258 + I257 &lt; 0, C258 + I257, 0)</f>
        <v>0</v>
      </c>
      <c r="J258" s="1">
        <f>IF(D258 + J257 &lt; 0, D258 + J257, 0)</f>
        <v>0</v>
      </c>
      <c r="K258" s="1">
        <f>IF(E258 + K257 &lt; 0, E258 + K257, 0)</f>
        <v>0</v>
      </c>
      <c r="L258" s="1">
        <f>IF(F258 + L257 &lt; 0, F258 + L257, 0)</f>
        <v>0</v>
      </c>
      <c r="M258" s="1">
        <f>IF(G258 + M257 &lt; 0, G258 + M257, 0)</f>
        <v>0</v>
      </c>
      <c r="N258" s="1">
        <f>IF(H258 + N257 &lt; 0, H258 + N257, 0)</f>
        <v>0</v>
      </c>
      <c r="O258" s="1">
        <f>IF(N258 &lt; 0, 1 + O257, 0)</f>
        <v>0</v>
      </c>
      <c r="P258" s="1">
        <f>C258-((ABS(SUM(PL!H258:J258)))*0.125)</f>
        <v>0</v>
      </c>
      <c r="Q258" s="1">
        <f>D258-((ABS(SUM(PL!K258:M258)))*0.125)</f>
        <v>0</v>
      </c>
      <c r="R258" s="1">
        <f>E258-((ABS(SUM(PL!N258:P258)))*0.125)</f>
        <v>0</v>
      </c>
      <c r="S258" s="1">
        <f>F258-((ABS(SUM(PL!Q258:S258)))*0.125)</f>
        <v>0</v>
      </c>
      <c r="T258" s="1">
        <f>G258-((ABS(SUM(PL!T258:V258)))*0.125)</f>
        <v>0</v>
      </c>
      <c r="U258" s="1">
        <f>P258 + Q258 + R258 + S258 + T258</f>
        <v>0</v>
      </c>
      <c r="V258" s="1">
        <f>IF(P258 + V257 &lt; 0, P258 + V257, 0)</f>
        <v>0</v>
      </c>
      <c r="W258" s="1">
        <f>IF(Q258 + W257 &lt; 0, Q258 + W257, 0)</f>
        <v>0</v>
      </c>
      <c r="X258" s="1">
        <f>IF(R258 + X257 &lt; 0, R258 + X257, 0)</f>
        <v>0</v>
      </c>
      <c r="Y258" s="1">
        <f>IF(S258 + Y257 &lt; 0, S258 + Y257, 0)</f>
        <v>0</v>
      </c>
      <c r="Z258" s="1">
        <f>IF(T258 + Z257 &lt; 0, T258 + Z257, 0)</f>
        <v>0</v>
      </c>
      <c r="AA258" s="1">
        <f>IF(U258 + AA257 &lt; 0, U258 + AA257, 0)</f>
        <v>0</v>
      </c>
      <c r="AB258" s="1">
        <f>IF(AA258 &lt; 0, 1 + AB257, 0)</f>
        <v>0</v>
      </c>
      <c r="AC258" s="1">
        <f>IF(H258&lt;0,1,0)</f>
        <v>0</v>
      </c>
      <c r="AD258" s="1">
        <f>IF(AC258=1,H258,0)</f>
        <v>0</v>
      </c>
      <c r="AE258" s="1">
        <f>IF(H258&gt;0,1,0)</f>
        <v>0</v>
      </c>
      <c r="AF258" s="1">
        <f>IF(AE258=1,H258,0)</f>
        <v>0</v>
      </c>
      <c r="AG258" s="1">
        <f>IF(AD258&lt;-20000000.0/100,1,0)</f>
        <v>0</v>
      </c>
      <c r="AH258" s="1">
        <f>IF(AF258&gt;20000000.0/100,1,0)</f>
        <v>0</v>
      </c>
      <c r="AI258" s="1">
        <f>IF(U258&lt;0,1,0)</f>
        <v>0</v>
      </c>
      <c r="AJ258" s="1">
        <f>IF(AI258=1,U258,0)</f>
        <v>0</v>
      </c>
      <c r="AK258" s="1">
        <f>IF(U258&gt;0,1,0)</f>
        <v>0</v>
      </c>
      <c r="AL258" s="1">
        <f>IF(AK258=1,U258,0)</f>
        <v>0</v>
      </c>
      <c r="AM258" s="1">
        <f>IF(AJ258&lt;-20000000.0/100,1,0)</f>
        <v>0</v>
      </c>
      <c r="AN258" s="1">
        <f>IF(AL258&gt;20000000.0/100,1,0)</f>
        <v>0</v>
      </c>
    </row>
    <row r="259" spans="1:40" s="1" customFormat="1">
      <c r="A259" s="3">
        <v>45673</v>
      </c>
      <c r="B259" s="2" t="s">
        <v>25</v>
      </c>
      <c r="C259" s="1">
        <f>SUM(PL!H259:J259)</f>
        <v>0</v>
      </c>
      <c r="D259" s="1">
        <f>SUM(PL!K259:M259)</f>
        <v>0</v>
      </c>
      <c r="E259" s="1">
        <f>SUM(PL!N259:P259)</f>
        <v>0</v>
      </c>
      <c r="F259" s="1">
        <f>SUM(PL!Q259:S259)</f>
        <v>0</v>
      </c>
      <c r="G259" s="1">
        <f>SUM(PL!T259:V259)</f>
        <v>0</v>
      </c>
      <c r="H259" s="1">
        <f>SUM(C259:G259)</f>
        <v>0</v>
      </c>
      <c r="I259" s="1">
        <f>IF(C259 + I258 &lt; 0, C259 + I258, 0)</f>
        <v>0</v>
      </c>
      <c r="J259" s="1">
        <f>IF(D259 + J258 &lt; 0, D259 + J258, 0)</f>
        <v>0</v>
      </c>
      <c r="K259" s="1">
        <f>IF(E259 + K258 &lt; 0, E259 + K258, 0)</f>
        <v>0</v>
      </c>
      <c r="L259" s="1">
        <f>IF(F259 + L258 &lt; 0, F259 + L258, 0)</f>
        <v>0</v>
      </c>
      <c r="M259" s="1">
        <f>IF(G259 + M258 &lt; 0, G259 + M258, 0)</f>
        <v>0</v>
      </c>
      <c r="N259" s="1">
        <f>IF(H259 + N258 &lt; 0, H259 + N258, 0)</f>
        <v>0</v>
      </c>
      <c r="O259" s="1">
        <f>IF(N259 &lt; 0, 1 + O258, 0)</f>
        <v>0</v>
      </c>
      <c r="P259" s="1">
        <f>C259-((ABS(SUM(PL!H259:J259)))*0.125)</f>
        <v>0</v>
      </c>
      <c r="Q259" s="1">
        <f>D259-((ABS(SUM(PL!K259:M259)))*0.125)</f>
        <v>0</v>
      </c>
      <c r="R259" s="1">
        <f>E259-((ABS(SUM(PL!N259:P259)))*0.125)</f>
        <v>0</v>
      </c>
      <c r="S259" s="1">
        <f>F259-((ABS(SUM(PL!Q259:S259)))*0.125)</f>
        <v>0</v>
      </c>
      <c r="T259" s="1">
        <f>G259-((ABS(SUM(PL!T259:V259)))*0.125)</f>
        <v>0</v>
      </c>
      <c r="U259" s="1">
        <f>P259 + Q259 + R259 + S259 + T259</f>
        <v>0</v>
      </c>
      <c r="V259" s="1">
        <f>IF(P259 + V258 &lt; 0, P259 + V258, 0)</f>
        <v>0</v>
      </c>
      <c r="W259" s="1">
        <f>IF(Q259 + W258 &lt; 0, Q259 + W258, 0)</f>
        <v>0</v>
      </c>
      <c r="X259" s="1">
        <f>IF(R259 + X258 &lt; 0, R259 + X258, 0)</f>
        <v>0</v>
      </c>
      <c r="Y259" s="1">
        <f>IF(S259 + Y258 &lt; 0, S259 + Y258, 0)</f>
        <v>0</v>
      </c>
      <c r="Z259" s="1">
        <f>IF(T259 + Z258 &lt; 0, T259 + Z258, 0)</f>
        <v>0</v>
      </c>
      <c r="AA259" s="1">
        <f>IF(U259 + AA258 &lt; 0, U259 + AA258, 0)</f>
        <v>0</v>
      </c>
      <c r="AB259" s="1">
        <f>IF(AA259 &lt; 0, 1 + AB258, 0)</f>
        <v>0</v>
      </c>
      <c r="AC259" s="1">
        <f>IF(H259&lt;0,1,0)</f>
        <v>0</v>
      </c>
      <c r="AD259" s="1">
        <f>IF(AC259=1,H259,0)</f>
        <v>0</v>
      </c>
      <c r="AE259" s="1">
        <f>IF(H259&gt;0,1,0)</f>
        <v>0</v>
      </c>
      <c r="AF259" s="1">
        <f>IF(AE259=1,H259,0)</f>
        <v>0</v>
      </c>
      <c r="AG259" s="1">
        <f>IF(AD259&lt;-20000000.0/100,1,0)</f>
        <v>0</v>
      </c>
      <c r="AH259" s="1">
        <f>IF(AF259&gt;20000000.0/100,1,0)</f>
        <v>0</v>
      </c>
      <c r="AI259" s="1">
        <f>IF(U259&lt;0,1,0)</f>
        <v>0</v>
      </c>
      <c r="AJ259" s="1">
        <f>IF(AI259=1,U259,0)</f>
        <v>0</v>
      </c>
      <c r="AK259" s="1">
        <f>IF(U259&gt;0,1,0)</f>
        <v>0</v>
      </c>
      <c r="AL259" s="1">
        <f>IF(AK259=1,U259,0)</f>
        <v>0</v>
      </c>
      <c r="AM259" s="1">
        <f>IF(AJ259&lt;-20000000.0/100,1,0)</f>
        <v>0</v>
      </c>
      <c r="AN259" s="1">
        <f>IF(AL259&gt;20000000.0/100,1,0)</f>
        <v>0</v>
      </c>
    </row>
    <row r="260" spans="1:40" s="1" customFormat="1">
      <c r="A260" s="3">
        <v>45674</v>
      </c>
      <c r="B260" s="2" t="s">
        <v>26</v>
      </c>
      <c r="C260" s="1">
        <f>SUM(PL!H260:J260)</f>
        <v>0</v>
      </c>
      <c r="D260" s="1">
        <f>SUM(PL!K260:M260)</f>
        <v>0</v>
      </c>
      <c r="E260" s="1">
        <f>SUM(PL!N260:P260)</f>
        <v>0</v>
      </c>
      <c r="F260" s="1">
        <f>SUM(PL!Q260:S260)</f>
        <v>0</v>
      </c>
      <c r="G260" s="1">
        <f>SUM(PL!T260:V260)</f>
        <v>0</v>
      </c>
      <c r="H260" s="1">
        <f>SUM(C260:G260)</f>
        <v>0</v>
      </c>
      <c r="I260" s="1">
        <f>IF(C260 + I259 &lt; 0, C260 + I259, 0)</f>
        <v>0</v>
      </c>
      <c r="J260" s="1">
        <f>IF(D260 + J259 &lt; 0, D260 + J259, 0)</f>
        <v>0</v>
      </c>
      <c r="K260" s="1">
        <f>IF(E260 + K259 &lt; 0, E260 + K259, 0)</f>
        <v>0</v>
      </c>
      <c r="L260" s="1">
        <f>IF(F260 + L259 &lt; 0, F260 + L259, 0)</f>
        <v>0</v>
      </c>
      <c r="M260" s="1">
        <f>IF(G260 + M259 &lt; 0, G260 + M259, 0)</f>
        <v>0</v>
      </c>
      <c r="N260" s="1">
        <f>IF(H260 + N259 &lt; 0, H260 + N259, 0)</f>
        <v>0</v>
      </c>
      <c r="O260" s="1">
        <f>IF(N260 &lt; 0, 1 + O259, 0)</f>
        <v>0</v>
      </c>
      <c r="P260" s="1">
        <f>C260-((ABS(SUM(PL!H260:J260)))*0.125)</f>
        <v>0</v>
      </c>
      <c r="Q260" s="1">
        <f>D260-((ABS(SUM(PL!K260:M260)))*0.125)</f>
        <v>0</v>
      </c>
      <c r="R260" s="1">
        <f>E260-((ABS(SUM(PL!N260:P260)))*0.125)</f>
        <v>0</v>
      </c>
      <c r="S260" s="1">
        <f>F260-((ABS(SUM(PL!Q260:S260)))*0.125)</f>
        <v>0</v>
      </c>
      <c r="T260" s="1">
        <f>G260-((ABS(SUM(PL!T260:V260)))*0.125)</f>
        <v>0</v>
      </c>
      <c r="U260" s="1">
        <f>P260 + Q260 + R260 + S260 + T260</f>
        <v>0</v>
      </c>
      <c r="V260" s="1">
        <f>IF(P260 + V259 &lt; 0, P260 + V259, 0)</f>
        <v>0</v>
      </c>
      <c r="W260" s="1">
        <f>IF(Q260 + W259 &lt; 0, Q260 + W259, 0)</f>
        <v>0</v>
      </c>
      <c r="X260" s="1">
        <f>IF(R260 + X259 &lt; 0, R260 + X259, 0)</f>
        <v>0</v>
      </c>
      <c r="Y260" s="1">
        <f>IF(S260 + Y259 &lt; 0, S260 + Y259, 0)</f>
        <v>0</v>
      </c>
      <c r="Z260" s="1">
        <f>IF(T260 + Z259 &lt; 0, T260 + Z259, 0)</f>
        <v>0</v>
      </c>
      <c r="AA260" s="1">
        <f>IF(U260 + AA259 &lt; 0, U260 + AA259, 0)</f>
        <v>0</v>
      </c>
      <c r="AB260" s="1">
        <f>IF(AA260 &lt; 0, 1 + AB259, 0)</f>
        <v>0</v>
      </c>
      <c r="AC260" s="1">
        <f>IF(H260&lt;0,1,0)</f>
        <v>0</v>
      </c>
      <c r="AD260" s="1">
        <f>IF(AC260=1,H260,0)</f>
        <v>0</v>
      </c>
      <c r="AE260" s="1">
        <f>IF(H260&gt;0,1,0)</f>
        <v>0</v>
      </c>
      <c r="AF260" s="1">
        <f>IF(AE260=1,H260,0)</f>
        <v>0</v>
      </c>
      <c r="AG260" s="1">
        <f>IF(AD260&lt;-20000000.0/100,1,0)</f>
        <v>0</v>
      </c>
      <c r="AH260" s="1">
        <f>IF(AF260&gt;20000000.0/100,1,0)</f>
        <v>0</v>
      </c>
      <c r="AI260" s="1">
        <f>IF(U260&lt;0,1,0)</f>
        <v>0</v>
      </c>
      <c r="AJ260" s="1">
        <f>IF(AI260=1,U260,0)</f>
        <v>0</v>
      </c>
      <c r="AK260" s="1">
        <f>IF(U260&gt;0,1,0)</f>
        <v>0</v>
      </c>
      <c r="AL260" s="1">
        <f>IF(AK260=1,U260,0)</f>
        <v>0</v>
      </c>
      <c r="AM260" s="1">
        <f>IF(AJ260&lt;-20000000.0/100,1,0)</f>
        <v>0</v>
      </c>
      <c r="AN260" s="1">
        <f>IF(AL260&gt;20000000.0/100,1,0)</f>
        <v>0</v>
      </c>
    </row>
    <row r="261" spans="1:40" s="1" customFormat="1">
      <c r="A261" s="3">
        <v>45677</v>
      </c>
      <c r="B261" s="2" t="s">
        <v>22</v>
      </c>
      <c r="C261" s="1">
        <f>SUM(PL!H261:J261)</f>
        <v>0</v>
      </c>
      <c r="D261" s="1">
        <f>SUM(PL!K261:M261)</f>
        <v>0</v>
      </c>
      <c r="E261" s="1">
        <f>SUM(PL!N261:P261)</f>
        <v>0</v>
      </c>
      <c r="F261" s="1">
        <f>SUM(PL!Q261:S261)</f>
        <v>0</v>
      </c>
      <c r="G261" s="1">
        <f>SUM(PL!T261:V261)</f>
        <v>0</v>
      </c>
      <c r="H261" s="1">
        <f>SUM(C261:G261)</f>
        <v>0</v>
      </c>
      <c r="I261" s="1">
        <f>IF(C261 + I260 &lt; 0, C261 + I260, 0)</f>
        <v>0</v>
      </c>
      <c r="J261" s="1">
        <f>IF(D261 + J260 &lt; 0, D261 + J260, 0)</f>
        <v>0</v>
      </c>
      <c r="K261" s="1">
        <f>IF(E261 + K260 &lt; 0, E261 + K260, 0)</f>
        <v>0</v>
      </c>
      <c r="L261" s="1">
        <f>IF(F261 + L260 &lt; 0, F261 + L260, 0)</f>
        <v>0</v>
      </c>
      <c r="M261" s="1">
        <f>IF(G261 + M260 &lt; 0, G261 + M260, 0)</f>
        <v>0</v>
      </c>
      <c r="N261" s="1">
        <f>IF(H261 + N260 &lt; 0, H261 + N260, 0)</f>
        <v>0</v>
      </c>
      <c r="O261" s="1">
        <f>IF(N261 &lt; 0, 1 + O260, 0)</f>
        <v>0</v>
      </c>
      <c r="P261" s="1">
        <f>C261-((ABS(SUM(PL!H261:J261)))*0.125)</f>
        <v>0</v>
      </c>
      <c r="Q261" s="1">
        <f>D261-((ABS(SUM(PL!K261:M261)))*0.125)</f>
        <v>0</v>
      </c>
      <c r="R261" s="1">
        <f>E261-((ABS(SUM(PL!N261:P261)))*0.125)</f>
        <v>0</v>
      </c>
      <c r="S261" s="1">
        <f>F261-((ABS(SUM(PL!Q261:S261)))*0.125)</f>
        <v>0</v>
      </c>
      <c r="T261" s="1">
        <f>G261-((ABS(SUM(PL!T261:V261)))*0.125)</f>
        <v>0</v>
      </c>
      <c r="U261" s="1">
        <f>P261 + Q261 + R261 + S261 + T261</f>
        <v>0</v>
      </c>
      <c r="V261" s="1">
        <f>IF(P261 + V260 &lt; 0, P261 + V260, 0)</f>
        <v>0</v>
      </c>
      <c r="W261" s="1">
        <f>IF(Q261 + W260 &lt; 0, Q261 + W260, 0)</f>
        <v>0</v>
      </c>
      <c r="X261" s="1">
        <f>IF(R261 + X260 &lt; 0, R261 + X260, 0)</f>
        <v>0</v>
      </c>
      <c r="Y261" s="1">
        <f>IF(S261 + Y260 &lt; 0, S261 + Y260, 0)</f>
        <v>0</v>
      </c>
      <c r="Z261" s="1">
        <f>IF(T261 + Z260 &lt; 0, T261 + Z260, 0)</f>
        <v>0</v>
      </c>
      <c r="AA261" s="1">
        <f>IF(U261 + AA260 &lt; 0, U261 + AA260, 0)</f>
        <v>0</v>
      </c>
      <c r="AB261" s="1">
        <f>IF(AA261 &lt; 0, 1 + AB260, 0)</f>
        <v>0</v>
      </c>
      <c r="AC261" s="1">
        <f>IF(H261&lt;0,1,0)</f>
        <v>0</v>
      </c>
      <c r="AD261" s="1">
        <f>IF(AC261=1,H261,0)</f>
        <v>0</v>
      </c>
      <c r="AE261" s="1">
        <f>IF(H261&gt;0,1,0)</f>
        <v>0</v>
      </c>
      <c r="AF261" s="1">
        <f>IF(AE261=1,H261,0)</f>
        <v>0</v>
      </c>
      <c r="AG261" s="1">
        <f>IF(AD261&lt;-20000000.0/100,1,0)</f>
        <v>0</v>
      </c>
      <c r="AH261" s="1">
        <f>IF(AF261&gt;20000000.0/100,1,0)</f>
        <v>0</v>
      </c>
      <c r="AI261" s="1">
        <f>IF(U261&lt;0,1,0)</f>
        <v>0</v>
      </c>
      <c r="AJ261" s="1">
        <f>IF(AI261=1,U261,0)</f>
        <v>0</v>
      </c>
      <c r="AK261" s="1">
        <f>IF(U261&gt;0,1,0)</f>
        <v>0</v>
      </c>
      <c r="AL261" s="1">
        <f>IF(AK261=1,U261,0)</f>
        <v>0</v>
      </c>
      <c r="AM261" s="1">
        <f>IF(AJ261&lt;-20000000.0/100,1,0)</f>
        <v>0</v>
      </c>
      <c r="AN261" s="1">
        <f>IF(AL261&gt;20000000.0/100,1,0)</f>
        <v>0</v>
      </c>
    </row>
    <row r="262" spans="1:40" s="1" customFormat="1">
      <c r="A262" s="3">
        <v>45678</v>
      </c>
      <c r="B262" s="2" t="s">
        <v>23</v>
      </c>
      <c r="C262" s="1">
        <f>SUM(PL!H262:J262)</f>
        <v>0</v>
      </c>
      <c r="D262" s="1">
        <f>SUM(PL!K262:M262)</f>
        <v>0</v>
      </c>
      <c r="E262" s="1">
        <f>SUM(PL!N262:P262)</f>
        <v>0</v>
      </c>
      <c r="F262" s="1">
        <f>SUM(PL!Q262:S262)</f>
        <v>0</v>
      </c>
      <c r="G262" s="1">
        <f>SUM(PL!T262:V262)</f>
        <v>0</v>
      </c>
      <c r="H262" s="1">
        <f>SUM(C262:G262)</f>
        <v>0</v>
      </c>
      <c r="I262" s="1">
        <f>IF(C262 + I261 &lt; 0, C262 + I261, 0)</f>
        <v>0</v>
      </c>
      <c r="J262" s="1">
        <f>IF(D262 + J261 &lt; 0, D262 + J261, 0)</f>
        <v>0</v>
      </c>
      <c r="K262" s="1">
        <f>IF(E262 + K261 &lt; 0, E262 + K261, 0)</f>
        <v>0</v>
      </c>
      <c r="L262" s="1">
        <f>IF(F262 + L261 &lt; 0, F262 + L261, 0)</f>
        <v>0</v>
      </c>
      <c r="M262" s="1">
        <f>IF(G262 + M261 &lt; 0, G262 + M261, 0)</f>
        <v>0</v>
      </c>
      <c r="N262" s="1">
        <f>IF(H262 + N261 &lt; 0, H262 + N261, 0)</f>
        <v>0</v>
      </c>
      <c r="O262" s="1">
        <f>IF(N262 &lt; 0, 1 + O261, 0)</f>
        <v>0</v>
      </c>
      <c r="P262" s="1">
        <f>C262-((ABS(SUM(PL!H262:J262)))*0.125)</f>
        <v>0</v>
      </c>
      <c r="Q262" s="1">
        <f>D262-((ABS(SUM(PL!K262:M262)))*0.125)</f>
        <v>0</v>
      </c>
      <c r="R262" s="1">
        <f>E262-((ABS(SUM(PL!N262:P262)))*0.125)</f>
        <v>0</v>
      </c>
      <c r="S262" s="1">
        <f>F262-((ABS(SUM(PL!Q262:S262)))*0.125)</f>
        <v>0</v>
      </c>
      <c r="T262" s="1">
        <f>G262-((ABS(SUM(PL!T262:V262)))*0.125)</f>
        <v>0</v>
      </c>
      <c r="U262" s="1">
        <f>P262 + Q262 + R262 + S262 + T262</f>
        <v>0</v>
      </c>
      <c r="V262" s="1">
        <f>IF(P262 + V261 &lt; 0, P262 + V261, 0)</f>
        <v>0</v>
      </c>
      <c r="W262" s="1">
        <f>IF(Q262 + W261 &lt; 0, Q262 + W261, 0)</f>
        <v>0</v>
      </c>
      <c r="X262" s="1">
        <f>IF(R262 + X261 &lt; 0, R262 + X261, 0)</f>
        <v>0</v>
      </c>
      <c r="Y262" s="1">
        <f>IF(S262 + Y261 &lt; 0, S262 + Y261, 0)</f>
        <v>0</v>
      </c>
      <c r="Z262" s="1">
        <f>IF(T262 + Z261 &lt; 0, T262 + Z261, 0)</f>
        <v>0</v>
      </c>
      <c r="AA262" s="1">
        <f>IF(U262 + AA261 &lt; 0, U262 + AA261, 0)</f>
        <v>0</v>
      </c>
      <c r="AB262" s="1">
        <f>IF(AA262 &lt; 0, 1 + AB261, 0)</f>
        <v>0</v>
      </c>
      <c r="AC262" s="1">
        <f>IF(H262&lt;0,1,0)</f>
        <v>0</v>
      </c>
      <c r="AD262" s="1">
        <f>IF(AC262=1,H262,0)</f>
        <v>0</v>
      </c>
      <c r="AE262" s="1">
        <f>IF(H262&gt;0,1,0)</f>
        <v>0</v>
      </c>
      <c r="AF262" s="1">
        <f>IF(AE262=1,H262,0)</f>
        <v>0</v>
      </c>
      <c r="AG262" s="1">
        <f>IF(AD262&lt;-20000000.0/100,1,0)</f>
        <v>0</v>
      </c>
      <c r="AH262" s="1">
        <f>IF(AF262&gt;20000000.0/100,1,0)</f>
        <v>0</v>
      </c>
      <c r="AI262" s="1">
        <f>IF(U262&lt;0,1,0)</f>
        <v>0</v>
      </c>
      <c r="AJ262" s="1">
        <f>IF(AI262=1,U262,0)</f>
        <v>0</v>
      </c>
      <c r="AK262" s="1">
        <f>IF(U262&gt;0,1,0)</f>
        <v>0</v>
      </c>
      <c r="AL262" s="1">
        <f>IF(AK262=1,U262,0)</f>
        <v>0</v>
      </c>
      <c r="AM262" s="1">
        <f>IF(AJ262&lt;-20000000.0/100,1,0)</f>
        <v>0</v>
      </c>
      <c r="AN262" s="1">
        <f>IF(AL262&gt;20000000.0/100,1,0)</f>
        <v>0</v>
      </c>
    </row>
    <row r="263" spans="1:40" s="1" customFormat="1">
      <c r="A263" s="3">
        <v>45679</v>
      </c>
      <c r="B263" s="2" t="s">
        <v>24</v>
      </c>
      <c r="C263" s="1">
        <f>SUM(PL!H263:J263)</f>
        <v>0</v>
      </c>
      <c r="D263" s="1">
        <f>SUM(PL!K263:M263)</f>
        <v>0</v>
      </c>
      <c r="E263" s="1">
        <f>SUM(PL!N263:P263)</f>
        <v>0</v>
      </c>
      <c r="F263" s="1">
        <f>SUM(PL!Q263:S263)</f>
        <v>0</v>
      </c>
      <c r="G263" s="1">
        <f>SUM(PL!T263:V263)</f>
        <v>0</v>
      </c>
      <c r="H263" s="1">
        <f>SUM(C263:G263)</f>
        <v>0</v>
      </c>
      <c r="I263" s="1">
        <f>IF(C263 + I262 &lt; 0, C263 + I262, 0)</f>
        <v>0</v>
      </c>
      <c r="J263" s="1">
        <f>IF(D263 + J262 &lt; 0, D263 + J262, 0)</f>
        <v>0</v>
      </c>
      <c r="K263" s="1">
        <f>IF(E263 + K262 &lt; 0, E263 + K262, 0)</f>
        <v>0</v>
      </c>
      <c r="L263" s="1">
        <f>IF(F263 + L262 &lt; 0, F263 + L262, 0)</f>
        <v>0</v>
      </c>
      <c r="M263" s="1">
        <f>IF(G263 + M262 &lt; 0, G263 + M262, 0)</f>
        <v>0</v>
      </c>
      <c r="N263" s="1">
        <f>IF(H263 + N262 &lt; 0, H263 + N262, 0)</f>
        <v>0</v>
      </c>
      <c r="O263" s="1">
        <f>IF(N263 &lt; 0, 1 + O262, 0)</f>
        <v>0</v>
      </c>
      <c r="P263" s="1">
        <f>C263-((ABS(SUM(PL!H263:J263)))*0.125)</f>
        <v>0</v>
      </c>
      <c r="Q263" s="1">
        <f>D263-((ABS(SUM(PL!K263:M263)))*0.125)</f>
        <v>0</v>
      </c>
      <c r="R263" s="1">
        <f>E263-((ABS(SUM(PL!N263:P263)))*0.125)</f>
        <v>0</v>
      </c>
      <c r="S263" s="1">
        <f>F263-((ABS(SUM(PL!Q263:S263)))*0.125)</f>
        <v>0</v>
      </c>
      <c r="T263" s="1">
        <f>G263-((ABS(SUM(PL!T263:V263)))*0.125)</f>
        <v>0</v>
      </c>
      <c r="U263" s="1">
        <f>P263 + Q263 + R263 + S263 + T263</f>
        <v>0</v>
      </c>
      <c r="V263" s="1">
        <f>IF(P263 + V262 &lt; 0, P263 + V262, 0)</f>
        <v>0</v>
      </c>
      <c r="W263" s="1">
        <f>IF(Q263 + W262 &lt; 0, Q263 + W262, 0)</f>
        <v>0</v>
      </c>
      <c r="X263" s="1">
        <f>IF(R263 + X262 &lt; 0, R263 + X262, 0)</f>
        <v>0</v>
      </c>
      <c r="Y263" s="1">
        <f>IF(S263 + Y262 &lt; 0, S263 + Y262, 0)</f>
        <v>0</v>
      </c>
      <c r="Z263" s="1">
        <f>IF(T263 + Z262 &lt; 0, T263 + Z262, 0)</f>
        <v>0</v>
      </c>
      <c r="AA263" s="1">
        <f>IF(U263 + AA262 &lt; 0, U263 + AA262, 0)</f>
        <v>0</v>
      </c>
      <c r="AB263" s="1">
        <f>IF(AA263 &lt; 0, 1 + AB262, 0)</f>
        <v>0</v>
      </c>
      <c r="AC263" s="1">
        <f>IF(H263&lt;0,1,0)</f>
        <v>0</v>
      </c>
      <c r="AD263" s="1">
        <f>IF(AC263=1,H263,0)</f>
        <v>0</v>
      </c>
      <c r="AE263" s="1">
        <f>IF(H263&gt;0,1,0)</f>
        <v>0</v>
      </c>
      <c r="AF263" s="1">
        <f>IF(AE263=1,H263,0)</f>
        <v>0</v>
      </c>
      <c r="AG263" s="1">
        <f>IF(AD263&lt;-20000000.0/100,1,0)</f>
        <v>0</v>
      </c>
      <c r="AH263" s="1">
        <f>IF(AF263&gt;20000000.0/100,1,0)</f>
        <v>0</v>
      </c>
      <c r="AI263" s="1">
        <f>IF(U263&lt;0,1,0)</f>
        <v>0</v>
      </c>
      <c r="AJ263" s="1">
        <f>IF(AI263=1,U263,0)</f>
        <v>0</v>
      </c>
      <c r="AK263" s="1">
        <f>IF(U263&gt;0,1,0)</f>
        <v>0</v>
      </c>
      <c r="AL263" s="1">
        <f>IF(AK263=1,U263,0)</f>
        <v>0</v>
      </c>
      <c r="AM263" s="1">
        <f>IF(AJ263&lt;-20000000.0/100,1,0)</f>
        <v>0</v>
      </c>
      <c r="AN263" s="1">
        <f>IF(AL263&gt;20000000.0/100,1,0)</f>
        <v>0</v>
      </c>
    </row>
    <row r="264" spans="1:40" s="1" customFormat="1">
      <c r="A264" s="3">
        <v>45680</v>
      </c>
      <c r="B264" s="2" t="s">
        <v>25</v>
      </c>
      <c r="C264" s="1">
        <f>SUM(PL!H264:J264)</f>
        <v>0</v>
      </c>
      <c r="D264" s="1">
        <f>SUM(PL!K264:M264)</f>
        <v>0</v>
      </c>
      <c r="E264" s="1">
        <f>SUM(PL!N264:P264)</f>
        <v>0</v>
      </c>
      <c r="F264" s="1">
        <f>SUM(PL!Q264:S264)</f>
        <v>0</v>
      </c>
      <c r="G264" s="1">
        <f>SUM(PL!T264:V264)</f>
        <v>0</v>
      </c>
      <c r="H264" s="1">
        <f>SUM(C264:G264)</f>
        <v>0</v>
      </c>
      <c r="I264" s="1">
        <f>IF(C264 + I263 &lt; 0, C264 + I263, 0)</f>
        <v>0</v>
      </c>
      <c r="J264" s="1">
        <f>IF(D264 + J263 &lt; 0, D264 + J263, 0)</f>
        <v>0</v>
      </c>
      <c r="K264" s="1">
        <f>IF(E264 + K263 &lt; 0, E264 + K263, 0)</f>
        <v>0</v>
      </c>
      <c r="L264" s="1">
        <f>IF(F264 + L263 &lt; 0, F264 + L263, 0)</f>
        <v>0</v>
      </c>
      <c r="M264" s="1">
        <f>IF(G264 + M263 &lt; 0, G264 + M263, 0)</f>
        <v>0</v>
      </c>
      <c r="N264" s="1">
        <f>IF(H264 + N263 &lt; 0, H264 + N263, 0)</f>
        <v>0</v>
      </c>
      <c r="O264" s="1">
        <f>IF(N264 &lt; 0, 1 + O263, 0)</f>
        <v>0</v>
      </c>
      <c r="P264" s="1">
        <f>C264-((ABS(SUM(PL!H264:J264)))*0.125)</f>
        <v>0</v>
      </c>
      <c r="Q264" s="1">
        <f>D264-((ABS(SUM(PL!K264:M264)))*0.125)</f>
        <v>0</v>
      </c>
      <c r="R264" s="1">
        <f>E264-((ABS(SUM(PL!N264:P264)))*0.125)</f>
        <v>0</v>
      </c>
      <c r="S264" s="1">
        <f>F264-((ABS(SUM(PL!Q264:S264)))*0.125)</f>
        <v>0</v>
      </c>
      <c r="T264" s="1">
        <f>G264-((ABS(SUM(PL!T264:V264)))*0.125)</f>
        <v>0</v>
      </c>
      <c r="U264" s="1">
        <f>P264 + Q264 + R264 + S264 + T264</f>
        <v>0</v>
      </c>
      <c r="V264" s="1">
        <f>IF(P264 + V263 &lt; 0, P264 + V263, 0)</f>
        <v>0</v>
      </c>
      <c r="W264" s="1">
        <f>IF(Q264 + W263 &lt; 0, Q264 + W263, 0)</f>
        <v>0</v>
      </c>
      <c r="X264" s="1">
        <f>IF(R264 + X263 &lt; 0, R264 + X263, 0)</f>
        <v>0</v>
      </c>
      <c r="Y264" s="1">
        <f>IF(S264 + Y263 &lt; 0, S264 + Y263, 0)</f>
        <v>0</v>
      </c>
      <c r="Z264" s="1">
        <f>IF(T264 + Z263 &lt; 0, T264 + Z263, 0)</f>
        <v>0</v>
      </c>
      <c r="AA264" s="1">
        <f>IF(U264 + AA263 &lt; 0, U264 + AA263, 0)</f>
        <v>0</v>
      </c>
      <c r="AB264" s="1">
        <f>IF(AA264 &lt; 0, 1 + AB263, 0)</f>
        <v>0</v>
      </c>
      <c r="AC264" s="1">
        <f>IF(H264&lt;0,1,0)</f>
        <v>0</v>
      </c>
      <c r="AD264" s="1">
        <f>IF(AC264=1,H264,0)</f>
        <v>0</v>
      </c>
      <c r="AE264" s="1">
        <f>IF(H264&gt;0,1,0)</f>
        <v>0</v>
      </c>
      <c r="AF264" s="1">
        <f>IF(AE264=1,H264,0)</f>
        <v>0</v>
      </c>
      <c r="AG264" s="1">
        <f>IF(AD264&lt;-20000000.0/100,1,0)</f>
        <v>0</v>
      </c>
      <c r="AH264" s="1">
        <f>IF(AF264&gt;20000000.0/100,1,0)</f>
        <v>0</v>
      </c>
      <c r="AI264" s="1">
        <f>IF(U264&lt;0,1,0)</f>
        <v>0</v>
      </c>
      <c r="AJ264" s="1">
        <f>IF(AI264=1,U264,0)</f>
        <v>0</v>
      </c>
      <c r="AK264" s="1">
        <f>IF(U264&gt;0,1,0)</f>
        <v>0</v>
      </c>
      <c r="AL264" s="1">
        <f>IF(AK264=1,U264,0)</f>
        <v>0</v>
      </c>
      <c r="AM264" s="1">
        <f>IF(AJ264&lt;-20000000.0/100,1,0)</f>
        <v>0</v>
      </c>
      <c r="AN264" s="1">
        <f>IF(AL264&gt;20000000.0/100,1,0)</f>
        <v>0</v>
      </c>
    </row>
    <row r="265" spans="1:40" s="1" customFormat="1">
      <c r="A265" s="3">
        <v>45681</v>
      </c>
      <c r="B265" s="2" t="s">
        <v>26</v>
      </c>
      <c r="C265" s="1">
        <f>SUM(PL!H265:J265)</f>
        <v>0</v>
      </c>
      <c r="D265" s="1">
        <f>SUM(PL!K265:M265)</f>
        <v>0</v>
      </c>
      <c r="E265" s="1">
        <f>SUM(PL!N265:P265)</f>
        <v>0</v>
      </c>
      <c r="F265" s="1">
        <f>SUM(PL!Q265:S265)</f>
        <v>0</v>
      </c>
      <c r="G265" s="1">
        <f>SUM(PL!T265:V265)</f>
        <v>0</v>
      </c>
      <c r="H265" s="1">
        <f>SUM(C265:G265)</f>
        <v>0</v>
      </c>
      <c r="I265" s="1">
        <f>IF(C265 + I264 &lt; 0, C265 + I264, 0)</f>
        <v>0</v>
      </c>
      <c r="J265" s="1">
        <f>IF(D265 + J264 &lt; 0, D265 + J264, 0)</f>
        <v>0</v>
      </c>
      <c r="K265" s="1">
        <f>IF(E265 + K264 &lt; 0, E265 + K264, 0)</f>
        <v>0</v>
      </c>
      <c r="L265" s="1">
        <f>IF(F265 + L264 &lt; 0, F265 + L264, 0)</f>
        <v>0</v>
      </c>
      <c r="M265" s="1">
        <f>IF(G265 + M264 &lt; 0, G265 + M264, 0)</f>
        <v>0</v>
      </c>
      <c r="N265" s="1">
        <f>IF(H265 + N264 &lt; 0, H265 + N264, 0)</f>
        <v>0</v>
      </c>
      <c r="O265" s="1">
        <f>IF(N265 &lt; 0, 1 + O264, 0)</f>
        <v>0</v>
      </c>
      <c r="P265" s="1">
        <f>C265-((ABS(SUM(PL!H265:J265)))*0.125)</f>
        <v>0</v>
      </c>
      <c r="Q265" s="1">
        <f>D265-((ABS(SUM(PL!K265:M265)))*0.125)</f>
        <v>0</v>
      </c>
      <c r="R265" s="1">
        <f>E265-((ABS(SUM(PL!N265:P265)))*0.125)</f>
        <v>0</v>
      </c>
      <c r="S265" s="1">
        <f>F265-((ABS(SUM(PL!Q265:S265)))*0.125)</f>
        <v>0</v>
      </c>
      <c r="T265" s="1">
        <f>G265-((ABS(SUM(PL!T265:V265)))*0.125)</f>
        <v>0</v>
      </c>
      <c r="U265" s="1">
        <f>P265 + Q265 + R265 + S265 + T265</f>
        <v>0</v>
      </c>
      <c r="V265" s="1">
        <f>IF(P265 + V264 &lt; 0, P265 + V264, 0)</f>
        <v>0</v>
      </c>
      <c r="W265" s="1">
        <f>IF(Q265 + W264 &lt; 0, Q265 + W264, 0)</f>
        <v>0</v>
      </c>
      <c r="X265" s="1">
        <f>IF(R265 + X264 &lt; 0, R265 + X264, 0)</f>
        <v>0</v>
      </c>
      <c r="Y265" s="1">
        <f>IF(S265 + Y264 &lt; 0, S265 + Y264, 0)</f>
        <v>0</v>
      </c>
      <c r="Z265" s="1">
        <f>IF(T265 + Z264 &lt; 0, T265 + Z264, 0)</f>
        <v>0</v>
      </c>
      <c r="AA265" s="1">
        <f>IF(U265 + AA264 &lt; 0, U265 + AA264, 0)</f>
        <v>0</v>
      </c>
      <c r="AB265" s="1">
        <f>IF(AA265 &lt; 0, 1 + AB264, 0)</f>
        <v>0</v>
      </c>
      <c r="AC265" s="1">
        <f>IF(H265&lt;0,1,0)</f>
        <v>0</v>
      </c>
      <c r="AD265" s="1">
        <f>IF(AC265=1,H265,0)</f>
        <v>0</v>
      </c>
      <c r="AE265" s="1">
        <f>IF(H265&gt;0,1,0)</f>
        <v>0</v>
      </c>
      <c r="AF265" s="1">
        <f>IF(AE265=1,H265,0)</f>
        <v>0</v>
      </c>
      <c r="AG265" s="1">
        <f>IF(AD265&lt;-20000000.0/100,1,0)</f>
        <v>0</v>
      </c>
      <c r="AH265" s="1">
        <f>IF(AF265&gt;20000000.0/100,1,0)</f>
        <v>0</v>
      </c>
      <c r="AI265" s="1">
        <f>IF(U265&lt;0,1,0)</f>
        <v>0</v>
      </c>
      <c r="AJ265" s="1">
        <f>IF(AI265=1,U265,0)</f>
        <v>0</v>
      </c>
      <c r="AK265" s="1">
        <f>IF(U265&gt;0,1,0)</f>
        <v>0</v>
      </c>
      <c r="AL265" s="1">
        <f>IF(AK265=1,U265,0)</f>
        <v>0</v>
      </c>
      <c r="AM265" s="1">
        <f>IF(AJ265&lt;-20000000.0/100,1,0)</f>
        <v>0</v>
      </c>
      <c r="AN265" s="1">
        <f>IF(AL265&gt;20000000.0/100,1,0)</f>
        <v>0</v>
      </c>
    </row>
    <row r="266" spans="1:40" s="1" customFormat="1">
      <c r="A266" s="3">
        <v>45684</v>
      </c>
      <c r="B266" s="2" t="s">
        <v>22</v>
      </c>
      <c r="C266" s="1">
        <f>SUM(PL!H266:J266)</f>
        <v>0</v>
      </c>
      <c r="D266" s="1">
        <f>SUM(PL!K266:M266)</f>
        <v>0</v>
      </c>
      <c r="E266" s="1">
        <f>SUM(PL!N266:P266)</f>
        <v>0</v>
      </c>
      <c r="F266" s="1">
        <f>SUM(PL!Q266:S266)</f>
        <v>0</v>
      </c>
      <c r="G266" s="1">
        <f>SUM(PL!T266:V266)</f>
        <v>0</v>
      </c>
      <c r="H266" s="1">
        <f>SUM(C266:G266)</f>
        <v>0</v>
      </c>
      <c r="I266" s="1">
        <f>IF(C266 + I265 &lt; 0, C266 + I265, 0)</f>
        <v>0</v>
      </c>
      <c r="J266" s="1">
        <f>IF(D266 + J265 &lt; 0, D266 + J265, 0)</f>
        <v>0</v>
      </c>
      <c r="K266" s="1">
        <f>IF(E266 + K265 &lt; 0, E266 + K265, 0)</f>
        <v>0</v>
      </c>
      <c r="L266" s="1">
        <f>IF(F266 + L265 &lt; 0, F266 + L265, 0)</f>
        <v>0</v>
      </c>
      <c r="M266" s="1">
        <f>IF(G266 + M265 &lt; 0, G266 + M265, 0)</f>
        <v>0</v>
      </c>
      <c r="N266" s="1">
        <f>IF(H266 + N265 &lt; 0, H266 + N265, 0)</f>
        <v>0</v>
      </c>
      <c r="O266" s="1">
        <f>IF(N266 &lt; 0, 1 + O265, 0)</f>
        <v>0</v>
      </c>
      <c r="P266" s="1">
        <f>C266-((ABS(SUM(PL!H266:J266)))*0.125)</f>
        <v>0</v>
      </c>
      <c r="Q266" s="1">
        <f>D266-((ABS(SUM(PL!K266:M266)))*0.125)</f>
        <v>0</v>
      </c>
      <c r="R266" s="1">
        <f>E266-((ABS(SUM(PL!N266:P266)))*0.125)</f>
        <v>0</v>
      </c>
      <c r="S266" s="1">
        <f>F266-((ABS(SUM(PL!Q266:S266)))*0.125)</f>
        <v>0</v>
      </c>
      <c r="T266" s="1">
        <f>G266-((ABS(SUM(PL!T266:V266)))*0.125)</f>
        <v>0</v>
      </c>
      <c r="U266" s="1">
        <f>P266 + Q266 + R266 + S266 + T266</f>
        <v>0</v>
      </c>
      <c r="V266" s="1">
        <f>IF(P266 + V265 &lt; 0, P266 + V265, 0)</f>
        <v>0</v>
      </c>
      <c r="W266" s="1">
        <f>IF(Q266 + W265 &lt; 0, Q266 + W265, 0)</f>
        <v>0</v>
      </c>
      <c r="X266" s="1">
        <f>IF(R266 + X265 &lt; 0, R266 + X265, 0)</f>
        <v>0</v>
      </c>
      <c r="Y266" s="1">
        <f>IF(S266 + Y265 &lt; 0, S266 + Y265, 0)</f>
        <v>0</v>
      </c>
      <c r="Z266" s="1">
        <f>IF(T266 + Z265 &lt; 0, T266 + Z265, 0)</f>
        <v>0</v>
      </c>
      <c r="AA266" s="1">
        <f>IF(U266 + AA265 &lt; 0, U266 + AA265, 0)</f>
        <v>0</v>
      </c>
      <c r="AB266" s="1">
        <f>IF(AA266 &lt; 0, 1 + AB265, 0)</f>
        <v>0</v>
      </c>
      <c r="AC266" s="1">
        <f>IF(H266&lt;0,1,0)</f>
        <v>0</v>
      </c>
      <c r="AD266" s="1">
        <f>IF(AC266=1,H266,0)</f>
        <v>0</v>
      </c>
      <c r="AE266" s="1">
        <f>IF(H266&gt;0,1,0)</f>
        <v>0</v>
      </c>
      <c r="AF266" s="1">
        <f>IF(AE266=1,H266,0)</f>
        <v>0</v>
      </c>
      <c r="AG266" s="1">
        <f>IF(AD266&lt;-20000000.0/100,1,0)</f>
        <v>0</v>
      </c>
      <c r="AH266" s="1">
        <f>IF(AF266&gt;20000000.0/100,1,0)</f>
        <v>0</v>
      </c>
      <c r="AI266" s="1">
        <f>IF(U266&lt;0,1,0)</f>
        <v>0</v>
      </c>
      <c r="AJ266" s="1">
        <f>IF(AI266=1,U266,0)</f>
        <v>0</v>
      </c>
      <c r="AK266" s="1">
        <f>IF(U266&gt;0,1,0)</f>
        <v>0</v>
      </c>
      <c r="AL266" s="1">
        <f>IF(AK266=1,U266,0)</f>
        <v>0</v>
      </c>
      <c r="AM266" s="1">
        <f>IF(AJ266&lt;-20000000.0/100,1,0)</f>
        <v>0</v>
      </c>
      <c r="AN266" s="1">
        <f>IF(AL266&gt;20000000.0/100,1,0)</f>
        <v>0</v>
      </c>
    </row>
    <row r="267" spans="1:40" s="1" customFormat="1">
      <c r="A267" s="3">
        <v>45685</v>
      </c>
      <c r="B267" s="2" t="s">
        <v>23</v>
      </c>
      <c r="C267" s="1">
        <f>SUM(PL!H267:J267)</f>
        <v>0</v>
      </c>
      <c r="D267" s="1">
        <f>SUM(PL!K267:M267)</f>
        <v>0</v>
      </c>
      <c r="E267" s="1">
        <f>SUM(PL!N267:P267)</f>
        <v>0</v>
      </c>
      <c r="F267" s="1">
        <f>SUM(PL!Q267:S267)</f>
        <v>0</v>
      </c>
      <c r="G267" s="1">
        <f>SUM(PL!T267:V267)</f>
        <v>0</v>
      </c>
      <c r="H267" s="1">
        <f>SUM(C267:G267)</f>
        <v>0</v>
      </c>
      <c r="I267" s="1">
        <f>IF(C267 + I266 &lt; 0, C267 + I266, 0)</f>
        <v>0</v>
      </c>
      <c r="J267" s="1">
        <f>IF(D267 + J266 &lt; 0, D267 + J266, 0)</f>
        <v>0</v>
      </c>
      <c r="K267" s="1">
        <f>IF(E267 + K266 &lt; 0, E267 + K266, 0)</f>
        <v>0</v>
      </c>
      <c r="L267" s="1">
        <f>IF(F267 + L266 &lt; 0, F267 + L266, 0)</f>
        <v>0</v>
      </c>
      <c r="M267" s="1">
        <f>IF(G267 + M266 &lt; 0, G267 + M266, 0)</f>
        <v>0</v>
      </c>
      <c r="N267" s="1">
        <f>IF(H267 + N266 &lt; 0, H267 + N266, 0)</f>
        <v>0</v>
      </c>
      <c r="O267" s="1">
        <f>IF(N267 &lt; 0, 1 + O266, 0)</f>
        <v>0</v>
      </c>
      <c r="P267" s="1">
        <f>C267-((ABS(SUM(PL!H267:J267)))*0.125)</f>
        <v>0</v>
      </c>
      <c r="Q267" s="1">
        <f>D267-((ABS(SUM(PL!K267:M267)))*0.125)</f>
        <v>0</v>
      </c>
      <c r="R267" s="1">
        <f>E267-((ABS(SUM(PL!N267:P267)))*0.125)</f>
        <v>0</v>
      </c>
      <c r="S267" s="1">
        <f>F267-((ABS(SUM(PL!Q267:S267)))*0.125)</f>
        <v>0</v>
      </c>
      <c r="T267" s="1">
        <f>G267-((ABS(SUM(PL!T267:V267)))*0.125)</f>
        <v>0</v>
      </c>
      <c r="U267" s="1">
        <f>P267 + Q267 + R267 + S267 + T267</f>
        <v>0</v>
      </c>
      <c r="V267" s="1">
        <f>IF(P267 + V266 &lt; 0, P267 + V266, 0)</f>
        <v>0</v>
      </c>
      <c r="W267" s="1">
        <f>IF(Q267 + W266 &lt; 0, Q267 + W266, 0)</f>
        <v>0</v>
      </c>
      <c r="X267" s="1">
        <f>IF(R267 + X266 &lt; 0, R267 + X266, 0)</f>
        <v>0</v>
      </c>
      <c r="Y267" s="1">
        <f>IF(S267 + Y266 &lt; 0, S267 + Y266, 0)</f>
        <v>0</v>
      </c>
      <c r="Z267" s="1">
        <f>IF(T267 + Z266 &lt; 0, T267 + Z266, 0)</f>
        <v>0</v>
      </c>
      <c r="AA267" s="1">
        <f>IF(U267 + AA266 &lt; 0, U267 + AA266, 0)</f>
        <v>0</v>
      </c>
      <c r="AB267" s="1">
        <f>IF(AA267 &lt; 0, 1 + AB266, 0)</f>
        <v>0</v>
      </c>
      <c r="AC267" s="1">
        <f>IF(H267&lt;0,1,0)</f>
        <v>0</v>
      </c>
      <c r="AD267" s="1">
        <f>IF(AC267=1,H267,0)</f>
        <v>0</v>
      </c>
      <c r="AE267" s="1">
        <f>IF(H267&gt;0,1,0)</f>
        <v>0</v>
      </c>
      <c r="AF267" s="1">
        <f>IF(AE267=1,H267,0)</f>
        <v>0</v>
      </c>
      <c r="AG267" s="1">
        <f>IF(AD267&lt;-20000000.0/100,1,0)</f>
        <v>0</v>
      </c>
      <c r="AH267" s="1">
        <f>IF(AF267&gt;20000000.0/100,1,0)</f>
        <v>0</v>
      </c>
      <c r="AI267" s="1">
        <f>IF(U267&lt;0,1,0)</f>
        <v>0</v>
      </c>
      <c r="AJ267" s="1">
        <f>IF(AI267=1,U267,0)</f>
        <v>0</v>
      </c>
      <c r="AK267" s="1">
        <f>IF(U267&gt;0,1,0)</f>
        <v>0</v>
      </c>
      <c r="AL267" s="1">
        <f>IF(AK267=1,U267,0)</f>
        <v>0</v>
      </c>
      <c r="AM267" s="1">
        <f>IF(AJ267&lt;-20000000.0/100,1,0)</f>
        <v>0</v>
      </c>
      <c r="AN267" s="1">
        <f>IF(AL267&gt;20000000.0/100,1,0)</f>
        <v>0</v>
      </c>
    </row>
    <row r="268" spans="1:40" s="1" customFormat="1">
      <c r="A268" s="3">
        <v>45686</v>
      </c>
      <c r="B268" s="2" t="s">
        <v>24</v>
      </c>
      <c r="C268" s="1">
        <f>SUM(PL!H268:J268)</f>
        <v>0</v>
      </c>
      <c r="D268" s="1">
        <f>SUM(PL!K268:M268)</f>
        <v>0</v>
      </c>
      <c r="E268" s="1">
        <f>SUM(PL!N268:P268)</f>
        <v>0</v>
      </c>
      <c r="F268" s="1">
        <f>SUM(PL!Q268:S268)</f>
        <v>0</v>
      </c>
      <c r="G268" s="1">
        <f>SUM(PL!T268:V268)</f>
        <v>0</v>
      </c>
      <c r="H268" s="1">
        <f>SUM(C268:G268)</f>
        <v>0</v>
      </c>
      <c r="I268" s="1">
        <f>IF(C268 + I267 &lt; 0, C268 + I267, 0)</f>
        <v>0</v>
      </c>
      <c r="J268" s="1">
        <f>IF(D268 + J267 &lt; 0, D268 + J267, 0)</f>
        <v>0</v>
      </c>
      <c r="K268" s="1">
        <f>IF(E268 + K267 &lt; 0, E268 + K267, 0)</f>
        <v>0</v>
      </c>
      <c r="L268" s="1">
        <f>IF(F268 + L267 &lt; 0, F268 + L267, 0)</f>
        <v>0</v>
      </c>
      <c r="M268" s="1">
        <f>IF(G268 + M267 &lt; 0, G268 + M267, 0)</f>
        <v>0</v>
      </c>
      <c r="N268" s="1">
        <f>IF(H268 + N267 &lt; 0, H268 + N267, 0)</f>
        <v>0</v>
      </c>
      <c r="O268" s="1">
        <f>IF(N268 &lt; 0, 1 + O267, 0)</f>
        <v>0</v>
      </c>
      <c r="P268" s="1">
        <f>C268-((ABS(SUM(PL!H268:J268)))*0.125)</f>
        <v>0</v>
      </c>
      <c r="Q268" s="1">
        <f>D268-((ABS(SUM(PL!K268:M268)))*0.125)</f>
        <v>0</v>
      </c>
      <c r="R268" s="1">
        <f>E268-((ABS(SUM(PL!N268:P268)))*0.125)</f>
        <v>0</v>
      </c>
      <c r="S268" s="1">
        <f>F268-((ABS(SUM(PL!Q268:S268)))*0.125)</f>
        <v>0</v>
      </c>
      <c r="T268" s="1">
        <f>G268-((ABS(SUM(PL!T268:V268)))*0.125)</f>
        <v>0</v>
      </c>
      <c r="U268" s="1">
        <f>P268 + Q268 + R268 + S268 + T268</f>
        <v>0</v>
      </c>
      <c r="V268" s="1">
        <f>IF(P268 + V267 &lt; 0, P268 + V267, 0)</f>
        <v>0</v>
      </c>
      <c r="W268" s="1">
        <f>IF(Q268 + W267 &lt; 0, Q268 + W267, 0)</f>
        <v>0</v>
      </c>
      <c r="X268" s="1">
        <f>IF(R268 + X267 &lt; 0, R268 + X267, 0)</f>
        <v>0</v>
      </c>
      <c r="Y268" s="1">
        <f>IF(S268 + Y267 &lt; 0, S268 + Y267, 0)</f>
        <v>0</v>
      </c>
      <c r="Z268" s="1">
        <f>IF(T268 + Z267 &lt; 0, T268 + Z267, 0)</f>
        <v>0</v>
      </c>
      <c r="AA268" s="1">
        <f>IF(U268 + AA267 &lt; 0, U268 + AA267, 0)</f>
        <v>0</v>
      </c>
      <c r="AB268" s="1">
        <f>IF(AA268 &lt; 0, 1 + AB267, 0)</f>
        <v>0</v>
      </c>
      <c r="AC268" s="1">
        <f>IF(H268&lt;0,1,0)</f>
        <v>0</v>
      </c>
      <c r="AD268" s="1">
        <f>IF(AC268=1,H268,0)</f>
        <v>0</v>
      </c>
      <c r="AE268" s="1">
        <f>IF(H268&gt;0,1,0)</f>
        <v>0</v>
      </c>
      <c r="AF268" s="1">
        <f>IF(AE268=1,H268,0)</f>
        <v>0</v>
      </c>
      <c r="AG268" s="1">
        <f>IF(AD268&lt;-20000000.0/100,1,0)</f>
        <v>0</v>
      </c>
      <c r="AH268" s="1">
        <f>IF(AF268&gt;20000000.0/100,1,0)</f>
        <v>0</v>
      </c>
      <c r="AI268" s="1">
        <f>IF(U268&lt;0,1,0)</f>
        <v>0</v>
      </c>
      <c r="AJ268" s="1">
        <f>IF(AI268=1,U268,0)</f>
        <v>0</v>
      </c>
      <c r="AK268" s="1">
        <f>IF(U268&gt;0,1,0)</f>
        <v>0</v>
      </c>
      <c r="AL268" s="1">
        <f>IF(AK268=1,U268,0)</f>
        <v>0</v>
      </c>
      <c r="AM268" s="1">
        <f>IF(AJ268&lt;-20000000.0/100,1,0)</f>
        <v>0</v>
      </c>
      <c r="AN268" s="1">
        <f>IF(AL268&gt;20000000.0/100,1,0)</f>
        <v>0</v>
      </c>
    </row>
    <row r="269" spans="1:40" s="1" customFormat="1">
      <c r="A269" s="3">
        <v>45687</v>
      </c>
      <c r="B269" s="2" t="s">
        <v>25</v>
      </c>
      <c r="C269" s="1">
        <f>SUM(PL!H269:J269)</f>
        <v>0</v>
      </c>
      <c r="D269" s="1">
        <f>SUM(PL!K269:M269)</f>
        <v>0</v>
      </c>
      <c r="E269" s="1">
        <f>SUM(PL!N269:P269)</f>
        <v>0</v>
      </c>
      <c r="F269" s="1">
        <f>SUM(PL!Q269:S269)</f>
        <v>0</v>
      </c>
      <c r="G269" s="1">
        <f>SUM(PL!T269:V269)</f>
        <v>0</v>
      </c>
      <c r="H269" s="1">
        <f>SUM(C269:G269)</f>
        <v>0</v>
      </c>
      <c r="I269" s="1">
        <f>IF(C269 + I268 &lt; 0, C269 + I268, 0)</f>
        <v>0</v>
      </c>
      <c r="J269" s="1">
        <f>IF(D269 + J268 &lt; 0, D269 + J268, 0)</f>
        <v>0</v>
      </c>
      <c r="K269" s="1">
        <f>IF(E269 + K268 &lt; 0, E269 + K268, 0)</f>
        <v>0</v>
      </c>
      <c r="L269" s="1">
        <f>IF(F269 + L268 &lt; 0, F269 + L268, 0)</f>
        <v>0</v>
      </c>
      <c r="M269" s="1">
        <f>IF(G269 + M268 &lt; 0, G269 + M268, 0)</f>
        <v>0</v>
      </c>
      <c r="N269" s="1">
        <f>IF(H269 + N268 &lt; 0, H269 + N268, 0)</f>
        <v>0</v>
      </c>
      <c r="O269" s="1">
        <f>IF(N269 &lt; 0, 1 + O268, 0)</f>
        <v>0</v>
      </c>
      <c r="P269" s="1">
        <f>C269-((ABS(SUM(PL!H269:J269)))*0.125)</f>
        <v>0</v>
      </c>
      <c r="Q269" s="1">
        <f>D269-((ABS(SUM(PL!K269:M269)))*0.125)</f>
        <v>0</v>
      </c>
      <c r="R269" s="1">
        <f>E269-((ABS(SUM(PL!N269:P269)))*0.125)</f>
        <v>0</v>
      </c>
      <c r="S269" s="1">
        <f>F269-((ABS(SUM(PL!Q269:S269)))*0.125)</f>
        <v>0</v>
      </c>
      <c r="T269" s="1">
        <f>G269-((ABS(SUM(PL!T269:V269)))*0.125)</f>
        <v>0</v>
      </c>
      <c r="U269" s="1">
        <f>P269 + Q269 + R269 + S269 + T269</f>
        <v>0</v>
      </c>
      <c r="V269" s="1">
        <f>IF(P269 + V268 &lt; 0, P269 + V268, 0)</f>
        <v>0</v>
      </c>
      <c r="W269" s="1">
        <f>IF(Q269 + W268 &lt; 0, Q269 + W268, 0)</f>
        <v>0</v>
      </c>
      <c r="X269" s="1">
        <f>IF(R269 + X268 &lt; 0, R269 + X268, 0)</f>
        <v>0</v>
      </c>
      <c r="Y269" s="1">
        <f>IF(S269 + Y268 &lt; 0, S269 + Y268, 0)</f>
        <v>0</v>
      </c>
      <c r="Z269" s="1">
        <f>IF(T269 + Z268 &lt; 0, T269 + Z268, 0)</f>
        <v>0</v>
      </c>
      <c r="AA269" s="1">
        <f>IF(U269 + AA268 &lt; 0, U269 + AA268, 0)</f>
        <v>0</v>
      </c>
      <c r="AB269" s="1">
        <f>IF(AA269 &lt; 0, 1 + AB268, 0)</f>
        <v>0</v>
      </c>
      <c r="AC269" s="1">
        <f>IF(H269&lt;0,1,0)</f>
        <v>0</v>
      </c>
      <c r="AD269" s="1">
        <f>IF(AC269=1,H269,0)</f>
        <v>0</v>
      </c>
      <c r="AE269" s="1">
        <f>IF(H269&gt;0,1,0)</f>
        <v>0</v>
      </c>
      <c r="AF269" s="1">
        <f>IF(AE269=1,H269,0)</f>
        <v>0</v>
      </c>
      <c r="AG269" s="1">
        <f>IF(AD269&lt;-20000000.0/100,1,0)</f>
        <v>0</v>
      </c>
      <c r="AH269" s="1">
        <f>IF(AF269&gt;20000000.0/100,1,0)</f>
        <v>0</v>
      </c>
      <c r="AI269" s="1">
        <f>IF(U269&lt;0,1,0)</f>
        <v>0</v>
      </c>
      <c r="AJ269" s="1">
        <f>IF(AI269=1,U269,0)</f>
        <v>0</v>
      </c>
      <c r="AK269" s="1">
        <f>IF(U269&gt;0,1,0)</f>
        <v>0</v>
      </c>
      <c r="AL269" s="1">
        <f>IF(AK269=1,U269,0)</f>
        <v>0</v>
      </c>
      <c r="AM269" s="1">
        <f>IF(AJ269&lt;-20000000.0/100,1,0)</f>
        <v>0</v>
      </c>
      <c r="AN269" s="1">
        <f>IF(AL269&gt;20000000.0/100,1,0)</f>
        <v>0</v>
      </c>
    </row>
    <row r="270" spans="1:40" s="1" customFormat="1">
      <c r="A270" s="3">
        <v>45688</v>
      </c>
      <c r="B270" s="2" t="s">
        <v>26</v>
      </c>
      <c r="C270" s="1">
        <f>SUM(PL!H270:J270)</f>
        <v>0</v>
      </c>
      <c r="D270" s="1">
        <f>SUM(PL!K270:M270)</f>
        <v>0</v>
      </c>
      <c r="E270" s="1">
        <f>SUM(PL!N270:P270)</f>
        <v>0</v>
      </c>
      <c r="F270" s="1">
        <f>SUM(PL!Q270:S270)</f>
        <v>0</v>
      </c>
      <c r="G270" s="1">
        <f>SUM(PL!T270:V270)</f>
        <v>0</v>
      </c>
      <c r="H270" s="1">
        <f>SUM(C270:G270)</f>
        <v>0</v>
      </c>
      <c r="I270" s="1">
        <f>IF(C270 + I269 &lt; 0, C270 + I269, 0)</f>
        <v>0</v>
      </c>
      <c r="J270" s="1">
        <f>IF(D270 + J269 &lt; 0, D270 + J269, 0)</f>
        <v>0</v>
      </c>
      <c r="K270" s="1">
        <f>IF(E270 + K269 &lt; 0, E270 + K269, 0)</f>
        <v>0</v>
      </c>
      <c r="L270" s="1">
        <f>IF(F270 + L269 &lt; 0, F270 + L269, 0)</f>
        <v>0</v>
      </c>
      <c r="M270" s="1">
        <f>IF(G270 + M269 &lt; 0, G270 + M269, 0)</f>
        <v>0</v>
      </c>
      <c r="N270" s="1">
        <f>IF(H270 + N269 &lt; 0, H270 + N269, 0)</f>
        <v>0</v>
      </c>
      <c r="O270" s="1">
        <f>IF(N270 &lt; 0, 1 + O269, 0)</f>
        <v>0</v>
      </c>
      <c r="P270" s="1">
        <f>C270-((ABS(SUM(PL!H270:J270)))*0.125)</f>
        <v>0</v>
      </c>
      <c r="Q270" s="1">
        <f>D270-((ABS(SUM(PL!K270:M270)))*0.125)</f>
        <v>0</v>
      </c>
      <c r="R270" s="1">
        <f>E270-((ABS(SUM(PL!N270:P270)))*0.125)</f>
        <v>0</v>
      </c>
      <c r="S270" s="1">
        <f>F270-((ABS(SUM(PL!Q270:S270)))*0.125)</f>
        <v>0</v>
      </c>
      <c r="T270" s="1">
        <f>G270-((ABS(SUM(PL!T270:V270)))*0.125)</f>
        <v>0</v>
      </c>
      <c r="U270" s="1">
        <f>P270 + Q270 + R270 + S270 + T270</f>
        <v>0</v>
      </c>
      <c r="V270" s="1">
        <f>IF(P270 + V269 &lt; 0, P270 + V269, 0)</f>
        <v>0</v>
      </c>
      <c r="W270" s="1">
        <f>IF(Q270 + W269 &lt; 0, Q270 + W269, 0)</f>
        <v>0</v>
      </c>
      <c r="X270" s="1">
        <f>IF(R270 + X269 &lt; 0, R270 + X269, 0)</f>
        <v>0</v>
      </c>
      <c r="Y270" s="1">
        <f>IF(S270 + Y269 &lt; 0, S270 + Y269, 0)</f>
        <v>0</v>
      </c>
      <c r="Z270" s="1">
        <f>IF(T270 + Z269 &lt; 0, T270 + Z269, 0)</f>
        <v>0</v>
      </c>
      <c r="AA270" s="1">
        <f>IF(U270 + AA269 &lt; 0, U270 + AA269, 0)</f>
        <v>0</v>
      </c>
      <c r="AB270" s="1">
        <f>IF(AA270 &lt; 0, 1 + AB269, 0)</f>
        <v>0</v>
      </c>
      <c r="AC270" s="1">
        <f>IF(H270&lt;0,1,0)</f>
        <v>0</v>
      </c>
      <c r="AD270" s="1">
        <f>IF(AC270=1,H270,0)</f>
        <v>0</v>
      </c>
      <c r="AE270" s="1">
        <f>IF(H270&gt;0,1,0)</f>
        <v>0</v>
      </c>
      <c r="AF270" s="1">
        <f>IF(AE270=1,H270,0)</f>
        <v>0</v>
      </c>
      <c r="AG270" s="1">
        <f>IF(AD270&lt;-20000000.0/100,1,0)</f>
        <v>0</v>
      </c>
      <c r="AH270" s="1">
        <f>IF(AF270&gt;20000000.0/100,1,0)</f>
        <v>0</v>
      </c>
      <c r="AI270" s="1">
        <f>IF(U270&lt;0,1,0)</f>
        <v>0</v>
      </c>
      <c r="AJ270" s="1">
        <f>IF(AI270=1,U270,0)</f>
        <v>0</v>
      </c>
      <c r="AK270" s="1">
        <f>IF(U270&gt;0,1,0)</f>
        <v>0</v>
      </c>
      <c r="AL270" s="1">
        <f>IF(AK270=1,U270,0)</f>
        <v>0</v>
      </c>
      <c r="AM270" s="1">
        <f>IF(AJ270&lt;-20000000.0/100,1,0)</f>
        <v>0</v>
      </c>
      <c r="AN270" s="1">
        <f>IF(AL270&gt;20000000.0/100,1,0)</f>
        <v>0</v>
      </c>
    </row>
    <row r="271" spans="1:40" s="1" customFormat="1">
      <c r="A271" s="3">
        <v>45689</v>
      </c>
      <c r="B271" s="2" t="s">
        <v>27</v>
      </c>
      <c r="C271" s="1">
        <f>SUM(PL!H271:J271)</f>
        <v>0</v>
      </c>
      <c r="D271" s="1">
        <f>SUM(PL!K271:M271)</f>
        <v>0</v>
      </c>
      <c r="E271" s="1">
        <f>SUM(PL!N271:P271)</f>
        <v>0</v>
      </c>
      <c r="F271" s="1">
        <f>SUM(PL!Q271:S271)</f>
        <v>0</v>
      </c>
      <c r="G271" s="1">
        <f>SUM(PL!T271:V271)</f>
        <v>0</v>
      </c>
      <c r="H271" s="1">
        <f>SUM(C271:G271)</f>
        <v>0</v>
      </c>
      <c r="I271" s="1">
        <f>IF(C271 + I270 &lt; 0, C271 + I270, 0)</f>
        <v>0</v>
      </c>
      <c r="J271" s="1">
        <f>IF(D271 + J270 &lt; 0, D271 + J270, 0)</f>
        <v>0</v>
      </c>
      <c r="K271" s="1">
        <f>IF(E271 + K270 &lt; 0, E271 + K270, 0)</f>
        <v>0</v>
      </c>
      <c r="L271" s="1">
        <f>IF(F271 + L270 &lt; 0, F271 + L270, 0)</f>
        <v>0</v>
      </c>
      <c r="M271" s="1">
        <f>IF(G271 + M270 &lt; 0, G271 + M270, 0)</f>
        <v>0</v>
      </c>
      <c r="N271" s="1">
        <f>IF(H271 + N270 &lt; 0, H271 + N270, 0)</f>
        <v>0</v>
      </c>
      <c r="O271" s="1">
        <f>IF(N271 &lt; 0, 1 + O270, 0)</f>
        <v>0</v>
      </c>
      <c r="P271" s="1">
        <f>C271-((ABS(SUM(PL!H271:J271)))*0.125)</f>
        <v>0</v>
      </c>
      <c r="Q271" s="1">
        <f>D271-((ABS(SUM(PL!K271:M271)))*0.125)</f>
        <v>0</v>
      </c>
      <c r="R271" s="1">
        <f>E271-((ABS(SUM(PL!N271:P271)))*0.125)</f>
        <v>0</v>
      </c>
      <c r="S271" s="1">
        <f>F271-((ABS(SUM(PL!Q271:S271)))*0.125)</f>
        <v>0</v>
      </c>
      <c r="T271" s="1">
        <f>G271-((ABS(SUM(PL!T271:V271)))*0.125)</f>
        <v>0</v>
      </c>
      <c r="U271" s="1">
        <f>P271 + Q271 + R271 + S271 + T271</f>
        <v>0</v>
      </c>
      <c r="V271" s="1">
        <f>IF(P271 + V270 &lt; 0, P271 + V270, 0)</f>
        <v>0</v>
      </c>
      <c r="W271" s="1">
        <f>IF(Q271 + W270 &lt; 0, Q271 + W270, 0)</f>
        <v>0</v>
      </c>
      <c r="X271" s="1">
        <f>IF(R271 + X270 &lt; 0, R271 + X270, 0)</f>
        <v>0</v>
      </c>
      <c r="Y271" s="1">
        <f>IF(S271 + Y270 &lt; 0, S271 + Y270, 0)</f>
        <v>0</v>
      </c>
      <c r="Z271" s="1">
        <f>IF(T271 + Z270 &lt; 0, T271 + Z270, 0)</f>
        <v>0</v>
      </c>
      <c r="AA271" s="1">
        <f>IF(U271 + AA270 &lt; 0, U271 + AA270, 0)</f>
        <v>0</v>
      </c>
      <c r="AB271" s="1">
        <f>IF(AA271 &lt; 0, 1 + AB270, 0)</f>
        <v>0</v>
      </c>
      <c r="AC271" s="1">
        <f>IF(H271&lt;0,1,0)</f>
        <v>0</v>
      </c>
      <c r="AD271" s="1">
        <f>IF(AC271=1,H271,0)</f>
        <v>0</v>
      </c>
      <c r="AE271" s="1">
        <f>IF(H271&gt;0,1,0)</f>
        <v>0</v>
      </c>
      <c r="AF271" s="1">
        <f>IF(AE271=1,H271,0)</f>
        <v>0</v>
      </c>
      <c r="AG271" s="1">
        <f>IF(AD271&lt;-20000000.0/100,1,0)</f>
        <v>0</v>
      </c>
      <c r="AH271" s="1">
        <f>IF(AF271&gt;20000000.0/100,1,0)</f>
        <v>0</v>
      </c>
      <c r="AI271" s="1">
        <f>IF(U271&lt;0,1,0)</f>
        <v>0</v>
      </c>
      <c r="AJ271" s="1">
        <f>IF(AI271=1,U271,0)</f>
        <v>0</v>
      </c>
      <c r="AK271" s="1">
        <f>IF(U271&gt;0,1,0)</f>
        <v>0</v>
      </c>
      <c r="AL271" s="1">
        <f>IF(AK271=1,U271,0)</f>
        <v>0</v>
      </c>
      <c r="AM271" s="1">
        <f>IF(AJ271&lt;-20000000.0/100,1,0)</f>
        <v>0</v>
      </c>
      <c r="AN271" s="1">
        <f>IF(AL271&gt;20000000.0/100,1,0)</f>
        <v>0</v>
      </c>
    </row>
    <row r="272" spans="1:40" s="1" customFormat="1">
      <c r="A272" s="3">
        <v>45691</v>
      </c>
      <c r="B272" s="2" t="s">
        <v>22</v>
      </c>
      <c r="C272" s="1">
        <f>SUM(PL!H272:J272)</f>
        <v>0</v>
      </c>
      <c r="D272" s="1">
        <f>SUM(PL!K272:M272)</f>
        <v>0</v>
      </c>
      <c r="E272" s="1">
        <f>SUM(PL!N272:P272)</f>
        <v>0</v>
      </c>
      <c r="F272" s="1">
        <f>SUM(PL!Q272:S272)</f>
        <v>0</v>
      </c>
      <c r="G272" s="1">
        <f>SUM(PL!T272:V272)</f>
        <v>0</v>
      </c>
      <c r="H272" s="1">
        <f>SUM(C272:G272)</f>
        <v>0</v>
      </c>
      <c r="I272" s="1">
        <f>IF(C272 + I271 &lt; 0, C272 + I271, 0)</f>
        <v>0</v>
      </c>
      <c r="J272" s="1">
        <f>IF(D272 + J271 &lt; 0, D272 + J271, 0)</f>
        <v>0</v>
      </c>
      <c r="K272" s="1">
        <f>IF(E272 + K271 &lt; 0, E272 + K271, 0)</f>
        <v>0</v>
      </c>
      <c r="L272" s="1">
        <f>IF(F272 + L271 &lt; 0, F272 + L271, 0)</f>
        <v>0</v>
      </c>
      <c r="M272" s="1">
        <f>IF(G272 + M271 &lt; 0, G272 + M271, 0)</f>
        <v>0</v>
      </c>
      <c r="N272" s="1">
        <f>IF(H272 + N271 &lt; 0, H272 + N271, 0)</f>
        <v>0</v>
      </c>
      <c r="O272" s="1">
        <f>IF(N272 &lt; 0, 1 + O271, 0)</f>
        <v>0</v>
      </c>
      <c r="P272" s="1">
        <f>C272-((ABS(SUM(PL!H272:J272)))*0.125)</f>
        <v>0</v>
      </c>
      <c r="Q272" s="1">
        <f>D272-((ABS(SUM(PL!K272:M272)))*0.125)</f>
        <v>0</v>
      </c>
      <c r="R272" s="1">
        <f>E272-((ABS(SUM(PL!N272:P272)))*0.125)</f>
        <v>0</v>
      </c>
      <c r="S272" s="1">
        <f>F272-((ABS(SUM(PL!Q272:S272)))*0.125)</f>
        <v>0</v>
      </c>
      <c r="T272" s="1">
        <f>G272-((ABS(SUM(PL!T272:V272)))*0.125)</f>
        <v>0</v>
      </c>
      <c r="U272" s="1">
        <f>P272 + Q272 + R272 + S272 + T272</f>
        <v>0</v>
      </c>
      <c r="V272" s="1">
        <f>IF(P272 + V271 &lt; 0, P272 + V271, 0)</f>
        <v>0</v>
      </c>
      <c r="W272" s="1">
        <f>IF(Q272 + W271 &lt; 0, Q272 + W271, 0)</f>
        <v>0</v>
      </c>
      <c r="X272" s="1">
        <f>IF(R272 + X271 &lt; 0, R272 + X271, 0)</f>
        <v>0</v>
      </c>
      <c r="Y272" s="1">
        <f>IF(S272 + Y271 &lt; 0, S272 + Y271, 0)</f>
        <v>0</v>
      </c>
      <c r="Z272" s="1">
        <f>IF(T272 + Z271 &lt; 0, T272 + Z271, 0)</f>
        <v>0</v>
      </c>
      <c r="AA272" s="1">
        <f>IF(U272 + AA271 &lt; 0, U272 + AA271, 0)</f>
        <v>0</v>
      </c>
      <c r="AB272" s="1">
        <f>IF(AA272 &lt; 0, 1 + AB271, 0)</f>
        <v>0</v>
      </c>
      <c r="AC272" s="1">
        <f>IF(H272&lt;0,1,0)</f>
        <v>0</v>
      </c>
      <c r="AD272" s="1">
        <f>IF(AC272=1,H272,0)</f>
        <v>0</v>
      </c>
      <c r="AE272" s="1">
        <f>IF(H272&gt;0,1,0)</f>
        <v>0</v>
      </c>
      <c r="AF272" s="1">
        <f>IF(AE272=1,H272,0)</f>
        <v>0</v>
      </c>
      <c r="AG272" s="1">
        <f>IF(AD272&lt;-20000000.0/100,1,0)</f>
        <v>0</v>
      </c>
      <c r="AH272" s="1">
        <f>IF(AF272&gt;20000000.0/100,1,0)</f>
        <v>0</v>
      </c>
      <c r="AI272" s="1">
        <f>IF(U272&lt;0,1,0)</f>
        <v>0</v>
      </c>
      <c r="AJ272" s="1">
        <f>IF(AI272=1,U272,0)</f>
        <v>0</v>
      </c>
      <c r="AK272" s="1">
        <f>IF(U272&gt;0,1,0)</f>
        <v>0</v>
      </c>
      <c r="AL272" s="1">
        <f>IF(AK272=1,U272,0)</f>
        <v>0</v>
      </c>
      <c r="AM272" s="1">
        <f>IF(AJ272&lt;-20000000.0/100,1,0)</f>
        <v>0</v>
      </c>
      <c r="AN272" s="1">
        <f>IF(AL272&gt;20000000.0/100,1,0)</f>
        <v>0</v>
      </c>
    </row>
    <row r="273" spans="1:40" s="1" customFormat="1">
      <c r="A273" s="3">
        <v>45692</v>
      </c>
      <c r="B273" s="2" t="s">
        <v>23</v>
      </c>
      <c r="C273" s="1">
        <f>SUM(PL!H273:J273)</f>
        <v>0</v>
      </c>
      <c r="D273" s="1">
        <f>SUM(PL!K273:M273)</f>
        <v>0</v>
      </c>
      <c r="E273" s="1">
        <f>SUM(PL!N273:P273)</f>
        <v>0</v>
      </c>
      <c r="F273" s="1">
        <f>SUM(PL!Q273:S273)</f>
        <v>0</v>
      </c>
      <c r="G273" s="1">
        <f>SUM(PL!T273:V273)</f>
        <v>0</v>
      </c>
      <c r="H273" s="1">
        <f>SUM(C273:G273)</f>
        <v>0</v>
      </c>
      <c r="I273" s="1">
        <f>IF(C273 + I272 &lt; 0, C273 + I272, 0)</f>
        <v>0</v>
      </c>
      <c r="J273" s="1">
        <f>IF(D273 + J272 &lt; 0, D273 + J272, 0)</f>
        <v>0</v>
      </c>
      <c r="K273" s="1">
        <f>IF(E273 + K272 &lt; 0, E273 + K272, 0)</f>
        <v>0</v>
      </c>
      <c r="L273" s="1">
        <f>IF(F273 + L272 &lt; 0, F273 + L272, 0)</f>
        <v>0</v>
      </c>
      <c r="M273" s="1">
        <f>IF(G273 + M272 &lt; 0, G273 + M272, 0)</f>
        <v>0</v>
      </c>
      <c r="N273" s="1">
        <f>IF(H273 + N272 &lt; 0, H273 + N272, 0)</f>
        <v>0</v>
      </c>
      <c r="O273" s="1">
        <f>IF(N273 &lt; 0, 1 + O272, 0)</f>
        <v>0</v>
      </c>
      <c r="P273" s="1">
        <f>C273-((ABS(SUM(PL!H273:J273)))*0.125)</f>
        <v>0</v>
      </c>
      <c r="Q273" s="1">
        <f>D273-((ABS(SUM(PL!K273:M273)))*0.125)</f>
        <v>0</v>
      </c>
      <c r="R273" s="1">
        <f>E273-((ABS(SUM(PL!N273:P273)))*0.125)</f>
        <v>0</v>
      </c>
      <c r="S273" s="1">
        <f>F273-((ABS(SUM(PL!Q273:S273)))*0.125)</f>
        <v>0</v>
      </c>
      <c r="T273" s="1">
        <f>G273-((ABS(SUM(PL!T273:V273)))*0.125)</f>
        <v>0</v>
      </c>
      <c r="U273" s="1">
        <f>P273 + Q273 + R273 + S273 + T273</f>
        <v>0</v>
      </c>
      <c r="V273" s="1">
        <f>IF(P273 + V272 &lt; 0, P273 + V272, 0)</f>
        <v>0</v>
      </c>
      <c r="W273" s="1">
        <f>IF(Q273 + W272 &lt; 0, Q273 + W272, 0)</f>
        <v>0</v>
      </c>
      <c r="X273" s="1">
        <f>IF(R273 + X272 &lt; 0, R273 + X272, 0)</f>
        <v>0</v>
      </c>
      <c r="Y273" s="1">
        <f>IF(S273 + Y272 &lt; 0, S273 + Y272, 0)</f>
        <v>0</v>
      </c>
      <c r="Z273" s="1">
        <f>IF(T273 + Z272 &lt; 0, T273 + Z272, 0)</f>
        <v>0</v>
      </c>
      <c r="AA273" s="1">
        <f>IF(U273 + AA272 &lt; 0, U273 + AA272, 0)</f>
        <v>0</v>
      </c>
      <c r="AB273" s="1">
        <f>IF(AA273 &lt; 0, 1 + AB272, 0)</f>
        <v>0</v>
      </c>
      <c r="AC273" s="1">
        <f>IF(H273&lt;0,1,0)</f>
        <v>0</v>
      </c>
      <c r="AD273" s="1">
        <f>IF(AC273=1,H273,0)</f>
        <v>0</v>
      </c>
      <c r="AE273" s="1">
        <f>IF(H273&gt;0,1,0)</f>
        <v>0</v>
      </c>
      <c r="AF273" s="1">
        <f>IF(AE273=1,H273,0)</f>
        <v>0</v>
      </c>
      <c r="AG273" s="1">
        <f>IF(AD273&lt;-20000000.0/100,1,0)</f>
        <v>0</v>
      </c>
      <c r="AH273" s="1">
        <f>IF(AF273&gt;20000000.0/100,1,0)</f>
        <v>0</v>
      </c>
      <c r="AI273" s="1">
        <f>IF(U273&lt;0,1,0)</f>
        <v>0</v>
      </c>
      <c r="AJ273" s="1">
        <f>IF(AI273=1,U273,0)</f>
        <v>0</v>
      </c>
      <c r="AK273" s="1">
        <f>IF(U273&gt;0,1,0)</f>
        <v>0</v>
      </c>
      <c r="AL273" s="1">
        <f>IF(AK273=1,U273,0)</f>
        <v>0</v>
      </c>
      <c r="AM273" s="1">
        <f>IF(AJ273&lt;-20000000.0/100,1,0)</f>
        <v>0</v>
      </c>
      <c r="AN273" s="1">
        <f>IF(AL273&gt;20000000.0/100,1,0)</f>
        <v>0</v>
      </c>
    </row>
    <row r="274" spans="1:40" s="1" customFormat="1">
      <c r="A274" s="3">
        <v>45693</v>
      </c>
      <c r="B274" s="2" t="s">
        <v>24</v>
      </c>
      <c r="C274" s="1">
        <f>SUM(PL!H274:J274)</f>
        <v>0</v>
      </c>
      <c r="D274" s="1">
        <f>SUM(PL!K274:M274)</f>
        <v>0</v>
      </c>
      <c r="E274" s="1">
        <f>SUM(PL!N274:P274)</f>
        <v>0</v>
      </c>
      <c r="F274" s="1">
        <f>SUM(PL!Q274:S274)</f>
        <v>0</v>
      </c>
      <c r="G274" s="1">
        <f>SUM(PL!T274:V274)</f>
        <v>0</v>
      </c>
      <c r="H274" s="1">
        <f>SUM(C274:G274)</f>
        <v>0</v>
      </c>
      <c r="I274" s="1">
        <f>IF(C274 + I273 &lt; 0, C274 + I273, 0)</f>
        <v>0</v>
      </c>
      <c r="J274" s="1">
        <f>IF(D274 + J273 &lt; 0, D274 + J273, 0)</f>
        <v>0</v>
      </c>
      <c r="K274" s="1">
        <f>IF(E274 + K273 &lt; 0, E274 + K273, 0)</f>
        <v>0</v>
      </c>
      <c r="L274" s="1">
        <f>IF(F274 + L273 &lt; 0, F274 + L273, 0)</f>
        <v>0</v>
      </c>
      <c r="M274" s="1">
        <f>IF(G274 + M273 &lt; 0, G274 + M273, 0)</f>
        <v>0</v>
      </c>
      <c r="N274" s="1">
        <f>IF(H274 + N273 &lt; 0, H274 + N273, 0)</f>
        <v>0</v>
      </c>
      <c r="O274" s="1">
        <f>IF(N274 &lt; 0, 1 + O273, 0)</f>
        <v>0</v>
      </c>
      <c r="P274" s="1">
        <f>C274-((ABS(SUM(PL!H274:J274)))*0.125)</f>
        <v>0</v>
      </c>
      <c r="Q274" s="1">
        <f>D274-((ABS(SUM(PL!K274:M274)))*0.125)</f>
        <v>0</v>
      </c>
      <c r="R274" s="1">
        <f>E274-((ABS(SUM(PL!N274:P274)))*0.125)</f>
        <v>0</v>
      </c>
      <c r="S274" s="1">
        <f>F274-((ABS(SUM(PL!Q274:S274)))*0.125)</f>
        <v>0</v>
      </c>
      <c r="T274" s="1">
        <f>G274-((ABS(SUM(PL!T274:V274)))*0.125)</f>
        <v>0</v>
      </c>
      <c r="U274" s="1">
        <f>P274 + Q274 + R274 + S274 + T274</f>
        <v>0</v>
      </c>
      <c r="V274" s="1">
        <f>IF(P274 + V273 &lt; 0, P274 + V273, 0)</f>
        <v>0</v>
      </c>
      <c r="W274" s="1">
        <f>IF(Q274 + W273 &lt; 0, Q274 + W273, 0)</f>
        <v>0</v>
      </c>
      <c r="X274" s="1">
        <f>IF(R274 + X273 &lt; 0, R274 + X273, 0)</f>
        <v>0</v>
      </c>
      <c r="Y274" s="1">
        <f>IF(S274 + Y273 &lt; 0, S274 + Y273, 0)</f>
        <v>0</v>
      </c>
      <c r="Z274" s="1">
        <f>IF(T274 + Z273 &lt; 0, T274 + Z273, 0)</f>
        <v>0</v>
      </c>
      <c r="AA274" s="1">
        <f>IF(U274 + AA273 &lt; 0, U274 + AA273, 0)</f>
        <v>0</v>
      </c>
      <c r="AB274" s="1">
        <f>IF(AA274 &lt; 0, 1 + AB273, 0)</f>
        <v>0</v>
      </c>
      <c r="AC274" s="1">
        <f>IF(H274&lt;0,1,0)</f>
        <v>0</v>
      </c>
      <c r="AD274" s="1">
        <f>IF(AC274=1,H274,0)</f>
        <v>0</v>
      </c>
      <c r="AE274" s="1">
        <f>IF(H274&gt;0,1,0)</f>
        <v>0</v>
      </c>
      <c r="AF274" s="1">
        <f>IF(AE274=1,H274,0)</f>
        <v>0</v>
      </c>
      <c r="AG274" s="1">
        <f>IF(AD274&lt;-20000000.0/100,1,0)</f>
        <v>0</v>
      </c>
      <c r="AH274" s="1">
        <f>IF(AF274&gt;20000000.0/100,1,0)</f>
        <v>0</v>
      </c>
      <c r="AI274" s="1">
        <f>IF(U274&lt;0,1,0)</f>
        <v>0</v>
      </c>
      <c r="AJ274" s="1">
        <f>IF(AI274=1,U274,0)</f>
        <v>0</v>
      </c>
      <c r="AK274" s="1">
        <f>IF(U274&gt;0,1,0)</f>
        <v>0</v>
      </c>
      <c r="AL274" s="1">
        <f>IF(AK274=1,U274,0)</f>
        <v>0</v>
      </c>
      <c r="AM274" s="1">
        <f>IF(AJ274&lt;-20000000.0/100,1,0)</f>
        <v>0</v>
      </c>
      <c r="AN274" s="1">
        <f>IF(AL274&gt;20000000.0/100,1,0)</f>
        <v>0</v>
      </c>
    </row>
    <row r="275" spans="1:40" s="1" customFormat="1">
      <c r="A275" s="3">
        <v>45694</v>
      </c>
      <c r="B275" s="2" t="s">
        <v>25</v>
      </c>
      <c r="C275" s="1">
        <f>SUM(PL!H275:J275)</f>
        <v>0</v>
      </c>
      <c r="D275" s="1">
        <f>SUM(PL!K275:M275)</f>
        <v>0</v>
      </c>
      <c r="E275" s="1">
        <f>SUM(PL!N275:P275)</f>
        <v>0</v>
      </c>
      <c r="F275" s="1">
        <f>SUM(PL!Q275:S275)</f>
        <v>0</v>
      </c>
      <c r="G275" s="1">
        <f>SUM(PL!T275:V275)</f>
        <v>0</v>
      </c>
      <c r="H275" s="1">
        <f>SUM(C275:G275)</f>
        <v>0</v>
      </c>
      <c r="I275" s="1">
        <f>IF(C275 + I274 &lt; 0, C275 + I274, 0)</f>
        <v>0</v>
      </c>
      <c r="J275" s="1">
        <f>IF(D275 + J274 &lt; 0, D275 + J274, 0)</f>
        <v>0</v>
      </c>
      <c r="K275" s="1">
        <f>IF(E275 + K274 &lt; 0, E275 + K274, 0)</f>
        <v>0</v>
      </c>
      <c r="L275" s="1">
        <f>IF(F275 + L274 &lt; 0, F275 + L274, 0)</f>
        <v>0</v>
      </c>
      <c r="M275" s="1">
        <f>IF(G275 + M274 &lt; 0, G275 + M274, 0)</f>
        <v>0</v>
      </c>
      <c r="N275" s="1">
        <f>IF(H275 + N274 &lt; 0, H275 + N274, 0)</f>
        <v>0</v>
      </c>
      <c r="O275" s="1">
        <f>IF(N275 &lt; 0, 1 + O274, 0)</f>
        <v>0</v>
      </c>
      <c r="P275" s="1">
        <f>C275-((ABS(SUM(PL!H275:J275)))*0.125)</f>
        <v>0</v>
      </c>
      <c r="Q275" s="1">
        <f>D275-((ABS(SUM(PL!K275:M275)))*0.125)</f>
        <v>0</v>
      </c>
      <c r="R275" s="1">
        <f>E275-((ABS(SUM(PL!N275:P275)))*0.125)</f>
        <v>0</v>
      </c>
      <c r="S275" s="1">
        <f>F275-((ABS(SUM(PL!Q275:S275)))*0.125)</f>
        <v>0</v>
      </c>
      <c r="T275" s="1">
        <f>G275-((ABS(SUM(PL!T275:V275)))*0.125)</f>
        <v>0</v>
      </c>
      <c r="U275" s="1">
        <f>P275 + Q275 + R275 + S275 + T275</f>
        <v>0</v>
      </c>
      <c r="V275" s="1">
        <f>IF(P275 + V274 &lt; 0, P275 + V274, 0)</f>
        <v>0</v>
      </c>
      <c r="W275" s="1">
        <f>IF(Q275 + W274 &lt; 0, Q275 + W274, 0)</f>
        <v>0</v>
      </c>
      <c r="X275" s="1">
        <f>IF(R275 + X274 &lt; 0, R275 + X274, 0)</f>
        <v>0</v>
      </c>
      <c r="Y275" s="1">
        <f>IF(S275 + Y274 &lt; 0, S275 + Y274, 0)</f>
        <v>0</v>
      </c>
      <c r="Z275" s="1">
        <f>IF(T275 + Z274 &lt; 0, T275 + Z274, 0)</f>
        <v>0</v>
      </c>
      <c r="AA275" s="1">
        <f>IF(U275 + AA274 &lt; 0, U275 + AA274, 0)</f>
        <v>0</v>
      </c>
      <c r="AB275" s="1">
        <f>IF(AA275 &lt; 0, 1 + AB274, 0)</f>
        <v>0</v>
      </c>
      <c r="AC275" s="1">
        <f>IF(H275&lt;0,1,0)</f>
        <v>0</v>
      </c>
      <c r="AD275" s="1">
        <f>IF(AC275=1,H275,0)</f>
        <v>0</v>
      </c>
      <c r="AE275" s="1">
        <f>IF(H275&gt;0,1,0)</f>
        <v>0</v>
      </c>
      <c r="AF275" s="1">
        <f>IF(AE275=1,H275,0)</f>
        <v>0</v>
      </c>
      <c r="AG275" s="1">
        <f>IF(AD275&lt;-20000000.0/100,1,0)</f>
        <v>0</v>
      </c>
      <c r="AH275" s="1">
        <f>IF(AF275&gt;20000000.0/100,1,0)</f>
        <v>0</v>
      </c>
      <c r="AI275" s="1">
        <f>IF(U275&lt;0,1,0)</f>
        <v>0</v>
      </c>
      <c r="AJ275" s="1">
        <f>IF(AI275=1,U275,0)</f>
        <v>0</v>
      </c>
      <c r="AK275" s="1">
        <f>IF(U275&gt;0,1,0)</f>
        <v>0</v>
      </c>
      <c r="AL275" s="1">
        <f>IF(AK275=1,U275,0)</f>
        <v>0</v>
      </c>
      <c r="AM275" s="1">
        <f>IF(AJ275&lt;-20000000.0/100,1,0)</f>
        <v>0</v>
      </c>
      <c r="AN275" s="1">
        <f>IF(AL275&gt;20000000.0/100,1,0)</f>
        <v>0</v>
      </c>
    </row>
    <row r="276" spans="1:40" s="1" customFormat="1">
      <c r="A276" s="3">
        <v>45695</v>
      </c>
      <c r="B276" s="2" t="s">
        <v>26</v>
      </c>
      <c r="C276" s="1">
        <f>SUM(PL!H276:J276)</f>
        <v>0</v>
      </c>
      <c r="D276" s="1">
        <f>SUM(PL!K276:M276)</f>
        <v>0</v>
      </c>
      <c r="E276" s="1">
        <f>SUM(PL!N276:P276)</f>
        <v>0</v>
      </c>
      <c r="F276" s="1">
        <f>SUM(PL!Q276:S276)</f>
        <v>0</v>
      </c>
      <c r="G276" s="1">
        <f>SUM(PL!T276:V276)</f>
        <v>0</v>
      </c>
      <c r="H276" s="1">
        <f>SUM(C276:G276)</f>
        <v>0</v>
      </c>
      <c r="I276" s="1">
        <f>IF(C276 + I275 &lt; 0, C276 + I275, 0)</f>
        <v>0</v>
      </c>
      <c r="J276" s="1">
        <f>IF(D276 + J275 &lt; 0, D276 + J275, 0)</f>
        <v>0</v>
      </c>
      <c r="K276" s="1">
        <f>IF(E276 + K275 &lt; 0, E276 + K275, 0)</f>
        <v>0</v>
      </c>
      <c r="L276" s="1">
        <f>IF(F276 + L275 &lt; 0, F276 + L275, 0)</f>
        <v>0</v>
      </c>
      <c r="M276" s="1">
        <f>IF(G276 + M275 &lt; 0, G276 + M275, 0)</f>
        <v>0</v>
      </c>
      <c r="N276" s="1">
        <f>IF(H276 + N275 &lt; 0, H276 + N275, 0)</f>
        <v>0</v>
      </c>
      <c r="O276" s="1">
        <f>IF(N276 &lt; 0, 1 + O275, 0)</f>
        <v>0</v>
      </c>
      <c r="P276" s="1">
        <f>C276-((ABS(SUM(PL!H276:J276)))*0.125)</f>
        <v>0</v>
      </c>
      <c r="Q276" s="1">
        <f>D276-((ABS(SUM(PL!K276:M276)))*0.125)</f>
        <v>0</v>
      </c>
      <c r="R276" s="1">
        <f>E276-((ABS(SUM(PL!N276:P276)))*0.125)</f>
        <v>0</v>
      </c>
      <c r="S276" s="1">
        <f>F276-((ABS(SUM(PL!Q276:S276)))*0.125)</f>
        <v>0</v>
      </c>
      <c r="T276" s="1">
        <f>G276-((ABS(SUM(PL!T276:V276)))*0.125)</f>
        <v>0</v>
      </c>
      <c r="U276" s="1">
        <f>P276 + Q276 + R276 + S276 + T276</f>
        <v>0</v>
      </c>
      <c r="V276" s="1">
        <f>IF(P276 + V275 &lt; 0, P276 + V275, 0)</f>
        <v>0</v>
      </c>
      <c r="W276" s="1">
        <f>IF(Q276 + W275 &lt; 0, Q276 + W275, 0)</f>
        <v>0</v>
      </c>
      <c r="X276" s="1">
        <f>IF(R276 + X275 &lt; 0, R276 + X275, 0)</f>
        <v>0</v>
      </c>
      <c r="Y276" s="1">
        <f>IF(S276 + Y275 &lt; 0, S276 + Y275, 0)</f>
        <v>0</v>
      </c>
      <c r="Z276" s="1">
        <f>IF(T276 + Z275 &lt; 0, T276 + Z275, 0)</f>
        <v>0</v>
      </c>
      <c r="AA276" s="1">
        <f>IF(U276 + AA275 &lt; 0, U276 + AA275, 0)</f>
        <v>0</v>
      </c>
      <c r="AB276" s="1">
        <f>IF(AA276 &lt; 0, 1 + AB275, 0)</f>
        <v>0</v>
      </c>
      <c r="AC276" s="1">
        <f>IF(H276&lt;0,1,0)</f>
        <v>0</v>
      </c>
      <c r="AD276" s="1">
        <f>IF(AC276=1,H276,0)</f>
        <v>0</v>
      </c>
      <c r="AE276" s="1">
        <f>IF(H276&gt;0,1,0)</f>
        <v>0</v>
      </c>
      <c r="AF276" s="1">
        <f>IF(AE276=1,H276,0)</f>
        <v>0</v>
      </c>
      <c r="AG276" s="1">
        <f>IF(AD276&lt;-20000000.0/100,1,0)</f>
        <v>0</v>
      </c>
      <c r="AH276" s="1">
        <f>IF(AF276&gt;20000000.0/100,1,0)</f>
        <v>0</v>
      </c>
      <c r="AI276" s="1">
        <f>IF(U276&lt;0,1,0)</f>
        <v>0</v>
      </c>
      <c r="AJ276" s="1">
        <f>IF(AI276=1,U276,0)</f>
        <v>0</v>
      </c>
      <c r="AK276" s="1">
        <f>IF(U276&gt;0,1,0)</f>
        <v>0</v>
      </c>
      <c r="AL276" s="1">
        <f>IF(AK276=1,U276,0)</f>
        <v>0</v>
      </c>
      <c r="AM276" s="1">
        <f>IF(AJ276&lt;-20000000.0/100,1,0)</f>
        <v>0</v>
      </c>
      <c r="AN276" s="1">
        <f>IF(AL276&gt;20000000.0/100,1,0)</f>
        <v>0</v>
      </c>
    </row>
    <row r="277" spans="1:40" s="1" customFormat="1">
      <c r="A277" s="3">
        <v>45698</v>
      </c>
      <c r="B277" s="2" t="s">
        <v>22</v>
      </c>
      <c r="C277" s="1">
        <f>SUM(PL!H277:J277)</f>
        <v>0</v>
      </c>
      <c r="D277" s="1">
        <f>SUM(PL!K277:M277)</f>
        <v>0</v>
      </c>
      <c r="E277" s="1">
        <f>SUM(PL!N277:P277)</f>
        <v>0</v>
      </c>
      <c r="F277" s="1">
        <f>SUM(PL!Q277:S277)</f>
        <v>0</v>
      </c>
      <c r="G277" s="1">
        <f>SUM(PL!T277:V277)</f>
        <v>0</v>
      </c>
      <c r="H277" s="1">
        <f>SUM(C277:G277)</f>
        <v>0</v>
      </c>
      <c r="I277" s="1">
        <f>IF(C277 + I276 &lt; 0, C277 + I276, 0)</f>
        <v>0</v>
      </c>
      <c r="J277" s="1">
        <f>IF(D277 + J276 &lt; 0, D277 + J276, 0)</f>
        <v>0</v>
      </c>
      <c r="K277" s="1">
        <f>IF(E277 + K276 &lt; 0, E277 + K276, 0)</f>
        <v>0</v>
      </c>
      <c r="L277" s="1">
        <f>IF(F277 + L276 &lt; 0, F277 + L276, 0)</f>
        <v>0</v>
      </c>
      <c r="M277" s="1">
        <f>IF(G277 + M276 &lt; 0, G277 + M276, 0)</f>
        <v>0</v>
      </c>
      <c r="N277" s="1">
        <f>IF(H277 + N276 &lt; 0, H277 + N276, 0)</f>
        <v>0</v>
      </c>
      <c r="O277" s="1">
        <f>IF(N277 &lt; 0, 1 + O276, 0)</f>
        <v>0</v>
      </c>
      <c r="P277" s="1">
        <f>C277-((ABS(SUM(PL!H277:J277)))*0.125)</f>
        <v>0</v>
      </c>
      <c r="Q277" s="1">
        <f>D277-((ABS(SUM(PL!K277:M277)))*0.125)</f>
        <v>0</v>
      </c>
      <c r="R277" s="1">
        <f>E277-((ABS(SUM(PL!N277:P277)))*0.125)</f>
        <v>0</v>
      </c>
      <c r="S277" s="1">
        <f>F277-((ABS(SUM(PL!Q277:S277)))*0.125)</f>
        <v>0</v>
      </c>
      <c r="T277" s="1">
        <f>G277-((ABS(SUM(PL!T277:V277)))*0.125)</f>
        <v>0</v>
      </c>
      <c r="U277" s="1">
        <f>P277 + Q277 + R277 + S277 + T277</f>
        <v>0</v>
      </c>
      <c r="V277" s="1">
        <f>IF(P277 + V276 &lt; 0, P277 + V276, 0)</f>
        <v>0</v>
      </c>
      <c r="W277" s="1">
        <f>IF(Q277 + W276 &lt; 0, Q277 + W276, 0)</f>
        <v>0</v>
      </c>
      <c r="X277" s="1">
        <f>IF(R277 + X276 &lt; 0, R277 + X276, 0)</f>
        <v>0</v>
      </c>
      <c r="Y277" s="1">
        <f>IF(S277 + Y276 &lt; 0, S277 + Y276, 0)</f>
        <v>0</v>
      </c>
      <c r="Z277" s="1">
        <f>IF(T277 + Z276 &lt; 0, T277 + Z276, 0)</f>
        <v>0</v>
      </c>
      <c r="AA277" s="1">
        <f>IF(U277 + AA276 &lt; 0, U277 + AA276, 0)</f>
        <v>0</v>
      </c>
      <c r="AB277" s="1">
        <f>IF(AA277 &lt; 0, 1 + AB276, 0)</f>
        <v>0</v>
      </c>
      <c r="AC277" s="1">
        <f>IF(H277&lt;0,1,0)</f>
        <v>0</v>
      </c>
      <c r="AD277" s="1">
        <f>IF(AC277=1,H277,0)</f>
        <v>0</v>
      </c>
      <c r="AE277" s="1">
        <f>IF(H277&gt;0,1,0)</f>
        <v>0</v>
      </c>
      <c r="AF277" s="1">
        <f>IF(AE277=1,H277,0)</f>
        <v>0</v>
      </c>
      <c r="AG277" s="1">
        <f>IF(AD277&lt;-20000000.0/100,1,0)</f>
        <v>0</v>
      </c>
      <c r="AH277" s="1">
        <f>IF(AF277&gt;20000000.0/100,1,0)</f>
        <v>0</v>
      </c>
      <c r="AI277" s="1">
        <f>IF(U277&lt;0,1,0)</f>
        <v>0</v>
      </c>
      <c r="AJ277" s="1">
        <f>IF(AI277=1,U277,0)</f>
        <v>0</v>
      </c>
      <c r="AK277" s="1">
        <f>IF(U277&gt;0,1,0)</f>
        <v>0</v>
      </c>
      <c r="AL277" s="1">
        <f>IF(AK277=1,U277,0)</f>
        <v>0</v>
      </c>
      <c r="AM277" s="1">
        <f>IF(AJ277&lt;-20000000.0/100,1,0)</f>
        <v>0</v>
      </c>
      <c r="AN277" s="1">
        <f>IF(AL277&gt;20000000.0/100,1,0)</f>
        <v>0</v>
      </c>
    </row>
    <row r="278" spans="1:40" s="1" customFormat="1">
      <c r="A278" s="3">
        <v>45699</v>
      </c>
      <c r="B278" s="2" t="s">
        <v>23</v>
      </c>
      <c r="C278" s="1">
        <f>SUM(PL!H278:J278)</f>
        <v>0</v>
      </c>
      <c r="D278" s="1">
        <f>SUM(PL!K278:M278)</f>
        <v>0</v>
      </c>
      <c r="E278" s="1">
        <f>SUM(PL!N278:P278)</f>
        <v>0</v>
      </c>
      <c r="F278" s="1">
        <f>SUM(PL!Q278:S278)</f>
        <v>0</v>
      </c>
      <c r="G278" s="1">
        <f>SUM(PL!T278:V278)</f>
        <v>0</v>
      </c>
      <c r="H278" s="1">
        <f>SUM(C278:G278)</f>
        <v>0</v>
      </c>
      <c r="I278" s="1">
        <f>IF(C278 + I277 &lt; 0, C278 + I277, 0)</f>
        <v>0</v>
      </c>
      <c r="J278" s="1">
        <f>IF(D278 + J277 &lt; 0, D278 + J277, 0)</f>
        <v>0</v>
      </c>
      <c r="K278" s="1">
        <f>IF(E278 + K277 &lt; 0, E278 + K277, 0)</f>
        <v>0</v>
      </c>
      <c r="L278" s="1">
        <f>IF(F278 + L277 &lt; 0, F278 + L277, 0)</f>
        <v>0</v>
      </c>
      <c r="M278" s="1">
        <f>IF(G278 + M277 &lt; 0, G278 + M277, 0)</f>
        <v>0</v>
      </c>
      <c r="N278" s="1">
        <f>IF(H278 + N277 &lt; 0, H278 + N277, 0)</f>
        <v>0</v>
      </c>
      <c r="O278" s="1">
        <f>IF(N278 &lt; 0, 1 + O277, 0)</f>
        <v>0</v>
      </c>
      <c r="P278" s="1">
        <f>C278-((ABS(SUM(PL!H278:J278)))*0.125)</f>
        <v>0</v>
      </c>
      <c r="Q278" s="1">
        <f>D278-((ABS(SUM(PL!K278:M278)))*0.125)</f>
        <v>0</v>
      </c>
      <c r="R278" s="1">
        <f>E278-((ABS(SUM(PL!N278:P278)))*0.125)</f>
        <v>0</v>
      </c>
      <c r="S278" s="1">
        <f>F278-((ABS(SUM(PL!Q278:S278)))*0.125)</f>
        <v>0</v>
      </c>
      <c r="T278" s="1">
        <f>G278-((ABS(SUM(PL!T278:V278)))*0.125)</f>
        <v>0</v>
      </c>
      <c r="U278" s="1">
        <f>P278 + Q278 + R278 + S278 + T278</f>
        <v>0</v>
      </c>
      <c r="V278" s="1">
        <f>IF(P278 + V277 &lt; 0, P278 + V277, 0)</f>
        <v>0</v>
      </c>
      <c r="W278" s="1">
        <f>IF(Q278 + W277 &lt; 0, Q278 + W277, 0)</f>
        <v>0</v>
      </c>
      <c r="X278" s="1">
        <f>IF(R278 + X277 &lt; 0, R278 + X277, 0)</f>
        <v>0</v>
      </c>
      <c r="Y278" s="1">
        <f>IF(S278 + Y277 &lt; 0, S278 + Y277, 0)</f>
        <v>0</v>
      </c>
      <c r="Z278" s="1">
        <f>IF(T278 + Z277 &lt; 0, T278 + Z277, 0)</f>
        <v>0</v>
      </c>
      <c r="AA278" s="1">
        <f>IF(U278 + AA277 &lt; 0, U278 + AA277, 0)</f>
        <v>0</v>
      </c>
      <c r="AB278" s="1">
        <f>IF(AA278 &lt; 0, 1 + AB277, 0)</f>
        <v>0</v>
      </c>
      <c r="AC278" s="1">
        <f>IF(H278&lt;0,1,0)</f>
        <v>0</v>
      </c>
      <c r="AD278" s="1">
        <f>IF(AC278=1,H278,0)</f>
        <v>0</v>
      </c>
      <c r="AE278" s="1">
        <f>IF(H278&gt;0,1,0)</f>
        <v>0</v>
      </c>
      <c r="AF278" s="1">
        <f>IF(AE278=1,H278,0)</f>
        <v>0</v>
      </c>
      <c r="AG278" s="1">
        <f>IF(AD278&lt;-20000000.0/100,1,0)</f>
        <v>0</v>
      </c>
      <c r="AH278" s="1">
        <f>IF(AF278&gt;20000000.0/100,1,0)</f>
        <v>0</v>
      </c>
      <c r="AI278" s="1">
        <f>IF(U278&lt;0,1,0)</f>
        <v>0</v>
      </c>
      <c r="AJ278" s="1">
        <f>IF(AI278=1,U278,0)</f>
        <v>0</v>
      </c>
      <c r="AK278" s="1">
        <f>IF(U278&gt;0,1,0)</f>
        <v>0</v>
      </c>
      <c r="AL278" s="1">
        <f>IF(AK278=1,U278,0)</f>
        <v>0</v>
      </c>
      <c r="AM278" s="1">
        <f>IF(AJ278&lt;-20000000.0/100,1,0)</f>
        <v>0</v>
      </c>
      <c r="AN278" s="1">
        <f>IF(AL278&gt;20000000.0/100,1,0)</f>
        <v>0</v>
      </c>
    </row>
    <row r="279" spans="1:40" s="1" customFormat="1">
      <c r="A279" s="3">
        <v>45700</v>
      </c>
      <c r="B279" s="2" t="s">
        <v>24</v>
      </c>
      <c r="C279" s="1">
        <f>SUM(PL!H279:J279)</f>
        <v>0</v>
      </c>
      <c r="D279" s="1">
        <f>SUM(PL!K279:M279)</f>
        <v>0</v>
      </c>
      <c r="E279" s="1">
        <f>SUM(PL!N279:P279)</f>
        <v>0</v>
      </c>
      <c r="F279" s="1">
        <f>SUM(PL!Q279:S279)</f>
        <v>0</v>
      </c>
      <c r="G279" s="1">
        <f>SUM(PL!T279:V279)</f>
        <v>0</v>
      </c>
      <c r="H279" s="1">
        <f>SUM(C279:G279)</f>
        <v>0</v>
      </c>
      <c r="I279" s="1">
        <f>IF(C279 + I278 &lt; 0, C279 + I278, 0)</f>
        <v>0</v>
      </c>
      <c r="J279" s="1">
        <f>IF(D279 + J278 &lt; 0, D279 + J278, 0)</f>
        <v>0</v>
      </c>
      <c r="K279" s="1">
        <f>IF(E279 + K278 &lt; 0, E279 + K278, 0)</f>
        <v>0</v>
      </c>
      <c r="L279" s="1">
        <f>IF(F279 + L278 &lt; 0, F279 + L278, 0)</f>
        <v>0</v>
      </c>
      <c r="M279" s="1">
        <f>IF(G279 + M278 &lt; 0, G279 + M278, 0)</f>
        <v>0</v>
      </c>
      <c r="N279" s="1">
        <f>IF(H279 + N278 &lt; 0, H279 + N278, 0)</f>
        <v>0</v>
      </c>
      <c r="O279" s="1">
        <f>IF(N279 &lt; 0, 1 + O278, 0)</f>
        <v>0</v>
      </c>
      <c r="P279" s="1">
        <f>C279-((ABS(SUM(PL!H279:J279)))*0.125)</f>
        <v>0</v>
      </c>
      <c r="Q279" s="1">
        <f>D279-((ABS(SUM(PL!K279:M279)))*0.125)</f>
        <v>0</v>
      </c>
      <c r="R279" s="1">
        <f>E279-((ABS(SUM(PL!N279:P279)))*0.125)</f>
        <v>0</v>
      </c>
      <c r="S279" s="1">
        <f>F279-((ABS(SUM(PL!Q279:S279)))*0.125)</f>
        <v>0</v>
      </c>
      <c r="T279" s="1">
        <f>G279-((ABS(SUM(PL!T279:V279)))*0.125)</f>
        <v>0</v>
      </c>
      <c r="U279" s="1">
        <f>P279 + Q279 + R279 + S279 + T279</f>
        <v>0</v>
      </c>
      <c r="V279" s="1">
        <f>IF(P279 + V278 &lt; 0, P279 + V278, 0)</f>
        <v>0</v>
      </c>
      <c r="W279" s="1">
        <f>IF(Q279 + W278 &lt; 0, Q279 + W278, 0)</f>
        <v>0</v>
      </c>
      <c r="X279" s="1">
        <f>IF(R279 + X278 &lt; 0, R279 + X278, 0)</f>
        <v>0</v>
      </c>
      <c r="Y279" s="1">
        <f>IF(S279 + Y278 &lt; 0, S279 + Y278, 0)</f>
        <v>0</v>
      </c>
      <c r="Z279" s="1">
        <f>IF(T279 + Z278 &lt; 0, T279 + Z278, 0)</f>
        <v>0</v>
      </c>
      <c r="AA279" s="1">
        <f>IF(U279 + AA278 &lt; 0, U279 + AA278, 0)</f>
        <v>0</v>
      </c>
      <c r="AB279" s="1">
        <f>IF(AA279 &lt; 0, 1 + AB278, 0)</f>
        <v>0</v>
      </c>
      <c r="AC279" s="1">
        <f>IF(H279&lt;0,1,0)</f>
        <v>0</v>
      </c>
      <c r="AD279" s="1">
        <f>IF(AC279=1,H279,0)</f>
        <v>0</v>
      </c>
      <c r="AE279" s="1">
        <f>IF(H279&gt;0,1,0)</f>
        <v>0</v>
      </c>
      <c r="AF279" s="1">
        <f>IF(AE279=1,H279,0)</f>
        <v>0</v>
      </c>
      <c r="AG279" s="1">
        <f>IF(AD279&lt;-20000000.0/100,1,0)</f>
        <v>0</v>
      </c>
      <c r="AH279" s="1">
        <f>IF(AF279&gt;20000000.0/100,1,0)</f>
        <v>0</v>
      </c>
      <c r="AI279" s="1">
        <f>IF(U279&lt;0,1,0)</f>
        <v>0</v>
      </c>
      <c r="AJ279" s="1">
        <f>IF(AI279=1,U279,0)</f>
        <v>0</v>
      </c>
      <c r="AK279" s="1">
        <f>IF(U279&gt;0,1,0)</f>
        <v>0</v>
      </c>
      <c r="AL279" s="1">
        <f>IF(AK279=1,U279,0)</f>
        <v>0</v>
      </c>
      <c r="AM279" s="1">
        <f>IF(AJ279&lt;-20000000.0/100,1,0)</f>
        <v>0</v>
      </c>
      <c r="AN279" s="1">
        <f>IF(AL279&gt;20000000.0/100,1,0)</f>
        <v>0</v>
      </c>
    </row>
    <row r="280" spans="1:40" s="1" customFormat="1">
      <c r="A280" s="3">
        <v>45701</v>
      </c>
      <c r="B280" s="2" t="s">
        <v>25</v>
      </c>
      <c r="C280" s="1">
        <f>SUM(PL!H280:J280)</f>
        <v>0</v>
      </c>
      <c r="D280" s="1">
        <f>SUM(PL!K280:M280)</f>
        <v>0</v>
      </c>
      <c r="E280" s="1">
        <f>SUM(PL!N280:P280)</f>
        <v>0</v>
      </c>
      <c r="F280" s="1">
        <f>SUM(PL!Q280:S280)</f>
        <v>0</v>
      </c>
      <c r="G280" s="1">
        <f>SUM(PL!T280:V280)</f>
        <v>0</v>
      </c>
      <c r="H280" s="1">
        <f>SUM(C280:G280)</f>
        <v>0</v>
      </c>
      <c r="I280" s="1">
        <f>IF(C280 + I279 &lt; 0, C280 + I279, 0)</f>
        <v>0</v>
      </c>
      <c r="J280" s="1">
        <f>IF(D280 + J279 &lt; 0, D280 + J279, 0)</f>
        <v>0</v>
      </c>
      <c r="K280" s="1">
        <f>IF(E280 + K279 &lt; 0, E280 + K279, 0)</f>
        <v>0</v>
      </c>
      <c r="L280" s="1">
        <f>IF(F280 + L279 &lt; 0, F280 + L279, 0)</f>
        <v>0</v>
      </c>
      <c r="M280" s="1">
        <f>IF(G280 + M279 &lt; 0, G280 + M279, 0)</f>
        <v>0</v>
      </c>
      <c r="N280" s="1">
        <f>IF(H280 + N279 &lt; 0, H280 + N279, 0)</f>
        <v>0</v>
      </c>
      <c r="O280" s="1">
        <f>IF(N280 &lt; 0, 1 + O279, 0)</f>
        <v>0</v>
      </c>
      <c r="P280" s="1">
        <f>C280-((ABS(SUM(PL!H280:J280)))*0.125)</f>
        <v>0</v>
      </c>
      <c r="Q280" s="1">
        <f>D280-((ABS(SUM(PL!K280:M280)))*0.125)</f>
        <v>0</v>
      </c>
      <c r="R280" s="1">
        <f>E280-((ABS(SUM(PL!N280:P280)))*0.125)</f>
        <v>0</v>
      </c>
      <c r="S280" s="1">
        <f>F280-((ABS(SUM(PL!Q280:S280)))*0.125)</f>
        <v>0</v>
      </c>
      <c r="T280" s="1">
        <f>G280-((ABS(SUM(PL!T280:V280)))*0.125)</f>
        <v>0</v>
      </c>
      <c r="U280" s="1">
        <f>P280 + Q280 + R280 + S280 + T280</f>
        <v>0</v>
      </c>
      <c r="V280" s="1">
        <f>IF(P280 + V279 &lt; 0, P280 + V279, 0)</f>
        <v>0</v>
      </c>
      <c r="W280" s="1">
        <f>IF(Q280 + W279 &lt; 0, Q280 + W279, 0)</f>
        <v>0</v>
      </c>
      <c r="X280" s="1">
        <f>IF(R280 + X279 &lt; 0, R280 + X279, 0)</f>
        <v>0</v>
      </c>
      <c r="Y280" s="1">
        <f>IF(S280 + Y279 &lt; 0, S280 + Y279, 0)</f>
        <v>0</v>
      </c>
      <c r="Z280" s="1">
        <f>IF(T280 + Z279 &lt; 0, T280 + Z279, 0)</f>
        <v>0</v>
      </c>
      <c r="AA280" s="1">
        <f>IF(U280 + AA279 &lt; 0, U280 + AA279, 0)</f>
        <v>0</v>
      </c>
      <c r="AB280" s="1">
        <f>IF(AA280 &lt; 0, 1 + AB279, 0)</f>
        <v>0</v>
      </c>
      <c r="AC280" s="1">
        <f>IF(H280&lt;0,1,0)</f>
        <v>0</v>
      </c>
      <c r="AD280" s="1">
        <f>IF(AC280=1,H280,0)</f>
        <v>0</v>
      </c>
      <c r="AE280" s="1">
        <f>IF(H280&gt;0,1,0)</f>
        <v>0</v>
      </c>
      <c r="AF280" s="1">
        <f>IF(AE280=1,H280,0)</f>
        <v>0</v>
      </c>
      <c r="AG280" s="1">
        <f>IF(AD280&lt;-20000000.0/100,1,0)</f>
        <v>0</v>
      </c>
      <c r="AH280" s="1">
        <f>IF(AF280&gt;20000000.0/100,1,0)</f>
        <v>0</v>
      </c>
      <c r="AI280" s="1">
        <f>IF(U280&lt;0,1,0)</f>
        <v>0</v>
      </c>
      <c r="AJ280" s="1">
        <f>IF(AI280=1,U280,0)</f>
        <v>0</v>
      </c>
      <c r="AK280" s="1">
        <f>IF(U280&gt;0,1,0)</f>
        <v>0</v>
      </c>
      <c r="AL280" s="1">
        <f>IF(AK280=1,U280,0)</f>
        <v>0</v>
      </c>
      <c r="AM280" s="1">
        <f>IF(AJ280&lt;-20000000.0/100,1,0)</f>
        <v>0</v>
      </c>
      <c r="AN280" s="1">
        <f>IF(AL280&gt;20000000.0/100,1,0)</f>
        <v>0</v>
      </c>
    </row>
    <row r="281" spans="1:40" s="1" customFormat="1">
      <c r="A281" s="3">
        <v>45702</v>
      </c>
      <c r="B281" s="2" t="s">
        <v>26</v>
      </c>
      <c r="C281" s="1">
        <f>SUM(PL!H281:J281)</f>
        <v>0</v>
      </c>
      <c r="D281" s="1">
        <f>SUM(PL!K281:M281)</f>
        <v>0</v>
      </c>
      <c r="E281" s="1">
        <f>SUM(PL!N281:P281)</f>
        <v>0</v>
      </c>
      <c r="F281" s="1">
        <f>SUM(PL!Q281:S281)</f>
        <v>0</v>
      </c>
      <c r="G281" s="1">
        <f>SUM(PL!T281:V281)</f>
        <v>0</v>
      </c>
      <c r="H281" s="1">
        <f>SUM(C281:G281)</f>
        <v>0</v>
      </c>
      <c r="I281" s="1">
        <f>IF(C281 + I280 &lt; 0, C281 + I280, 0)</f>
        <v>0</v>
      </c>
      <c r="J281" s="1">
        <f>IF(D281 + J280 &lt; 0, D281 + J280, 0)</f>
        <v>0</v>
      </c>
      <c r="K281" s="1">
        <f>IF(E281 + K280 &lt; 0, E281 + K280, 0)</f>
        <v>0</v>
      </c>
      <c r="L281" s="1">
        <f>IF(F281 + L280 &lt; 0, F281 + L280, 0)</f>
        <v>0</v>
      </c>
      <c r="M281" s="1">
        <f>IF(G281 + M280 &lt; 0, G281 + M280, 0)</f>
        <v>0</v>
      </c>
      <c r="N281" s="1">
        <f>IF(H281 + N280 &lt; 0, H281 + N280, 0)</f>
        <v>0</v>
      </c>
      <c r="O281" s="1">
        <f>IF(N281 &lt; 0, 1 + O280, 0)</f>
        <v>0</v>
      </c>
      <c r="P281" s="1">
        <f>C281-((ABS(SUM(PL!H281:J281)))*0.125)</f>
        <v>0</v>
      </c>
      <c r="Q281" s="1">
        <f>D281-((ABS(SUM(PL!K281:M281)))*0.125)</f>
        <v>0</v>
      </c>
      <c r="R281" s="1">
        <f>E281-((ABS(SUM(PL!N281:P281)))*0.125)</f>
        <v>0</v>
      </c>
      <c r="S281" s="1">
        <f>F281-((ABS(SUM(PL!Q281:S281)))*0.125)</f>
        <v>0</v>
      </c>
      <c r="T281" s="1">
        <f>G281-((ABS(SUM(PL!T281:V281)))*0.125)</f>
        <v>0</v>
      </c>
      <c r="U281" s="1">
        <f>P281 + Q281 + R281 + S281 + T281</f>
        <v>0</v>
      </c>
      <c r="V281" s="1">
        <f>IF(P281 + V280 &lt; 0, P281 + V280, 0)</f>
        <v>0</v>
      </c>
      <c r="W281" s="1">
        <f>IF(Q281 + W280 &lt; 0, Q281 + W280, 0)</f>
        <v>0</v>
      </c>
      <c r="X281" s="1">
        <f>IF(R281 + X280 &lt; 0, R281 + X280, 0)</f>
        <v>0</v>
      </c>
      <c r="Y281" s="1">
        <f>IF(S281 + Y280 &lt; 0, S281 + Y280, 0)</f>
        <v>0</v>
      </c>
      <c r="Z281" s="1">
        <f>IF(T281 + Z280 &lt; 0, T281 + Z280, 0)</f>
        <v>0</v>
      </c>
      <c r="AA281" s="1">
        <f>IF(U281 + AA280 &lt; 0, U281 + AA280, 0)</f>
        <v>0</v>
      </c>
      <c r="AB281" s="1">
        <f>IF(AA281 &lt; 0, 1 + AB280, 0)</f>
        <v>0</v>
      </c>
      <c r="AC281" s="1">
        <f>IF(H281&lt;0,1,0)</f>
        <v>0</v>
      </c>
      <c r="AD281" s="1">
        <f>IF(AC281=1,H281,0)</f>
        <v>0</v>
      </c>
      <c r="AE281" s="1">
        <f>IF(H281&gt;0,1,0)</f>
        <v>0</v>
      </c>
      <c r="AF281" s="1">
        <f>IF(AE281=1,H281,0)</f>
        <v>0</v>
      </c>
      <c r="AG281" s="1">
        <f>IF(AD281&lt;-20000000.0/100,1,0)</f>
        <v>0</v>
      </c>
      <c r="AH281" s="1">
        <f>IF(AF281&gt;20000000.0/100,1,0)</f>
        <v>0</v>
      </c>
      <c r="AI281" s="1">
        <f>IF(U281&lt;0,1,0)</f>
        <v>0</v>
      </c>
      <c r="AJ281" s="1">
        <f>IF(AI281=1,U281,0)</f>
        <v>0</v>
      </c>
      <c r="AK281" s="1">
        <f>IF(U281&gt;0,1,0)</f>
        <v>0</v>
      </c>
      <c r="AL281" s="1">
        <f>IF(AK281=1,U281,0)</f>
        <v>0</v>
      </c>
      <c r="AM281" s="1">
        <f>IF(AJ281&lt;-20000000.0/100,1,0)</f>
        <v>0</v>
      </c>
      <c r="AN281" s="1">
        <f>IF(AL281&gt;20000000.0/100,1,0)</f>
        <v>0</v>
      </c>
    </row>
    <row r="282" spans="1:40" s="1" customFormat="1">
      <c r="A282" s="3">
        <v>45705</v>
      </c>
      <c r="B282" s="2" t="s">
        <v>22</v>
      </c>
      <c r="C282" s="1">
        <f>SUM(PL!H282:J282)</f>
        <v>0</v>
      </c>
      <c r="D282" s="1">
        <f>SUM(PL!K282:M282)</f>
        <v>0</v>
      </c>
      <c r="E282" s="1">
        <f>SUM(PL!N282:P282)</f>
        <v>0</v>
      </c>
      <c r="F282" s="1">
        <f>SUM(PL!Q282:S282)</f>
        <v>0</v>
      </c>
      <c r="G282" s="1">
        <f>SUM(PL!T282:V282)</f>
        <v>0</v>
      </c>
      <c r="H282" s="1">
        <f>SUM(C282:G282)</f>
        <v>0</v>
      </c>
      <c r="I282" s="1">
        <f>IF(C282 + I281 &lt; 0, C282 + I281, 0)</f>
        <v>0</v>
      </c>
      <c r="J282" s="1">
        <f>IF(D282 + J281 &lt; 0, D282 + J281, 0)</f>
        <v>0</v>
      </c>
      <c r="K282" s="1">
        <f>IF(E282 + K281 &lt; 0, E282 + K281, 0)</f>
        <v>0</v>
      </c>
      <c r="L282" s="1">
        <f>IF(F282 + L281 &lt; 0, F282 + L281, 0)</f>
        <v>0</v>
      </c>
      <c r="M282" s="1">
        <f>IF(G282 + M281 &lt; 0, G282 + M281, 0)</f>
        <v>0</v>
      </c>
      <c r="N282" s="1">
        <f>IF(H282 + N281 &lt; 0, H282 + N281, 0)</f>
        <v>0</v>
      </c>
      <c r="O282" s="1">
        <f>IF(N282 &lt; 0, 1 + O281, 0)</f>
        <v>0</v>
      </c>
      <c r="P282" s="1">
        <f>C282-((ABS(SUM(PL!H282:J282)))*0.125)</f>
        <v>0</v>
      </c>
      <c r="Q282" s="1">
        <f>D282-((ABS(SUM(PL!K282:M282)))*0.125)</f>
        <v>0</v>
      </c>
      <c r="R282" s="1">
        <f>E282-((ABS(SUM(PL!N282:P282)))*0.125)</f>
        <v>0</v>
      </c>
      <c r="S282" s="1">
        <f>F282-((ABS(SUM(PL!Q282:S282)))*0.125)</f>
        <v>0</v>
      </c>
      <c r="T282" s="1">
        <f>G282-((ABS(SUM(PL!T282:V282)))*0.125)</f>
        <v>0</v>
      </c>
      <c r="U282" s="1">
        <f>P282 + Q282 + R282 + S282 + T282</f>
        <v>0</v>
      </c>
      <c r="V282" s="1">
        <f>IF(P282 + V281 &lt; 0, P282 + V281, 0)</f>
        <v>0</v>
      </c>
      <c r="W282" s="1">
        <f>IF(Q282 + W281 &lt; 0, Q282 + W281, 0)</f>
        <v>0</v>
      </c>
      <c r="X282" s="1">
        <f>IF(R282 + X281 &lt; 0, R282 + X281, 0)</f>
        <v>0</v>
      </c>
      <c r="Y282" s="1">
        <f>IF(S282 + Y281 &lt; 0, S282 + Y281, 0)</f>
        <v>0</v>
      </c>
      <c r="Z282" s="1">
        <f>IF(T282 + Z281 &lt; 0, T282 + Z281, 0)</f>
        <v>0</v>
      </c>
      <c r="AA282" s="1">
        <f>IF(U282 + AA281 &lt; 0, U282 + AA281, 0)</f>
        <v>0</v>
      </c>
      <c r="AB282" s="1">
        <f>IF(AA282 &lt; 0, 1 + AB281, 0)</f>
        <v>0</v>
      </c>
      <c r="AC282" s="1">
        <f>IF(H282&lt;0,1,0)</f>
        <v>0</v>
      </c>
      <c r="AD282" s="1">
        <f>IF(AC282=1,H282,0)</f>
        <v>0</v>
      </c>
      <c r="AE282" s="1">
        <f>IF(H282&gt;0,1,0)</f>
        <v>0</v>
      </c>
      <c r="AF282" s="1">
        <f>IF(AE282=1,H282,0)</f>
        <v>0</v>
      </c>
      <c r="AG282" s="1">
        <f>IF(AD282&lt;-20000000.0/100,1,0)</f>
        <v>0</v>
      </c>
      <c r="AH282" s="1">
        <f>IF(AF282&gt;20000000.0/100,1,0)</f>
        <v>0</v>
      </c>
      <c r="AI282" s="1">
        <f>IF(U282&lt;0,1,0)</f>
        <v>0</v>
      </c>
      <c r="AJ282" s="1">
        <f>IF(AI282=1,U282,0)</f>
        <v>0</v>
      </c>
      <c r="AK282" s="1">
        <f>IF(U282&gt;0,1,0)</f>
        <v>0</v>
      </c>
      <c r="AL282" s="1">
        <f>IF(AK282=1,U282,0)</f>
        <v>0</v>
      </c>
      <c r="AM282" s="1">
        <f>IF(AJ282&lt;-20000000.0/100,1,0)</f>
        <v>0</v>
      </c>
      <c r="AN282" s="1">
        <f>IF(AL282&gt;20000000.0/100,1,0)</f>
        <v>0</v>
      </c>
    </row>
    <row r="283" spans="1:40" s="1" customFormat="1">
      <c r="A283" s="3">
        <v>45706</v>
      </c>
      <c r="B283" s="2" t="s">
        <v>23</v>
      </c>
      <c r="C283" s="1">
        <f>SUM(PL!H283:J283)</f>
        <v>0</v>
      </c>
      <c r="D283" s="1">
        <f>SUM(PL!K283:M283)</f>
        <v>0</v>
      </c>
      <c r="E283" s="1">
        <f>SUM(PL!N283:P283)</f>
        <v>0</v>
      </c>
      <c r="F283" s="1">
        <f>SUM(PL!Q283:S283)</f>
        <v>0</v>
      </c>
      <c r="G283" s="1">
        <f>SUM(PL!T283:V283)</f>
        <v>0</v>
      </c>
      <c r="H283" s="1">
        <f>SUM(C283:G283)</f>
        <v>0</v>
      </c>
      <c r="I283" s="1">
        <f>IF(C283 + I282 &lt; 0, C283 + I282, 0)</f>
        <v>0</v>
      </c>
      <c r="J283" s="1">
        <f>IF(D283 + J282 &lt; 0, D283 + J282, 0)</f>
        <v>0</v>
      </c>
      <c r="K283" s="1">
        <f>IF(E283 + K282 &lt; 0, E283 + K282, 0)</f>
        <v>0</v>
      </c>
      <c r="L283" s="1">
        <f>IF(F283 + L282 &lt; 0, F283 + L282, 0)</f>
        <v>0</v>
      </c>
      <c r="M283" s="1">
        <f>IF(G283 + M282 &lt; 0, G283 + M282, 0)</f>
        <v>0</v>
      </c>
      <c r="N283" s="1">
        <f>IF(H283 + N282 &lt; 0, H283 + N282, 0)</f>
        <v>0</v>
      </c>
      <c r="O283" s="1">
        <f>IF(N283 &lt; 0, 1 + O282, 0)</f>
        <v>0</v>
      </c>
      <c r="P283" s="1">
        <f>C283-((ABS(SUM(PL!H283:J283)))*0.125)</f>
        <v>0</v>
      </c>
      <c r="Q283" s="1">
        <f>D283-((ABS(SUM(PL!K283:M283)))*0.125)</f>
        <v>0</v>
      </c>
      <c r="R283" s="1">
        <f>E283-((ABS(SUM(PL!N283:P283)))*0.125)</f>
        <v>0</v>
      </c>
      <c r="S283" s="1">
        <f>F283-((ABS(SUM(PL!Q283:S283)))*0.125)</f>
        <v>0</v>
      </c>
      <c r="T283" s="1">
        <f>G283-((ABS(SUM(PL!T283:V283)))*0.125)</f>
        <v>0</v>
      </c>
      <c r="U283" s="1">
        <f>P283 + Q283 + R283 + S283 + T283</f>
        <v>0</v>
      </c>
      <c r="V283" s="1">
        <f>IF(P283 + V282 &lt; 0, P283 + V282, 0)</f>
        <v>0</v>
      </c>
      <c r="W283" s="1">
        <f>IF(Q283 + W282 &lt; 0, Q283 + W282, 0)</f>
        <v>0</v>
      </c>
      <c r="X283" s="1">
        <f>IF(R283 + X282 &lt; 0, R283 + X282, 0)</f>
        <v>0</v>
      </c>
      <c r="Y283" s="1">
        <f>IF(S283 + Y282 &lt; 0, S283 + Y282, 0)</f>
        <v>0</v>
      </c>
      <c r="Z283" s="1">
        <f>IF(T283 + Z282 &lt; 0, T283 + Z282, 0)</f>
        <v>0</v>
      </c>
      <c r="AA283" s="1">
        <f>IF(U283 + AA282 &lt; 0, U283 + AA282, 0)</f>
        <v>0</v>
      </c>
      <c r="AB283" s="1">
        <f>IF(AA283 &lt; 0, 1 + AB282, 0)</f>
        <v>0</v>
      </c>
      <c r="AC283" s="1">
        <f>IF(H283&lt;0,1,0)</f>
        <v>0</v>
      </c>
      <c r="AD283" s="1">
        <f>IF(AC283=1,H283,0)</f>
        <v>0</v>
      </c>
      <c r="AE283" s="1">
        <f>IF(H283&gt;0,1,0)</f>
        <v>0</v>
      </c>
      <c r="AF283" s="1">
        <f>IF(AE283=1,H283,0)</f>
        <v>0</v>
      </c>
      <c r="AG283" s="1">
        <f>IF(AD283&lt;-20000000.0/100,1,0)</f>
        <v>0</v>
      </c>
      <c r="AH283" s="1">
        <f>IF(AF283&gt;20000000.0/100,1,0)</f>
        <v>0</v>
      </c>
      <c r="AI283" s="1">
        <f>IF(U283&lt;0,1,0)</f>
        <v>0</v>
      </c>
      <c r="AJ283" s="1">
        <f>IF(AI283=1,U283,0)</f>
        <v>0</v>
      </c>
      <c r="AK283" s="1">
        <f>IF(U283&gt;0,1,0)</f>
        <v>0</v>
      </c>
      <c r="AL283" s="1">
        <f>IF(AK283=1,U283,0)</f>
        <v>0</v>
      </c>
      <c r="AM283" s="1">
        <f>IF(AJ283&lt;-20000000.0/100,1,0)</f>
        <v>0</v>
      </c>
      <c r="AN283" s="1">
        <f>IF(AL283&gt;20000000.0/100,1,0)</f>
        <v>0</v>
      </c>
    </row>
    <row r="284" spans="1:40" s="1" customFormat="1">
      <c r="A284" s="3">
        <v>45707</v>
      </c>
      <c r="B284" s="2" t="s">
        <v>24</v>
      </c>
      <c r="C284" s="1">
        <f>SUM(PL!H284:J284)</f>
        <v>0</v>
      </c>
      <c r="D284" s="1">
        <f>SUM(PL!K284:M284)</f>
        <v>0</v>
      </c>
      <c r="E284" s="1">
        <f>SUM(PL!N284:P284)</f>
        <v>0</v>
      </c>
      <c r="F284" s="1">
        <f>SUM(PL!Q284:S284)</f>
        <v>0</v>
      </c>
      <c r="G284" s="1">
        <f>SUM(PL!T284:V284)</f>
        <v>0</v>
      </c>
      <c r="H284" s="1">
        <f>SUM(C284:G284)</f>
        <v>0</v>
      </c>
      <c r="I284" s="1">
        <f>IF(C284 + I283 &lt; 0, C284 + I283, 0)</f>
        <v>0</v>
      </c>
      <c r="J284" s="1">
        <f>IF(D284 + J283 &lt; 0, D284 + J283, 0)</f>
        <v>0</v>
      </c>
      <c r="K284" s="1">
        <f>IF(E284 + K283 &lt; 0, E284 + K283, 0)</f>
        <v>0</v>
      </c>
      <c r="L284" s="1">
        <f>IF(F284 + L283 &lt; 0, F284 + L283, 0)</f>
        <v>0</v>
      </c>
      <c r="M284" s="1">
        <f>IF(G284 + M283 &lt; 0, G284 + M283, 0)</f>
        <v>0</v>
      </c>
      <c r="N284" s="1">
        <f>IF(H284 + N283 &lt; 0, H284 + N283, 0)</f>
        <v>0</v>
      </c>
      <c r="O284" s="1">
        <f>IF(N284 &lt; 0, 1 + O283, 0)</f>
        <v>0</v>
      </c>
      <c r="P284" s="1">
        <f>C284-((ABS(SUM(PL!H284:J284)))*0.125)</f>
        <v>0</v>
      </c>
      <c r="Q284" s="1">
        <f>D284-((ABS(SUM(PL!K284:M284)))*0.125)</f>
        <v>0</v>
      </c>
      <c r="R284" s="1">
        <f>E284-((ABS(SUM(PL!N284:P284)))*0.125)</f>
        <v>0</v>
      </c>
      <c r="S284" s="1">
        <f>F284-((ABS(SUM(PL!Q284:S284)))*0.125)</f>
        <v>0</v>
      </c>
      <c r="T284" s="1">
        <f>G284-((ABS(SUM(PL!T284:V284)))*0.125)</f>
        <v>0</v>
      </c>
      <c r="U284" s="1">
        <f>P284 + Q284 + R284 + S284 + T284</f>
        <v>0</v>
      </c>
      <c r="V284" s="1">
        <f>IF(P284 + V283 &lt; 0, P284 + V283, 0)</f>
        <v>0</v>
      </c>
      <c r="W284" s="1">
        <f>IF(Q284 + W283 &lt; 0, Q284 + W283, 0)</f>
        <v>0</v>
      </c>
      <c r="X284" s="1">
        <f>IF(R284 + X283 &lt; 0, R284 + X283, 0)</f>
        <v>0</v>
      </c>
      <c r="Y284" s="1">
        <f>IF(S284 + Y283 &lt; 0, S284 + Y283, 0)</f>
        <v>0</v>
      </c>
      <c r="Z284" s="1">
        <f>IF(T284 + Z283 &lt; 0, T284 + Z283, 0)</f>
        <v>0</v>
      </c>
      <c r="AA284" s="1">
        <f>IF(U284 + AA283 &lt; 0, U284 + AA283, 0)</f>
        <v>0</v>
      </c>
      <c r="AB284" s="1">
        <f>IF(AA284 &lt; 0, 1 + AB283, 0)</f>
        <v>0</v>
      </c>
      <c r="AC284" s="1">
        <f>IF(H284&lt;0,1,0)</f>
        <v>0</v>
      </c>
      <c r="AD284" s="1">
        <f>IF(AC284=1,H284,0)</f>
        <v>0</v>
      </c>
      <c r="AE284" s="1">
        <f>IF(H284&gt;0,1,0)</f>
        <v>0</v>
      </c>
      <c r="AF284" s="1">
        <f>IF(AE284=1,H284,0)</f>
        <v>0</v>
      </c>
      <c r="AG284" s="1">
        <f>IF(AD284&lt;-20000000.0/100,1,0)</f>
        <v>0</v>
      </c>
      <c r="AH284" s="1">
        <f>IF(AF284&gt;20000000.0/100,1,0)</f>
        <v>0</v>
      </c>
      <c r="AI284" s="1">
        <f>IF(U284&lt;0,1,0)</f>
        <v>0</v>
      </c>
      <c r="AJ284" s="1">
        <f>IF(AI284=1,U284,0)</f>
        <v>0</v>
      </c>
      <c r="AK284" s="1">
        <f>IF(U284&gt;0,1,0)</f>
        <v>0</v>
      </c>
      <c r="AL284" s="1">
        <f>IF(AK284=1,U284,0)</f>
        <v>0</v>
      </c>
      <c r="AM284" s="1">
        <f>IF(AJ284&lt;-20000000.0/100,1,0)</f>
        <v>0</v>
      </c>
      <c r="AN284" s="1">
        <f>IF(AL284&gt;20000000.0/100,1,0)</f>
        <v>0</v>
      </c>
    </row>
    <row r="285" spans="1:40" s="1" customFormat="1">
      <c r="A285" s="3">
        <v>45708</v>
      </c>
      <c r="B285" s="2" t="s">
        <v>25</v>
      </c>
      <c r="C285" s="1">
        <f>SUM(PL!H285:J285)</f>
        <v>0</v>
      </c>
      <c r="D285" s="1">
        <f>SUM(PL!K285:M285)</f>
        <v>0</v>
      </c>
      <c r="E285" s="1">
        <f>SUM(PL!N285:P285)</f>
        <v>0</v>
      </c>
      <c r="F285" s="1">
        <f>SUM(PL!Q285:S285)</f>
        <v>0</v>
      </c>
      <c r="G285" s="1">
        <f>SUM(PL!T285:V285)</f>
        <v>0</v>
      </c>
      <c r="H285" s="1">
        <f>SUM(C285:G285)</f>
        <v>0</v>
      </c>
      <c r="I285" s="1">
        <f>IF(C285 + I284 &lt; 0, C285 + I284, 0)</f>
        <v>0</v>
      </c>
      <c r="J285" s="1">
        <f>IF(D285 + J284 &lt; 0, D285 + J284, 0)</f>
        <v>0</v>
      </c>
      <c r="K285" s="1">
        <f>IF(E285 + K284 &lt; 0, E285 + K284, 0)</f>
        <v>0</v>
      </c>
      <c r="L285" s="1">
        <f>IF(F285 + L284 &lt; 0, F285 + L284, 0)</f>
        <v>0</v>
      </c>
      <c r="M285" s="1">
        <f>IF(G285 + M284 &lt; 0, G285 + M284, 0)</f>
        <v>0</v>
      </c>
      <c r="N285" s="1">
        <f>IF(H285 + N284 &lt; 0, H285 + N284, 0)</f>
        <v>0</v>
      </c>
      <c r="O285" s="1">
        <f>IF(N285 &lt; 0, 1 + O284, 0)</f>
        <v>0</v>
      </c>
      <c r="P285" s="1">
        <f>C285-((ABS(SUM(PL!H285:J285)))*0.125)</f>
        <v>0</v>
      </c>
      <c r="Q285" s="1">
        <f>D285-((ABS(SUM(PL!K285:M285)))*0.125)</f>
        <v>0</v>
      </c>
      <c r="R285" s="1">
        <f>E285-((ABS(SUM(PL!N285:P285)))*0.125)</f>
        <v>0</v>
      </c>
      <c r="S285" s="1">
        <f>F285-((ABS(SUM(PL!Q285:S285)))*0.125)</f>
        <v>0</v>
      </c>
      <c r="T285" s="1">
        <f>G285-((ABS(SUM(PL!T285:V285)))*0.125)</f>
        <v>0</v>
      </c>
      <c r="U285" s="1">
        <f>P285 + Q285 + R285 + S285 + T285</f>
        <v>0</v>
      </c>
      <c r="V285" s="1">
        <f>IF(P285 + V284 &lt; 0, P285 + V284, 0)</f>
        <v>0</v>
      </c>
      <c r="W285" s="1">
        <f>IF(Q285 + W284 &lt; 0, Q285 + W284, 0)</f>
        <v>0</v>
      </c>
      <c r="X285" s="1">
        <f>IF(R285 + X284 &lt; 0, R285 + X284, 0)</f>
        <v>0</v>
      </c>
      <c r="Y285" s="1">
        <f>IF(S285 + Y284 &lt; 0, S285 + Y284, 0)</f>
        <v>0</v>
      </c>
      <c r="Z285" s="1">
        <f>IF(T285 + Z284 &lt; 0, T285 + Z284, 0)</f>
        <v>0</v>
      </c>
      <c r="AA285" s="1">
        <f>IF(U285 + AA284 &lt; 0, U285 + AA284, 0)</f>
        <v>0</v>
      </c>
      <c r="AB285" s="1">
        <f>IF(AA285 &lt; 0, 1 + AB284, 0)</f>
        <v>0</v>
      </c>
      <c r="AC285" s="1">
        <f>IF(H285&lt;0,1,0)</f>
        <v>0</v>
      </c>
      <c r="AD285" s="1">
        <f>IF(AC285=1,H285,0)</f>
        <v>0</v>
      </c>
      <c r="AE285" s="1">
        <f>IF(H285&gt;0,1,0)</f>
        <v>0</v>
      </c>
      <c r="AF285" s="1">
        <f>IF(AE285=1,H285,0)</f>
        <v>0</v>
      </c>
      <c r="AG285" s="1">
        <f>IF(AD285&lt;-20000000.0/100,1,0)</f>
        <v>0</v>
      </c>
      <c r="AH285" s="1">
        <f>IF(AF285&gt;20000000.0/100,1,0)</f>
        <v>0</v>
      </c>
      <c r="AI285" s="1">
        <f>IF(U285&lt;0,1,0)</f>
        <v>0</v>
      </c>
      <c r="AJ285" s="1">
        <f>IF(AI285=1,U285,0)</f>
        <v>0</v>
      </c>
      <c r="AK285" s="1">
        <f>IF(U285&gt;0,1,0)</f>
        <v>0</v>
      </c>
      <c r="AL285" s="1">
        <f>IF(AK285=1,U285,0)</f>
        <v>0</v>
      </c>
      <c r="AM285" s="1">
        <f>IF(AJ285&lt;-20000000.0/100,1,0)</f>
        <v>0</v>
      </c>
      <c r="AN285" s="1">
        <f>IF(AL285&gt;20000000.0/100,1,0)</f>
        <v>0</v>
      </c>
    </row>
    <row r="286" spans="1:40" s="1" customFormat="1">
      <c r="A286" s="3">
        <v>45709</v>
      </c>
      <c r="B286" s="2" t="s">
        <v>26</v>
      </c>
      <c r="C286" s="1">
        <f>SUM(PL!H286:J286)</f>
        <v>0</v>
      </c>
      <c r="D286" s="1">
        <f>SUM(PL!K286:M286)</f>
        <v>0</v>
      </c>
      <c r="E286" s="1">
        <f>SUM(PL!N286:P286)</f>
        <v>0</v>
      </c>
      <c r="F286" s="1">
        <f>SUM(PL!Q286:S286)</f>
        <v>0</v>
      </c>
      <c r="G286" s="1">
        <f>SUM(PL!T286:V286)</f>
        <v>0</v>
      </c>
      <c r="H286" s="1">
        <f>SUM(C286:G286)</f>
        <v>0</v>
      </c>
      <c r="I286" s="1">
        <f>IF(C286 + I285 &lt; 0, C286 + I285, 0)</f>
        <v>0</v>
      </c>
      <c r="J286" s="1">
        <f>IF(D286 + J285 &lt; 0, D286 + J285, 0)</f>
        <v>0</v>
      </c>
      <c r="K286" s="1">
        <f>IF(E286 + K285 &lt; 0, E286 + K285, 0)</f>
        <v>0</v>
      </c>
      <c r="L286" s="1">
        <f>IF(F286 + L285 &lt; 0, F286 + L285, 0)</f>
        <v>0</v>
      </c>
      <c r="M286" s="1">
        <f>IF(G286 + M285 &lt; 0, G286 + M285, 0)</f>
        <v>0</v>
      </c>
      <c r="N286" s="1">
        <f>IF(H286 + N285 &lt; 0, H286 + N285, 0)</f>
        <v>0</v>
      </c>
      <c r="O286" s="1">
        <f>IF(N286 &lt; 0, 1 + O285, 0)</f>
        <v>0</v>
      </c>
      <c r="P286" s="1">
        <f>C286-((ABS(SUM(PL!H286:J286)))*0.125)</f>
        <v>0</v>
      </c>
      <c r="Q286" s="1">
        <f>D286-((ABS(SUM(PL!K286:M286)))*0.125)</f>
        <v>0</v>
      </c>
      <c r="R286" s="1">
        <f>E286-((ABS(SUM(PL!N286:P286)))*0.125)</f>
        <v>0</v>
      </c>
      <c r="S286" s="1">
        <f>F286-((ABS(SUM(PL!Q286:S286)))*0.125)</f>
        <v>0</v>
      </c>
      <c r="T286" s="1">
        <f>G286-((ABS(SUM(PL!T286:V286)))*0.125)</f>
        <v>0</v>
      </c>
      <c r="U286" s="1">
        <f>P286 + Q286 + R286 + S286 + T286</f>
        <v>0</v>
      </c>
      <c r="V286" s="1">
        <f>IF(P286 + V285 &lt; 0, P286 + V285, 0)</f>
        <v>0</v>
      </c>
      <c r="W286" s="1">
        <f>IF(Q286 + W285 &lt; 0, Q286 + W285, 0)</f>
        <v>0</v>
      </c>
      <c r="X286" s="1">
        <f>IF(R286 + X285 &lt; 0, R286 + X285, 0)</f>
        <v>0</v>
      </c>
      <c r="Y286" s="1">
        <f>IF(S286 + Y285 &lt; 0, S286 + Y285, 0)</f>
        <v>0</v>
      </c>
      <c r="Z286" s="1">
        <f>IF(T286 + Z285 &lt; 0, T286 + Z285, 0)</f>
        <v>0</v>
      </c>
      <c r="AA286" s="1">
        <f>IF(U286 + AA285 &lt; 0, U286 + AA285, 0)</f>
        <v>0</v>
      </c>
      <c r="AB286" s="1">
        <f>IF(AA286 &lt; 0, 1 + AB285, 0)</f>
        <v>0</v>
      </c>
      <c r="AC286" s="1">
        <f>IF(H286&lt;0,1,0)</f>
        <v>0</v>
      </c>
      <c r="AD286" s="1">
        <f>IF(AC286=1,H286,0)</f>
        <v>0</v>
      </c>
      <c r="AE286" s="1">
        <f>IF(H286&gt;0,1,0)</f>
        <v>0</v>
      </c>
      <c r="AF286" s="1">
        <f>IF(AE286=1,H286,0)</f>
        <v>0</v>
      </c>
      <c r="AG286" s="1">
        <f>IF(AD286&lt;-20000000.0/100,1,0)</f>
        <v>0</v>
      </c>
      <c r="AH286" s="1">
        <f>IF(AF286&gt;20000000.0/100,1,0)</f>
        <v>0</v>
      </c>
      <c r="AI286" s="1">
        <f>IF(U286&lt;0,1,0)</f>
        <v>0</v>
      </c>
      <c r="AJ286" s="1">
        <f>IF(AI286=1,U286,0)</f>
        <v>0</v>
      </c>
      <c r="AK286" s="1">
        <f>IF(U286&gt;0,1,0)</f>
        <v>0</v>
      </c>
      <c r="AL286" s="1">
        <f>IF(AK286=1,U286,0)</f>
        <v>0</v>
      </c>
      <c r="AM286" s="1">
        <f>IF(AJ286&lt;-20000000.0/100,1,0)</f>
        <v>0</v>
      </c>
      <c r="AN286" s="1">
        <f>IF(AL286&gt;20000000.0/100,1,0)</f>
        <v>0</v>
      </c>
    </row>
    <row r="287" spans="1:40" s="1" customFormat="1">
      <c r="A287" s="3">
        <v>45712</v>
      </c>
      <c r="B287" s="2" t="s">
        <v>22</v>
      </c>
      <c r="C287" s="1">
        <f>SUM(PL!H287:J287)</f>
        <v>0</v>
      </c>
      <c r="D287" s="1">
        <f>SUM(PL!K287:M287)</f>
        <v>0</v>
      </c>
      <c r="E287" s="1">
        <f>SUM(PL!N287:P287)</f>
        <v>0</v>
      </c>
      <c r="F287" s="1">
        <f>SUM(PL!Q287:S287)</f>
        <v>0</v>
      </c>
      <c r="G287" s="1">
        <f>SUM(PL!T287:V287)</f>
        <v>0</v>
      </c>
      <c r="H287" s="1">
        <f>SUM(C287:G287)</f>
        <v>0</v>
      </c>
      <c r="I287" s="1">
        <f>IF(C287 + I286 &lt; 0, C287 + I286, 0)</f>
        <v>0</v>
      </c>
      <c r="J287" s="1">
        <f>IF(D287 + J286 &lt; 0, D287 + J286, 0)</f>
        <v>0</v>
      </c>
      <c r="K287" s="1">
        <f>IF(E287 + K286 &lt; 0, E287 + K286, 0)</f>
        <v>0</v>
      </c>
      <c r="L287" s="1">
        <f>IF(F287 + L286 &lt; 0, F287 + L286, 0)</f>
        <v>0</v>
      </c>
      <c r="M287" s="1">
        <f>IF(G287 + M286 &lt; 0, G287 + M286, 0)</f>
        <v>0</v>
      </c>
      <c r="N287" s="1">
        <f>IF(H287 + N286 &lt; 0, H287 + N286, 0)</f>
        <v>0</v>
      </c>
      <c r="O287" s="1">
        <f>IF(N287 &lt; 0, 1 + O286, 0)</f>
        <v>0</v>
      </c>
      <c r="P287" s="1">
        <f>C287-((ABS(SUM(PL!H287:J287)))*0.125)</f>
        <v>0</v>
      </c>
      <c r="Q287" s="1">
        <f>D287-((ABS(SUM(PL!K287:M287)))*0.125)</f>
        <v>0</v>
      </c>
      <c r="R287" s="1">
        <f>E287-((ABS(SUM(PL!N287:P287)))*0.125)</f>
        <v>0</v>
      </c>
      <c r="S287" s="1">
        <f>F287-((ABS(SUM(PL!Q287:S287)))*0.125)</f>
        <v>0</v>
      </c>
      <c r="T287" s="1">
        <f>G287-((ABS(SUM(PL!T287:V287)))*0.125)</f>
        <v>0</v>
      </c>
      <c r="U287" s="1">
        <f>P287 + Q287 + R287 + S287 + T287</f>
        <v>0</v>
      </c>
      <c r="V287" s="1">
        <f>IF(P287 + V286 &lt; 0, P287 + V286, 0)</f>
        <v>0</v>
      </c>
      <c r="W287" s="1">
        <f>IF(Q287 + W286 &lt; 0, Q287 + W286, 0)</f>
        <v>0</v>
      </c>
      <c r="X287" s="1">
        <f>IF(R287 + X286 &lt; 0, R287 + X286, 0)</f>
        <v>0</v>
      </c>
      <c r="Y287" s="1">
        <f>IF(S287 + Y286 &lt; 0, S287 + Y286, 0)</f>
        <v>0</v>
      </c>
      <c r="Z287" s="1">
        <f>IF(T287 + Z286 &lt; 0, T287 + Z286, 0)</f>
        <v>0</v>
      </c>
      <c r="AA287" s="1">
        <f>IF(U287 + AA286 &lt; 0, U287 + AA286, 0)</f>
        <v>0</v>
      </c>
      <c r="AB287" s="1">
        <f>IF(AA287 &lt; 0, 1 + AB286, 0)</f>
        <v>0</v>
      </c>
      <c r="AC287" s="1">
        <f>IF(H287&lt;0,1,0)</f>
        <v>0</v>
      </c>
      <c r="AD287" s="1">
        <f>IF(AC287=1,H287,0)</f>
        <v>0</v>
      </c>
      <c r="AE287" s="1">
        <f>IF(H287&gt;0,1,0)</f>
        <v>0</v>
      </c>
      <c r="AF287" s="1">
        <f>IF(AE287=1,H287,0)</f>
        <v>0</v>
      </c>
      <c r="AG287" s="1">
        <f>IF(AD287&lt;-20000000.0/100,1,0)</f>
        <v>0</v>
      </c>
      <c r="AH287" s="1">
        <f>IF(AF287&gt;20000000.0/100,1,0)</f>
        <v>0</v>
      </c>
      <c r="AI287" s="1">
        <f>IF(U287&lt;0,1,0)</f>
        <v>0</v>
      </c>
      <c r="AJ287" s="1">
        <f>IF(AI287=1,U287,0)</f>
        <v>0</v>
      </c>
      <c r="AK287" s="1">
        <f>IF(U287&gt;0,1,0)</f>
        <v>0</v>
      </c>
      <c r="AL287" s="1">
        <f>IF(AK287=1,U287,0)</f>
        <v>0</v>
      </c>
      <c r="AM287" s="1">
        <f>IF(AJ287&lt;-20000000.0/100,1,0)</f>
        <v>0</v>
      </c>
      <c r="AN287" s="1">
        <f>IF(AL287&gt;20000000.0/100,1,0)</f>
        <v>0</v>
      </c>
    </row>
    <row r="288" spans="1:40" s="1" customFormat="1">
      <c r="A288" s="3">
        <v>45713</v>
      </c>
      <c r="B288" s="2" t="s">
        <v>23</v>
      </c>
      <c r="C288" s="1">
        <f>SUM(PL!H288:J288)</f>
        <v>0</v>
      </c>
      <c r="D288" s="1">
        <f>SUM(PL!K288:M288)</f>
        <v>0</v>
      </c>
      <c r="E288" s="1">
        <f>SUM(PL!N288:P288)</f>
        <v>0</v>
      </c>
      <c r="F288" s="1">
        <f>SUM(PL!Q288:S288)</f>
        <v>0</v>
      </c>
      <c r="G288" s="1">
        <f>SUM(PL!T288:V288)</f>
        <v>0</v>
      </c>
      <c r="H288" s="1">
        <f>SUM(C288:G288)</f>
        <v>0</v>
      </c>
      <c r="I288" s="1">
        <f>IF(C288 + I287 &lt; 0, C288 + I287, 0)</f>
        <v>0</v>
      </c>
      <c r="J288" s="1">
        <f>IF(D288 + J287 &lt; 0, D288 + J287, 0)</f>
        <v>0</v>
      </c>
      <c r="K288" s="1">
        <f>IF(E288 + K287 &lt; 0, E288 + K287, 0)</f>
        <v>0</v>
      </c>
      <c r="L288" s="1">
        <f>IF(F288 + L287 &lt; 0, F288 + L287, 0)</f>
        <v>0</v>
      </c>
      <c r="M288" s="1">
        <f>IF(G288 + M287 &lt; 0, G288 + M287, 0)</f>
        <v>0</v>
      </c>
      <c r="N288" s="1">
        <f>IF(H288 + N287 &lt; 0, H288 + N287, 0)</f>
        <v>0</v>
      </c>
      <c r="O288" s="1">
        <f>IF(N288 &lt; 0, 1 + O287, 0)</f>
        <v>0</v>
      </c>
      <c r="P288" s="1">
        <f>C288-((ABS(SUM(PL!H288:J288)))*0.125)</f>
        <v>0</v>
      </c>
      <c r="Q288" s="1">
        <f>D288-((ABS(SUM(PL!K288:M288)))*0.125)</f>
        <v>0</v>
      </c>
      <c r="R288" s="1">
        <f>E288-((ABS(SUM(PL!N288:P288)))*0.125)</f>
        <v>0</v>
      </c>
      <c r="S288" s="1">
        <f>F288-((ABS(SUM(PL!Q288:S288)))*0.125)</f>
        <v>0</v>
      </c>
      <c r="T288" s="1">
        <f>G288-((ABS(SUM(PL!T288:V288)))*0.125)</f>
        <v>0</v>
      </c>
      <c r="U288" s="1">
        <f>P288 + Q288 + R288 + S288 + T288</f>
        <v>0</v>
      </c>
      <c r="V288" s="1">
        <f>IF(P288 + V287 &lt; 0, P288 + V287, 0)</f>
        <v>0</v>
      </c>
      <c r="W288" s="1">
        <f>IF(Q288 + W287 &lt; 0, Q288 + W287, 0)</f>
        <v>0</v>
      </c>
      <c r="X288" s="1">
        <f>IF(R288 + X287 &lt; 0, R288 + X287, 0)</f>
        <v>0</v>
      </c>
      <c r="Y288" s="1">
        <f>IF(S288 + Y287 &lt; 0, S288 + Y287, 0)</f>
        <v>0</v>
      </c>
      <c r="Z288" s="1">
        <f>IF(T288 + Z287 &lt; 0, T288 + Z287, 0)</f>
        <v>0</v>
      </c>
      <c r="AA288" s="1">
        <f>IF(U288 + AA287 &lt; 0, U288 + AA287, 0)</f>
        <v>0</v>
      </c>
      <c r="AB288" s="1">
        <f>IF(AA288 &lt; 0, 1 + AB287, 0)</f>
        <v>0</v>
      </c>
      <c r="AC288" s="1">
        <f>IF(H288&lt;0,1,0)</f>
        <v>0</v>
      </c>
      <c r="AD288" s="1">
        <f>IF(AC288=1,H288,0)</f>
        <v>0</v>
      </c>
      <c r="AE288" s="1">
        <f>IF(H288&gt;0,1,0)</f>
        <v>0</v>
      </c>
      <c r="AF288" s="1">
        <f>IF(AE288=1,H288,0)</f>
        <v>0</v>
      </c>
      <c r="AG288" s="1">
        <f>IF(AD288&lt;-20000000.0/100,1,0)</f>
        <v>0</v>
      </c>
      <c r="AH288" s="1">
        <f>IF(AF288&gt;20000000.0/100,1,0)</f>
        <v>0</v>
      </c>
      <c r="AI288" s="1">
        <f>IF(U288&lt;0,1,0)</f>
        <v>0</v>
      </c>
      <c r="AJ288" s="1">
        <f>IF(AI288=1,U288,0)</f>
        <v>0</v>
      </c>
      <c r="AK288" s="1">
        <f>IF(U288&gt;0,1,0)</f>
        <v>0</v>
      </c>
      <c r="AL288" s="1">
        <f>IF(AK288=1,U288,0)</f>
        <v>0</v>
      </c>
      <c r="AM288" s="1">
        <f>IF(AJ288&lt;-20000000.0/100,1,0)</f>
        <v>0</v>
      </c>
      <c r="AN288" s="1">
        <f>IF(AL288&gt;20000000.0/100,1,0)</f>
        <v>0</v>
      </c>
    </row>
    <row r="289" spans="1:40" s="1" customFormat="1">
      <c r="A289" s="3">
        <v>45715</v>
      </c>
      <c r="B289" s="2" t="s">
        <v>25</v>
      </c>
      <c r="C289" s="1">
        <f>SUM(PL!H289:J289)</f>
        <v>0</v>
      </c>
      <c r="D289" s="1">
        <f>SUM(PL!K289:M289)</f>
        <v>0</v>
      </c>
      <c r="E289" s="1">
        <f>SUM(PL!N289:P289)</f>
        <v>0</v>
      </c>
      <c r="F289" s="1">
        <f>SUM(PL!Q289:S289)</f>
        <v>0</v>
      </c>
      <c r="G289" s="1">
        <f>SUM(PL!T289:V289)</f>
        <v>0</v>
      </c>
      <c r="H289" s="1">
        <f>SUM(C289:G289)</f>
        <v>0</v>
      </c>
      <c r="I289" s="1">
        <f>IF(C289 + I288 &lt; 0, C289 + I288, 0)</f>
        <v>0</v>
      </c>
      <c r="J289" s="1">
        <f>IF(D289 + J288 &lt; 0, D289 + J288, 0)</f>
        <v>0</v>
      </c>
      <c r="K289" s="1">
        <f>IF(E289 + K288 &lt; 0, E289 + K288, 0)</f>
        <v>0</v>
      </c>
      <c r="L289" s="1">
        <f>IF(F289 + L288 &lt; 0, F289 + L288, 0)</f>
        <v>0</v>
      </c>
      <c r="M289" s="1">
        <f>IF(G289 + M288 &lt; 0, G289 + M288, 0)</f>
        <v>0</v>
      </c>
      <c r="N289" s="1">
        <f>IF(H289 + N288 &lt; 0, H289 + N288, 0)</f>
        <v>0</v>
      </c>
      <c r="O289" s="1">
        <f>IF(N289 &lt; 0, 1 + O288, 0)</f>
        <v>0</v>
      </c>
      <c r="P289" s="1">
        <f>C289-((ABS(SUM(PL!H289:J289)))*0.125)</f>
        <v>0</v>
      </c>
      <c r="Q289" s="1">
        <f>D289-((ABS(SUM(PL!K289:M289)))*0.125)</f>
        <v>0</v>
      </c>
      <c r="R289" s="1">
        <f>E289-((ABS(SUM(PL!N289:P289)))*0.125)</f>
        <v>0</v>
      </c>
      <c r="S289" s="1">
        <f>F289-((ABS(SUM(PL!Q289:S289)))*0.125)</f>
        <v>0</v>
      </c>
      <c r="T289" s="1">
        <f>G289-((ABS(SUM(PL!T289:V289)))*0.125)</f>
        <v>0</v>
      </c>
      <c r="U289" s="1">
        <f>P289 + Q289 + R289 + S289 + T289</f>
        <v>0</v>
      </c>
      <c r="V289" s="1">
        <f>IF(P289 + V288 &lt; 0, P289 + V288, 0)</f>
        <v>0</v>
      </c>
      <c r="W289" s="1">
        <f>IF(Q289 + W288 &lt; 0, Q289 + W288, 0)</f>
        <v>0</v>
      </c>
      <c r="X289" s="1">
        <f>IF(R289 + X288 &lt; 0, R289 + X288, 0)</f>
        <v>0</v>
      </c>
      <c r="Y289" s="1">
        <f>IF(S289 + Y288 &lt; 0, S289 + Y288, 0)</f>
        <v>0</v>
      </c>
      <c r="Z289" s="1">
        <f>IF(T289 + Z288 &lt; 0, T289 + Z288, 0)</f>
        <v>0</v>
      </c>
      <c r="AA289" s="1">
        <f>IF(U289 + AA288 &lt; 0, U289 + AA288, 0)</f>
        <v>0</v>
      </c>
      <c r="AB289" s="1">
        <f>IF(AA289 &lt; 0, 1 + AB288, 0)</f>
        <v>0</v>
      </c>
      <c r="AC289" s="1">
        <f>IF(H289&lt;0,1,0)</f>
        <v>0</v>
      </c>
      <c r="AD289" s="1">
        <f>IF(AC289=1,H289,0)</f>
        <v>0</v>
      </c>
      <c r="AE289" s="1">
        <f>IF(H289&gt;0,1,0)</f>
        <v>0</v>
      </c>
      <c r="AF289" s="1">
        <f>IF(AE289=1,H289,0)</f>
        <v>0</v>
      </c>
      <c r="AG289" s="1">
        <f>IF(AD289&lt;-20000000.0/100,1,0)</f>
        <v>0</v>
      </c>
      <c r="AH289" s="1">
        <f>IF(AF289&gt;20000000.0/100,1,0)</f>
        <v>0</v>
      </c>
      <c r="AI289" s="1">
        <f>IF(U289&lt;0,1,0)</f>
        <v>0</v>
      </c>
      <c r="AJ289" s="1">
        <f>IF(AI289=1,U289,0)</f>
        <v>0</v>
      </c>
      <c r="AK289" s="1">
        <f>IF(U289&gt;0,1,0)</f>
        <v>0</v>
      </c>
      <c r="AL289" s="1">
        <f>IF(AK289=1,U289,0)</f>
        <v>0</v>
      </c>
      <c r="AM289" s="1">
        <f>IF(AJ289&lt;-20000000.0/100,1,0)</f>
        <v>0</v>
      </c>
      <c r="AN289" s="1">
        <f>IF(AL289&gt;20000000.0/100,1,0)</f>
        <v>0</v>
      </c>
    </row>
    <row r="290" spans="1:40" s="1" customFormat="1">
      <c r="A290" s="3">
        <v>45716</v>
      </c>
      <c r="B290" s="2" t="s">
        <v>26</v>
      </c>
      <c r="C290" s="1">
        <f>SUM(PL!H290:J290)</f>
        <v>0</v>
      </c>
      <c r="D290" s="1">
        <f>SUM(PL!K290:M290)</f>
        <v>0</v>
      </c>
      <c r="E290" s="1">
        <f>SUM(PL!N290:P290)</f>
        <v>0</v>
      </c>
      <c r="F290" s="1">
        <f>SUM(PL!Q290:S290)</f>
        <v>0</v>
      </c>
      <c r="G290" s="1">
        <f>SUM(PL!T290:V290)</f>
        <v>0</v>
      </c>
      <c r="H290" s="1">
        <f>SUM(C290:G290)</f>
        <v>0</v>
      </c>
      <c r="I290" s="1">
        <f>IF(C290 + I289 &lt; 0, C290 + I289, 0)</f>
        <v>0</v>
      </c>
      <c r="J290" s="1">
        <f>IF(D290 + J289 &lt; 0, D290 + J289, 0)</f>
        <v>0</v>
      </c>
      <c r="K290" s="1">
        <f>IF(E290 + K289 &lt; 0, E290 + K289, 0)</f>
        <v>0</v>
      </c>
      <c r="L290" s="1">
        <f>IF(F290 + L289 &lt; 0, F290 + L289, 0)</f>
        <v>0</v>
      </c>
      <c r="M290" s="1">
        <f>IF(G290 + M289 &lt; 0, G290 + M289, 0)</f>
        <v>0</v>
      </c>
      <c r="N290" s="1">
        <f>IF(H290 + N289 &lt; 0, H290 + N289, 0)</f>
        <v>0</v>
      </c>
      <c r="O290" s="1">
        <f>IF(N290 &lt; 0, 1 + O289, 0)</f>
        <v>0</v>
      </c>
      <c r="P290" s="1">
        <f>C290-((ABS(SUM(PL!H290:J290)))*0.125)</f>
        <v>0</v>
      </c>
      <c r="Q290" s="1">
        <f>D290-((ABS(SUM(PL!K290:M290)))*0.125)</f>
        <v>0</v>
      </c>
      <c r="R290" s="1">
        <f>E290-((ABS(SUM(PL!N290:P290)))*0.125)</f>
        <v>0</v>
      </c>
      <c r="S290" s="1">
        <f>F290-((ABS(SUM(PL!Q290:S290)))*0.125)</f>
        <v>0</v>
      </c>
      <c r="T290" s="1">
        <f>G290-((ABS(SUM(PL!T290:V290)))*0.125)</f>
        <v>0</v>
      </c>
      <c r="U290" s="1">
        <f>P290 + Q290 + R290 + S290 + T290</f>
        <v>0</v>
      </c>
      <c r="V290" s="1">
        <f>IF(P290 + V289 &lt; 0, P290 + V289, 0)</f>
        <v>0</v>
      </c>
      <c r="W290" s="1">
        <f>IF(Q290 + W289 &lt; 0, Q290 + W289, 0)</f>
        <v>0</v>
      </c>
      <c r="X290" s="1">
        <f>IF(R290 + X289 &lt; 0, R290 + X289, 0)</f>
        <v>0</v>
      </c>
      <c r="Y290" s="1">
        <f>IF(S290 + Y289 &lt; 0, S290 + Y289, 0)</f>
        <v>0</v>
      </c>
      <c r="Z290" s="1">
        <f>IF(T290 + Z289 &lt; 0, T290 + Z289, 0)</f>
        <v>0</v>
      </c>
      <c r="AA290" s="1">
        <f>IF(U290 + AA289 &lt; 0, U290 + AA289, 0)</f>
        <v>0</v>
      </c>
      <c r="AB290" s="1">
        <f>IF(AA290 &lt; 0, 1 + AB289, 0)</f>
        <v>0</v>
      </c>
      <c r="AC290" s="1">
        <f>IF(H290&lt;0,1,0)</f>
        <v>0</v>
      </c>
      <c r="AD290" s="1">
        <f>IF(AC290=1,H290,0)</f>
        <v>0</v>
      </c>
      <c r="AE290" s="1">
        <f>IF(H290&gt;0,1,0)</f>
        <v>0</v>
      </c>
      <c r="AF290" s="1">
        <f>IF(AE290=1,H290,0)</f>
        <v>0</v>
      </c>
      <c r="AG290" s="1">
        <f>IF(AD290&lt;-20000000.0/100,1,0)</f>
        <v>0</v>
      </c>
      <c r="AH290" s="1">
        <f>IF(AF290&gt;20000000.0/100,1,0)</f>
        <v>0</v>
      </c>
      <c r="AI290" s="1">
        <f>IF(U290&lt;0,1,0)</f>
        <v>0</v>
      </c>
      <c r="AJ290" s="1">
        <f>IF(AI290=1,U290,0)</f>
        <v>0</v>
      </c>
      <c r="AK290" s="1">
        <f>IF(U290&gt;0,1,0)</f>
        <v>0</v>
      </c>
      <c r="AL290" s="1">
        <f>IF(AK290=1,U290,0)</f>
        <v>0</v>
      </c>
      <c r="AM290" s="1">
        <f>IF(AJ290&lt;-20000000.0/100,1,0)</f>
        <v>0</v>
      </c>
      <c r="AN290" s="1">
        <f>IF(AL290&gt;20000000.0/100,1,0)</f>
        <v>0</v>
      </c>
    </row>
    <row r="291" spans="1:40" s="1" customFormat="1">
      <c r="A291" s="3">
        <v>45719</v>
      </c>
      <c r="B291" s="2" t="s">
        <v>22</v>
      </c>
      <c r="C291" s="1">
        <f>SUM(PL!H291:J291)</f>
        <v>0</v>
      </c>
      <c r="D291" s="1">
        <f>SUM(PL!K291:M291)</f>
        <v>0</v>
      </c>
      <c r="E291" s="1">
        <f>SUM(PL!N291:P291)</f>
        <v>0</v>
      </c>
      <c r="F291" s="1">
        <f>SUM(PL!Q291:S291)</f>
        <v>0</v>
      </c>
      <c r="G291" s="1">
        <f>SUM(PL!T291:V291)</f>
        <v>0</v>
      </c>
      <c r="H291" s="1">
        <f>SUM(C291:G291)</f>
        <v>0</v>
      </c>
      <c r="I291" s="1">
        <f>IF(C291 + I290 &lt; 0, C291 + I290, 0)</f>
        <v>0</v>
      </c>
      <c r="J291" s="1">
        <f>IF(D291 + J290 &lt; 0, D291 + J290, 0)</f>
        <v>0</v>
      </c>
      <c r="K291" s="1">
        <f>IF(E291 + K290 &lt; 0, E291 + K290, 0)</f>
        <v>0</v>
      </c>
      <c r="L291" s="1">
        <f>IF(F291 + L290 &lt; 0, F291 + L290, 0)</f>
        <v>0</v>
      </c>
      <c r="M291" s="1">
        <f>IF(G291 + M290 &lt; 0, G291 + M290, 0)</f>
        <v>0</v>
      </c>
      <c r="N291" s="1">
        <f>IF(H291 + N290 &lt; 0, H291 + N290, 0)</f>
        <v>0</v>
      </c>
      <c r="O291" s="1">
        <f>IF(N291 &lt; 0, 1 + O290, 0)</f>
        <v>0</v>
      </c>
      <c r="P291" s="1">
        <f>C291-((ABS(SUM(PL!H291:J291)))*0.125)</f>
        <v>0</v>
      </c>
      <c r="Q291" s="1">
        <f>D291-((ABS(SUM(PL!K291:M291)))*0.125)</f>
        <v>0</v>
      </c>
      <c r="R291" s="1">
        <f>E291-((ABS(SUM(PL!N291:P291)))*0.125)</f>
        <v>0</v>
      </c>
      <c r="S291" s="1">
        <f>F291-((ABS(SUM(PL!Q291:S291)))*0.125)</f>
        <v>0</v>
      </c>
      <c r="T291" s="1">
        <f>G291-((ABS(SUM(PL!T291:V291)))*0.125)</f>
        <v>0</v>
      </c>
      <c r="U291" s="1">
        <f>P291 + Q291 + R291 + S291 + T291</f>
        <v>0</v>
      </c>
      <c r="V291" s="1">
        <f>IF(P291 + V290 &lt; 0, P291 + V290, 0)</f>
        <v>0</v>
      </c>
      <c r="W291" s="1">
        <f>IF(Q291 + W290 &lt; 0, Q291 + W290, 0)</f>
        <v>0</v>
      </c>
      <c r="X291" s="1">
        <f>IF(R291 + X290 &lt; 0, R291 + X290, 0)</f>
        <v>0</v>
      </c>
      <c r="Y291" s="1">
        <f>IF(S291 + Y290 &lt; 0, S291 + Y290, 0)</f>
        <v>0</v>
      </c>
      <c r="Z291" s="1">
        <f>IF(T291 + Z290 &lt; 0, T291 + Z290, 0)</f>
        <v>0</v>
      </c>
      <c r="AA291" s="1">
        <f>IF(U291 + AA290 &lt; 0, U291 + AA290, 0)</f>
        <v>0</v>
      </c>
      <c r="AB291" s="1">
        <f>IF(AA291 &lt; 0, 1 + AB290, 0)</f>
        <v>0</v>
      </c>
      <c r="AC291" s="1">
        <f>IF(H291&lt;0,1,0)</f>
        <v>0</v>
      </c>
      <c r="AD291" s="1">
        <f>IF(AC291=1,H291,0)</f>
        <v>0</v>
      </c>
      <c r="AE291" s="1">
        <f>IF(H291&gt;0,1,0)</f>
        <v>0</v>
      </c>
      <c r="AF291" s="1">
        <f>IF(AE291=1,H291,0)</f>
        <v>0</v>
      </c>
      <c r="AG291" s="1">
        <f>IF(AD291&lt;-20000000.0/100,1,0)</f>
        <v>0</v>
      </c>
      <c r="AH291" s="1">
        <f>IF(AF291&gt;20000000.0/100,1,0)</f>
        <v>0</v>
      </c>
      <c r="AI291" s="1">
        <f>IF(U291&lt;0,1,0)</f>
        <v>0</v>
      </c>
      <c r="AJ291" s="1">
        <f>IF(AI291=1,U291,0)</f>
        <v>0</v>
      </c>
      <c r="AK291" s="1">
        <f>IF(U291&gt;0,1,0)</f>
        <v>0</v>
      </c>
      <c r="AL291" s="1">
        <f>IF(AK291=1,U291,0)</f>
        <v>0</v>
      </c>
      <c r="AM291" s="1">
        <f>IF(AJ291&lt;-20000000.0/100,1,0)</f>
        <v>0</v>
      </c>
      <c r="AN291" s="1">
        <f>IF(AL291&gt;20000000.0/100,1,0)</f>
        <v>0</v>
      </c>
    </row>
    <row r="292" spans="1:40" s="1" customFormat="1">
      <c r="A292" s="3">
        <v>45720</v>
      </c>
      <c r="B292" s="2" t="s">
        <v>23</v>
      </c>
      <c r="C292" s="1">
        <f>SUM(PL!H292:J292)</f>
        <v>0</v>
      </c>
      <c r="D292" s="1">
        <f>SUM(PL!K292:M292)</f>
        <v>0</v>
      </c>
      <c r="E292" s="1">
        <f>SUM(PL!N292:P292)</f>
        <v>0</v>
      </c>
      <c r="F292" s="1">
        <f>SUM(PL!Q292:S292)</f>
        <v>0</v>
      </c>
      <c r="G292" s="1">
        <f>SUM(PL!T292:V292)</f>
        <v>0</v>
      </c>
      <c r="H292" s="1">
        <f>SUM(C292:G292)</f>
        <v>0</v>
      </c>
      <c r="I292" s="1">
        <f>IF(C292 + I291 &lt; 0, C292 + I291, 0)</f>
        <v>0</v>
      </c>
      <c r="J292" s="1">
        <f>IF(D292 + J291 &lt; 0, D292 + J291, 0)</f>
        <v>0</v>
      </c>
      <c r="K292" s="1">
        <f>IF(E292 + K291 &lt; 0, E292 + K291, 0)</f>
        <v>0</v>
      </c>
      <c r="L292" s="1">
        <f>IF(F292 + L291 &lt; 0, F292 + L291, 0)</f>
        <v>0</v>
      </c>
      <c r="M292" s="1">
        <f>IF(G292 + M291 &lt; 0, G292 + M291, 0)</f>
        <v>0</v>
      </c>
      <c r="N292" s="1">
        <f>IF(H292 + N291 &lt; 0, H292 + N291, 0)</f>
        <v>0</v>
      </c>
      <c r="O292" s="1">
        <f>IF(N292 &lt; 0, 1 + O291, 0)</f>
        <v>0</v>
      </c>
      <c r="P292" s="1">
        <f>C292-((ABS(SUM(PL!H292:J292)))*0.125)</f>
        <v>0</v>
      </c>
      <c r="Q292" s="1">
        <f>D292-((ABS(SUM(PL!K292:M292)))*0.125)</f>
        <v>0</v>
      </c>
      <c r="R292" s="1">
        <f>E292-((ABS(SUM(PL!N292:P292)))*0.125)</f>
        <v>0</v>
      </c>
      <c r="S292" s="1">
        <f>F292-((ABS(SUM(PL!Q292:S292)))*0.125)</f>
        <v>0</v>
      </c>
      <c r="T292" s="1">
        <f>G292-((ABS(SUM(PL!T292:V292)))*0.125)</f>
        <v>0</v>
      </c>
      <c r="U292" s="1">
        <f>P292 + Q292 + R292 + S292 + T292</f>
        <v>0</v>
      </c>
      <c r="V292" s="1">
        <f>IF(P292 + V291 &lt; 0, P292 + V291, 0)</f>
        <v>0</v>
      </c>
      <c r="W292" s="1">
        <f>IF(Q292 + W291 &lt; 0, Q292 + W291, 0)</f>
        <v>0</v>
      </c>
      <c r="X292" s="1">
        <f>IF(R292 + X291 &lt; 0, R292 + X291, 0)</f>
        <v>0</v>
      </c>
      <c r="Y292" s="1">
        <f>IF(S292 + Y291 &lt; 0, S292 + Y291, 0)</f>
        <v>0</v>
      </c>
      <c r="Z292" s="1">
        <f>IF(T292 + Z291 &lt; 0, T292 + Z291, 0)</f>
        <v>0</v>
      </c>
      <c r="AA292" s="1">
        <f>IF(U292 + AA291 &lt; 0, U292 + AA291, 0)</f>
        <v>0</v>
      </c>
      <c r="AB292" s="1">
        <f>IF(AA292 &lt; 0, 1 + AB291, 0)</f>
        <v>0</v>
      </c>
      <c r="AC292" s="1">
        <f>IF(H292&lt;0,1,0)</f>
        <v>0</v>
      </c>
      <c r="AD292" s="1">
        <f>IF(AC292=1,H292,0)</f>
        <v>0</v>
      </c>
      <c r="AE292" s="1">
        <f>IF(H292&gt;0,1,0)</f>
        <v>0</v>
      </c>
      <c r="AF292" s="1">
        <f>IF(AE292=1,H292,0)</f>
        <v>0</v>
      </c>
      <c r="AG292" s="1">
        <f>IF(AD292&lt;-20000000.0/100,1,0)</f>
        <v>0</v>
      </c>
      <c r="AH292" s="1">
        <f>IF(AF292&gt;20000000.0/100,1,0)</f>
        <v>0</v>
      </c>
      <c r="AI292" s="1">
        <f>IF(U292&lt;0,1,0)</f>
        <v>0</v>
      </c>
      <c r="AJ292" s="1">
        <f>IF(AI292=1,U292,0)</f>
        <v>0</v>
      </c>
      <c r="AK292" s="1">
        <f>IF(U292&gt;0,1,0)</f>
        <v>0</v>
      </c>
      <c r="AL292" s="1">
        <f>IF(AK292=1,U292,0)</f>
        <v>0</v>
      </c>
      <c r="AM292" s="1">
        <f>IF(AJ292&lt;-20000000.0/100,1,0)</f>
        <v>0</v>
      </c>
      <c r="AN292" s="1">
        <f>IF(AL292&gt;20000000.0/100,1,0)</f>
        <v>0</v>
      </c>
    </row>
    <row r="293" spans="1:40" s="1" customFormat="1">
      <c r="A293" s="3">
        <v>45721</v>
      </c>
      <c r="B293" s="2" t="s">
        <v>24</v>
      </c>
      <c r="C293" s="1">
        <f>SUM(PL!H293:J293)</f>
        <v>0</v>
      </c>
      <c r="D293" s="1">
        <f>SUM(PL!K293:M293)</f>
        <v>0</v>
      </c>
      <c r="E293" s="1">
        <f>SUM(PL!N293:P293)</f>
        <v>0</v>
      </c>
      <c r="F293" s="1">
        <f>SUM(PL!Q293:S293)</f>
        <v>0</v>
      </c>
      <c r="G293" s="1">
        <f>SUM(PL!T293:V293)</f>
        <v>0</v>
      </c>
      <c r="H293" s="1">
        <f>SUM(C293:G293)</f>
        <v>0</v>
      </c>
      <c r="I293" s="1">
        <f>IF(C293 + I292 &lt; 0, C293 + I292, 0)</f>
        <v>0</v>
      </c>
      <c r="J293" s="1">
        <f>IF(D293 + J292 &lt; 0, D293 + J292, 0)</f>
        <v>0</v>
      </c>
      <c r="K293" s="1">
        <f>IF(E293 + K292 &lt; 0, E293 + K292, 0)</f>
        <v>0</v>
      </c>
      <c r="L293" s="1">
        <f>IF(F293 + L292 &lt; 0, F293 + L292, 0)</f>
        <v>0</v>
      </c>
      <c r="M293" s="1">
        <f>IF(G293 + M292 &lt; 0, G293 + M292, 0)</f>
        <v>0</v>
      </c>
      <c r="N293" s="1">
        <f>IF(H293 + N292 &lt; 0, H293 + N292, 0)</f>
        <v>0</v>
      </c>
      <c r="O293" s="1">
        <f>IF(N293 &lt; 0, 1 + O292, 0)</f>
        <v>0</v>
      </c>
      <c r="P293" s="1">
        <f>C293-((ABS(SUM(PL!H293:J293)))*0.125)</f>
        <v>0</v>
      </c>
      <c r="Q293" s="1">
        <f>D293-((ABS(SUM(PL!K293:M293)))*0.125)</f>
        <v>0</v>
      </c>
      <c r="R293" s="1">
        <f>E293-((ABS(SUM(PL!N293:P293)))*0.125)</f>
        <v>0</v>
      </c>
      <c r="S293" s="1">
        <f>F293-((ABS(SUM(PL!Q293:S293)))*0.125)</f>
        <v>0</v>
      </c>
      <c r="T293" s="1">
        <f>G293-((ABS(SUM(PL!T293:V293)))*0.125)</f>
        <v>0</v>
      </c>
      <c r="U293" s="1">
        <f>P293 + Q293 + R293 + S293 + T293</f>
        <v>0</v>
      </c>
      <c r="V293" s="1">
        <f>IF(P293 + V292 &lt; 0, P293 + V292, 0)</f>
        <v>0</v>
      </c>
      <c r="W293" s="1">
        <f>IF(Q293 + W292 &lt; 0, Q293 + W292, 0)</f>
        <v>0</v>
      </c>
      <c r="X293" s="1">
        <f>IF(R293 + X292 &lt; 0, R293 + X292, 0)</f>
        <v>0</v>
      </c>
      <c r="Y293" s="1">
        <f>IF(S293 + Y292 &lt; 0, S293 + Y292, 0)</f>
        <v>0</v>
      </c>
      <c r="Z293" s="1">
        <f>IF(T293 + Z292 &lt; 0, T293 + Z292, 0)</f>
        <v>0</v>
      </c>
      <c r="AA293" s="1">
        <f>IF(U293 + AA292 &lt; 0, U293 + AA292, 0)</f>
        <v>0</v>
      </c>
      <c r="AB293" s="1">
        <f>IF(AA293 &lt; 0, 1 + AB292, 0)</f>
        <v>0</v>
      </c>
      <c r="AC293" s="1">
        <f>IF(H293&lt;0,1,0)</f>
        <v>0</v>
      </c>
      <c r="AD293" s="1">
        <f>IF(AC293=1,H293,0)</f>
        <v>0</v>
      </c>
      <c r="AE293" s="1">
        <f>IF(H293&gt;0,1,0)</f>
        <v>0</v>
      </c>
      <c r="AF293" s="1">
        <f>IF(AE293=1,H293,0)</f>
        <v>0</v>
      </c>
      <c r="AG293" s="1">
        <f>IF(AD293&lt;-20000000.0/100,1,0)</f>
        <v>0</v>
      </c>
      <c r="AH293" s="1">
        <f>IF(AF293&gt;20000000.0/100,1,0)</f>
        <v>0</v>
      </c>
      <c r="AI293" s="1">
        <f>IF(U293&lt;0,1,0)</f>
        <v>0</v>
      </c>
      <c r="AJ293" s="1">
        <f>IF(AI293=1,U293,0)</f>
        <v>0</v>
      </c>
      <c r="AK293" s="1">
        <f>IF(U293&gt;0,1,0)</f>
        <v>0</v>
      </c>
      <c r="AL293" s="1">
        <f>IF(AK293=1,U293,0)</f>
        <v>0</v>
      </c>
      <c r="AM293" s="1">
        <f>IF(AJ293&lt;-20000000.0/100,1,0)</f>
        <v>0</v>
      </c>
      <c r="AN293" s="1">
        <f>IF(AL293&gt;20000000.0/100,1,0)</f>
        <v>0</v>
      </c>
    </row>
    <row r="294" spans="1:40" s="1" customFormat="1">
      <c r="A294" s="3">
        <v>45722</v>
      </c>
      <c r="B294" s="2" t="s">
        <v>25</v>
      </c>
      <c r="C294" s="1">
        <f>SUM(PL!H294:J294)</f>
        <v>0</v>
      </c>
      <c r="D294" s="1">
        <f>SUM(PL!K294:M294)</f>
        <v>0</v>
      </c>
      <c r="E294" s="1">
        <f>SUM(PL!N294:P294)</f>
        <v>0</v>
      </c>
      <c r="F294" s="1">
        <f>SUM(PL!Q294:S294)</f>
        <v>0</v>
      </c>
      <c r="G294" s="1">
        <f>SUM(PL!T294:V294)</f>
        <v>0</v>
      </c>
      <c r="H294" s="1">
        <f>SUM(C294:G294)</f>
        <v>0</v>
      </c>
      <c r="I294" s="1">
        <f>IF(C294 + I293 &lt; 0, C294 + I293, 0)</f>
        <v>0</v>
      </c>
      <c r="J294" s="1">
        <f>IF(D294 + J293 &lt; 0, D294 + J293, 0)</f>
        <v>0</v>
      </c>
      <c r="K294" s="1">
        <f>IF(E294 + K293 &lt; 0, E294 + K293, 0)</f>
        <v>0</v>
      </c>
      <c r="L294" s="1">
        <f>IF(F294 + L293 &lt; 0, F294 + L293, 0)</f>
        <v>0</v>
      </c>
      <c r="M294" s="1">
        <f>IF(G294 + M293 &lt; 0, G294 + M293, 0)</f>
        <v>0</v>
      </c>
      <c r="N294" s="1">
        <f>IF(H294 + N293 &lt; 0, H294 + N293, 0)</f>
        <v>0</v>
      </c>
      <c r="O294" s="1">
        <f>IF(N294 &lt; 0, 1 + O293, 0)</f>
        <v>0</v>
      </c>
      <c r="P294" s="1">
        <f>C294-((ABS(SUM(PL!H294:J294)))*0.125)</f>
        <v>0</v>
      </c>
      <c r="Q294" s="1">
        <f>D294-((ABS(SUM(PL!K294:M294)))*0.125)</f>
        <v>0</v>
      </c>
      <c r="R294" s="1">
        <f>E294-((ABS(SUM(PL!N294:P294)))*0.125)</f>
        <v>0</v>
      </c>
      <c r="S294" s="1">
        <f>F294-((ABS(SUM(PL!Q294:S294)))*0.125)</f>
        <v>0</v>
      </c>
      <c r="T294" s="1">
        <f>G294-((ABS(SUM(PL!T294:V294)))*0.125)</f>
        <v>0</v>
      </c>
      <c r="U294" s="1">
        <f>P294 + Q294 + R294 + S294 + T294</f>
        <v>0</v>
      </c>
      <c r="V294" s="1">
        <f>IF(P294 + V293 &lt; 0, P294 + V293, 0)</f>
        <v>0</v>
      </c>
      <c r="W294" s="1">
        <f>IF(Q294 + W293 &lt; 0, Q294 + W293, 0)</f>
        <v>0</v>
      </c>
      <c r="X294" s="1">
        <f>IF(R294 + X293 &lt; 0, R294 + X293, 0)</f>
        <v>0</v>
      </c>
      <c r="Y294" s="1">
        <f>IF(S294 + Y293 &lt; 0, S294 + Y293, 0)</f>
        <v>0</v>
      </c>
      <c r="Z294" s="1">
        <f>IF(T294 + Z293 &lt; 0, T294 + Z293, 0)</f>
        <v>0</v>
      </c>
      <c r="AA294" s="1">
        <f>IF(U294 + AA293 &lt; 0, U294 + AA293, 0)</f>
        <v>0</v>
      </c>
      <c r="AB294" s="1">
        <f>IF(AA294 &lt; 0, 1 + AB293, 0)</f>
        <v>0</v>
      </c>
      <c r="AC294" s="1">
        <f>IF(H294&lt;0,1,0)</f>
        <v>0</v>
      </c>
      <c r="AD294" s="1">
        <f>IF(AC294=1,H294,0)</f>
        <v>0</v>
      </c>
      <c r="AE294" s="1">
        <f>IF(H294&gt;0,1,0)</f>
        <v>0</v>
      </c>
      <c r="AF294" s="1">
        <f>IF(AE294=1,H294,0)</f>
        <v>0</v>
      </c>
      <c r="AG294" s="1">
        <f>IF(AD294&lt;-20000000.0/100,1,0)</f>
        <v>0</v>
      </c>
      <c r="AH294" s="1">
        <f>IF(AF294&gt;20000000.0/100,1,0)</f>
        <v>0</v>
      </c>
      <c r="AI294" s="1">
        <f>IF(U294&lt;0,1,0)</f>
        <v>0</v>
      </c>
      <c r="AJ294" s="1">
        <f>IF(AI294=1,U294,0)</f>
        <v>0</v>
      </c>
      <c r="AK294" s="1">
        <f>IF(U294&gt;0,1,0)</f>
        <v>0</v>
      </c>
      <c r="AL294" s="1">
        <f>IF(AK294=1,U294,0)</f>
        <v>0</v>
      </c>
      <c r="AM294" s="1">
        <f>IF(AJ294&lt;-20000000.0/100,1,0)</f>
        <v>0</v>
      </c>
      <c r="AN294" s="1">
        <f>IF(AL294&gt;20000000.0/100,1,0)</f>
        <v>0</v>
      </c>
    </row>
    <row r="295" spans="1:40" s="1" customFormat="1">
      <c r="A295" s="3">
        <v>45723</v>
      </c>
      <c r="B295" s="2" t="s">
        <v>26</v>
      </c>
      <c r="C295" s="1">
        <f>SUM(PL!H295:J295)</f>
        <v>0</v>
      </c>
      <c r="D295" s="1">
        <f>SUM(PL!K295:M295)</f>
        <v>0</v>
      </c>
      <c r="E295" s="1">
        <f>SUM(PL!N295:P295)</f>
        <v>0</v>
      </c>
      <c r="F295" s="1">
        <f>SUM(PL!Q295:S295)</f>
        <v>0</v>
      </c>
      <c r="G295" s="1">
        <f>SUM(PL!T295:V295)</f>
        <v>0</v>
      </c>
      <c r="H295" s="1">
        <f>SUM(C295:G295)</f>
        <v>0</v>
      </c>
      <c r="I295" s="1">
        <f>IF(C295 + I294 &lt; 0, C295 + I294, 0)</f>
        <v>0</v>
      </c>
      <c r="J295" s="1">
        <f>IF(D295 + J294 &lt; 0, D295 + J294, 0)</f>
        <v>0</v>
      </c>
      <c r="K295" s="1">
        <f>IF(E295 + K294 &lt; 0, E295 + K294, 0)</f>
        <v>0</v>
      </c>
      <c r="L295" s="1">
        <f>IF(F295 + L294 &lt; 0, F295 + L294, 0)</f>
        <v>0</v>
      </c>
      <c r="M295" s="1">
        <f>IF(G295 + M294 &lt; 0, G295 + M294, 0)</f>
        <v>0</v>
      </c>
      <c r="N295" s="1">
        <f>IF(H295 + N294 &lt; 0, H295 + N294, 0)</f>
        <v>0</v>
      </c>
      <c r="O295" s="1">
        <f>IF(N295 &lt; 0, 1 + O294, 0)</f>
        <v>0</v>
      </c>
      <c r="P295" s="1">
        <f>C295-((ABS(SUM(PL!H295:J295)))*0.125)</f>
        <v>0</v>
      </c>
      <c r="Q295" s="1">
        <f>D295-((ABS(SUM(PL!K295:M295)))*0.125)</f>
        <v>0</v>
      </c>
      <c r="R295" s="1">
        <f>E295-((ABS(SUM(PL!N295:P295)))*0.125)</f>
        <v>0</v>
      </c>
      <c r="S295" s="1">
        <f>F295-((ABS(SUM(PL!Q295:S295)))*0.125)</f>
        <v>0</v>
      </c>
      <c r="T295" s="1">
        <f>G295-((ABS(SUM(PL!T295:V295)))*0.125)</f>
        <v>0</v>
      </c>
      <c r="U295" s="1">
        <f>P295 + Q295 + R295 + S295 + T295</f>
        <v>0</v>
      </c>
      <c r="V295" s="1">
        <f>IF(P295 + V294 &lt; 0, P295 + V294, 0)</f>
        <v>0</v>
      </c>
      <c r="W295" s="1">
        <f>IF(Q295 + W294 &lt; 0, Q295 + W294, 0)</f>
        <v>0</v>
      </c>
      <c r="X295" s="1">
        <f>IF(R295 + X294 &lt; 0, R295 + X294, 0)</f>
        <v>0</v>
      </c>
      <c r="Y295" s="1">
        <f>IF(S295 + Y294 &lt; 0, S295 + Y294, 0)</f>
        <v>0</v>
      </c>
      <c r="Z295" s="1">
        <f>IF(T295 + Z294 &lt; 0, T295 + Z294, 0)</f>
        <v>0</v>
      </c>
      <c r="AA295" s="1">
        <f>IF(U295 + AA294 &lt; 0, U295 + AA294, 0)</f>
        <v>0</v>
      </c>
      <c r="AB295" s="1">
        <f>IF(AA295 &lt; 0, 1 + AB294, 0)</f>
        <v>0</v>
      </c>
      <c r="AC295" s="1">
        <f>IF(H295&lt;0,1,0)</f>
        <v>0</v>
      </c>
      <c r="AD295" s="1">
        <f>IF(AC295=1,H295,0)</f>
        <v>0</v>
      </c>
      <c r="AE295" s="1">
        <f>IF(H295&gt;0,1,0)</f>
        <v>0</v>
      </c>
      <c r="AF295" s="1">
        <f>IF(AE295=1,H295,0)</f>
        <v>0</v>
      </c>
      <c r="AG295" s="1">
        <f>IF(AD295&lt;-20000000.0/100,1,0)</f>
        <v>0</v>
      </c>
      <c r="AH295" s="1">
        <f>IF(AF295&gt;20000000.0/100,1,0)</f>
        <v>0</v>
      </c>
      <c r="AI295" s="1">
        <f>IF(U295&lt;0,1,0)</f>
        <v>0</v>
      </c>
      <c r="AJ295" s="1">
        <f>IF(AI295=1,U295,0)</f>
        <v>0</v>
      </c>
      <c r="AK295" s="1">
        <f>IF(U295&gt;0,1,0)</f>
        <v>0</v>
      </c>
      <c r="AL295" s="1">
        <f>IF(AK295=1,U295,0)</f>
        <v>0</v>
      </c>
      <c r="AM295" s="1">
        <f>IF(AJ295&lt;-20000000.0/100,1,0)</f>
        <v>0</v>
      </c>
      <c r="AN295" s="1">
        <f>IF(AL295&gt;20000000.0/100,1,0)</f>
        <v>0</v>
      </c>
    </row>
    <row r="296" spans="1:40" s="1" customFormat="1">
      <c r="A296" s="3">
        <v>45726</v>
      </c>
      <c r="B296" s="2" t="s">
        <v>22</v>
      </c>
      <c r="C296" s="1">
        <f>SUM(PL!H296:J296)</f>
        <v>0</v>
      </c>
      <c r="D296" s="1">
        <f>SUM(PL!K296:M296)</f>
        <v>0</v>
      </c>
      <c r="E296" s="1">
        <f>SUM(PL!N296:P296)</f>
        <v>0</v>
      </c>
      <c r="F296" s="1">
        <f>SUM(PL!Q296:S296)</f>
        <v>0</v>
      </c>
      <c r="G296" s="1">
        <f>SUM(PL!T296:V296)</f>
        <v>0</v>
      </c>
      <c r="H296" s="1">
        <f>SUM(C296:G296)</f>
        <v>0</v>
      </c>
      <c r="I296" s="1">
        <f>IF(C296 + I295 &lt; 0, C296 + I295, 0)</f>
        <v>0</v>
      </c>
      <c r="J296" s="1">
        <f>IF(D296 + J295 &lt; 0, D296 + J295, 0)</f>
        <v>0</v>
      </c>
      <c r="K296" s="1">
        <f>IF(E296 + K295 &lt; 0, E296 + K295, 0)</f>
        <v>0</v>
      </c>
      <c r="L296" s="1">
        <f>IF(F296 + L295 &lt; 0, F296 + L295, 0)</f>
        <v>0</v>
      </c>
      <c r="M296" s="1">
        <f>IF(G296 + M295 &lt; 0, G296 + M295, 0)</f>
        <v>0</v>
      </c>
      <c r="N296" s="1">
        <f>IF(H296 + N295 &lt; 0, H296 + N295, 0)</f>
        <v>0</v>
      </c>
      <c r="O296" s="1">
        <f>IF(N296 &lt; 0, 1 + O295, 0)</f>
        <v>0</v>
      </c>
      <c r="P296" s="1">
        <f>C296-((ABS(SUM(PL!H296:J296)))*0.125)</f>
        <v>0</v>
      </c>
      <c r="Q296" s="1">
        <f>D296-((ABS(SUM(PL!K296:M296)))*0.125)</f>
        <v>0</v>
      </c>
      <c r="R296" s="1">
        <f>E296-((ABS(SUM(PL!N296:P296)))*0.125)</f>
        <v>0</v>
      </c>
      <c r="S296" s="1">
        <f>F296-((ABS(SUM(PL!Q296:S296)))*0.125)</f>
        <v>0</v>
      </c>
      <c r="T296" s="1">
        <f>G296-((ABS(SUM(PL!T296:V296)))*0.125)</f>
        <v>0</v>
      </c>
      <c r="U296" s="1">
        <f>P296 + Q296 + R296 + S296 + T296</f>
        <v>0</v>
      </c>
      <c r="V296" s="1">
        <f>IF(P296 + V295 &lt; 0, P296 + V295, 0)</f>
        <v>0</v>
      </c>
      <c r="W296" s="1">
        <f>IF(Q296 + W295 &lt; 0, Q296 + W295, 0)</f>
        <v>0</v>
      </c>
      <c r="X296" s="1">
        <f>IF(R296 + X295 &lt; 0, R296 + X295, 0)</f>
        <v>0</v>
      </c>
      <c r="Y296" s="1">
        <f>IF(S296 + Y295 &lt; 0, S296 + Y295, 0)</f>
        <v>0</v>
      </c>
      <c r="Z296" s="1">
        <f>IF(T296 + Z295 &lt; 0, T296 + Z295, 0)</f>
        <v>0</v>
      </c>
      <c r="AA296" s="1">
        <f>IF(U296 + AA295 &lt; 0, U296 + AA295, 0)</f>
        <v>0</v>
      </c>
      <c r="AB296" s="1">
        <f>IF(AA296 &lt; 0, 1 + AB295, 0)</f>
        <v>0</v>
      </c>
      <c r="AC296" s="1">
        <f>IF(H296&lt;0,1,0)</f>
        <v>0</v>
      </c>
      <c r="AD296" s="1">
        <f>IF(AC296=1,H296,0)</f>
        <v>0</v>
      </c>
      <c r="AE296" s="1">
        <f>IF(H296&gt;0,1,0)</f>
        <v>0</v>
      </c>
      <c r="AF296" s="1">
        <f>IF(AE296=1,H296,0)</f>
        <v>0</v>
      </c>
      <c r="AG296" s="1">
        <f>IF(AD296&lt;-20000000.0/100,1,0)</f>
        <v>0</v>
      </c>
      <c r="AH296" s="1">
        <f>IF(AF296&gt;20000000.0/100,1,0)</f>
        <v>0</v>
      </c>
      <c r="AI296" s="1">
        <f>IF(U296&lt;0,1,0)</f>
        <v>0</v>
      </c>
      <c r="AJ296" s="1">
        <f>IF(AI296=1,U296,0)</f>
        <v>0</v>
      </c>
      <c r="AK296" s="1">
        <f>IF(U296&gt;0,1,0)</f>
        <v>0</v>
      </c>
      <c r="AL296" s="1">
        <f>IF(AK296=1,U296,0)</f>
        <v>0</v>
      </c>
      <c r="AM296" s="1">
        <f>IF(AJ296&lt;-20000000.0/100,1,0)</f>
        <v>0</v>
      </c>
      <c r="AN296" s="1">
        <f>IF(AL296&gt;20000000.0/100,1,0)</f>
        <v>0</v>
      </c>
    </row>
    <row r="297" spans="1:40" s="1" customFormat="1">
      <c r="A297" s="3">
        <v>45727</v>
      </c>
      <c r="B297" s="2" t="s">
        <v>23</v>
      </c>
      <c r="C297" s="1">
        <f>SUM(PL!H297:J297)</f>
        <v>0</v>
      </c>
      <c r="D297" s="1">
        <f>SUM(PL!K297:M297)</f>
        <v>0</v>
      </c>
      <c r="E297" s="1">
        <f>SUM(PL!N297:P297)</f>
        <v>0</v>
      </c>
      <c r="F297" s="1">
        <f>SUM(PL!Q297:S297)</f>
        <v>0</v>
      </c>
      <c r="G297" s="1">
        <f>SUM(PL!T297:V297)</f>
        <v>0</v>
      </c>
      <c r="H297" s="1">
        <f>SUM(C297:G297)</f>
        <v>0</v>
      </c>
      <c r="I297" s="1">
        <f>IF(C297 + I296 &lt; 0, C297 + I296, 0)</f>
        <v>0</v>
      </c>
      <c r="J297" s="1">
        <f>IF(D297 + J296 &lt; 0, D297 + J296, 0)</f>
        <v>0</v>
      </c>
      <c r="K297" s="1">
        <f>IF(E297 + K296 &lt; 0, E297 + K296, 0)</f>
        <v>0</v>
      </c>
      <c r="L297" s="1">
        <f>IF(F297 + L296 &lt; 0, F297 + L296, 0)</f>
        <v>0</v>
      </c>
      <c r="M297" s="1">
        <f>IF(G297 + M296 &lt; 0, G297 + M296, 0)</f>
        <v>0</v>
      </c>
      <c r="N297" s="1">
        <f>IF(H297 + N296 &lt; 0, H297 + N296, 0)</f>
        <v>0</v>
      </c>
      <c r="O297" s="1">
        <f>IF(N297 &lt; 0, 1 + O296, 0)</f>
        <v>0</v>
      </c>
      <c r="P297" s="1">
        <f>C297-((ABS(SUM(PL!H297:J297)))*0.125)</f>
        <v>0</v>
      </c>
      <c r="Q297" s="1">
        <f>D297-((ABS(SUM(PL!K297:M297)))*0.125)</f>
        <v>0</v>
      </c>
      <c r="R297" s="1">
        <f>E297-((ABS(SUM(PL!N297:P297)))*0.125)</f>
        <v>0</v>
      </c>
      <c r="S297" s="1">
        <f>F297-((ABS(SUM(PL!Q297:S297)))*0.125)</f>
        <v>0</v>
      </c>
      <c r="T297" s="1">
        <f>G297-((ABS(SUM(PL!T297:V297)))*0.125)</f>
        <v>0</v>
      </c>
      <c r="U297" s="1">
        <f>P297 + Q297 + R297 + S297 + T297</f>
        <v>0</v>
      </c>
      <c r="V297" s="1">
        <f>IF(P297 + V296 &lt; 0, P297 + V296, 0)</f>
        <v>0</v>
      </c>
      <c r="W297" s="1">
        <f>IF(Q297 + W296 &lt; 0, Q297 + W296, 0)</f>
        <v>0</v>
      </c>
      <c r="X297" s="1">
        <f>IF(R297 + X296 &lt; 0, R297 + X296, 0)</f>
        <v>0</v>
      </c>
      <c r="Y297" s="1">
        <f>IF(S297 + Y296 &lt; 0, S297 + Y296, 0)</f>
        <v>0</v>
      </c>
      <c r="Z297" s="1">
        <f>IF(T297 + Z296 &lt; 0, T297 + Z296, 0)</f>
        <v>0</v>
      </c>
      <c r="AA297" s="1">
        <f>IF(U297 + AA296 &lt; 0, U297 + AA296, 0)</f>
        <v>0</v>
      </c>
      <c r="AB297" s="1">
        <f>IF(AA297 &lt; 0, 1 + AB296, 0)</f>
        <v>0</v>
      </c>
      <c r="AC297" s="1">
        <f>IF(H297&lt;0,1,0)</f>
        <v>0</v>
      </c>
      <c r="AD297" s="1">
        <f>IF(AC297=1,H297,0)</f>
        <v>0</v>
      </c>
      <c r="AE297" s="1">
        <f>IF(H297&gt;0,1,0)</f>
        <v>0</v>
      </c>
      <c r="AF297" s="1">
        <f>IF(AE297=1,H297,0)</f>
        <v>0</v>
      </c>
      <c r="AG297" s="1">
        <f>IF(AD297&lt;-20000000.0/100,1,0)</f>
        <v>0</v>
      </c>
      <c r="AH297" s="1">
        <f>IF(AF297&gt;20000000.0/100,1,0)</f>
        <v>0</v>
      </c>
      <c r="AI297" s="1">
        <f>IF(U297&lt;0,1,0)</f>
        <v>0</v>
      </c>
      <c r="AJ297" s="1">
        <f>IF(AI297=1,U297,0)</f>
        <v>0</v>
      </c>
      <c r="AK297" s="1">
        <f>IF(U297&gt;0,1,0)</f>
        <v>0</v>
      </c>
      <c r="AL297" s="1">
        <f>IF(AK297=1,U297,0)</f>
        <v>0</v>
      </c>
      <c r="AM297" s="1">
        <f>IF(AJ297&lt;-20000000.0/100,1,0)</f>
        <v>0</v>
      </c>
      <c r="AN297" s="1">
        <f>IF(AL297&gt;20000000.0/100,1,0)</f>
        <v>0</v>
      </c>
    </row>
    <row r="298" spans="1:40" s="1" customFormat="1">
      <c r="A298" s="3">
        <v>45728</v>
      </c>
      <c r="B298" s="2" t="s">
        <v>24</v>
      </c>
      <c r="C298" s="1">
        <f>SUM(PL!H298:J298)</f>
        <v>0</v>
      </c>
      <c r="D298" s="1">
        <f>SUM(PL!K298:M298)</f>
        <v>0</v>
      </c>
      <c r="E298" s="1">
        <f>SUM(PL!N298:P298)</f>
        <v>0</v>
      </c>
      <c r="F298" s="1">
        <f>SUM(PL!Q298:S298)</f>
        <v>0</v>
      </c>
      <c r="G298" s="1">
        <f>SUM(PL!T298:V298)</f>
        <v>0</v>
      </c>
      <c r="H298" s="1">
        <f>SUM(C298:G298)</f>
        <v>0</v>
      </c>
      <c r="I298" s="1">
        <f>IF(C298 + I297 &lt; 0, C298 + I297, 0)</f>
        <v>0</v>
      </c>
      <c r="J298" s="1">
        <f>IF(D298 + J297 &lt; 0, D298 + J297, 0)</f>
        <v>0</v>
      </c>
      <c r="K298" s="1">
        <f>IF(E298 + K297 &lt; 0, E298 + K297, 0)</f>
        <v>0</v>
      </c>
      <c r="L298" s="1">
        <f>IF(F298 + L297 &lt; 0, F298 + L297, 0)</f>
        <v>0</v>
      </c>
      <c r="M298" s="1">
        <f>IF(G298 + M297 &lt; 0, G298 + M297, 0)</f>
        <v>0</v>
      </c>
      <c r="N298" s="1">
        <f>IF(H298 + N297 &lt; 0, H298 + N297, 0)</f>
        <v>0</v>
      </c>
      <c r="O298" s="1">
        <f>IF(N298 &lt; 0, 1 + O297, 0)</f>
        <v>0</v>
      </c>
      <c r="P298" s="1">
        <f>C298-((ABS(SUM(PL!H298:J298)))*0.125)</f>
        <v>0</v>
      </c>
      <c r="Q298" s="1">
        <f>D298-((ABS(SUM(PL!K298:M298)))*0.125)</f>
        <v>0</v>
      </c>
      <c r="R298" s="1">
        <f>E298-((ABS(SUM(PL!N298:P298)))*0.125)</f>
        <v>0</v>
      </c>
      <c r="S298" s="1">
        <f>F298-((ABS(SUM(PL!Q298:S298)))*0.125)</f>
        <v>0</v>
      </c>
      <c r="T298" s="1">
        <f>G298-((ABS(SUM(PL!T298:V298)))*0.125)</f>
        <v>0</v>
      </c>
      <c r="U298" s="1">
        <f>P298 + Q298 + R298 + S298 + T298</f>
        <v>0</v>
      </c>
      <c r="V298" s="1">
        <f>IF(P298 + V297 &lt; 0, P298 + V297, 0)</f>
        <v>0</v>
      </c>
      <c r="W298" s="1">
        <f>IF(Q298 + W297 &lt; 0, Q298 + W297, 0)</f>
        <v>0</v>
      </c>
      <c r="X298" s="1">
        <f>IF(R298 + X297 &lt; 0, R298 + X297, 0)</f>
        <v>0</v>
      </c>
      <c r="Y298" s="1">
        <f>IF(S298 + Y297 &lt; 0, S298 + Y297, 0)</f>
        <v>0</v>
      </c>
      <c r="Z298" s="1">
        <f>IF(T298 + Z297 &lt; 0, T298 + Z297, 0)</f>
        <v>0</v>
      </c>
      <c r="AA298" s="1">
        <f>IF(U298 + AA297 &lt; 0, U298 + AA297, 0)</f>
        <v>0</v>
      </c>
      <c r="AB298" s="1">
        <f>IF(AA298 &lt; 0, 1 + AB297, 0)</f>
        <v>0</v>
      </c>
      <c r="AC298" s="1">
        <f>IF(H298&lt;0,1,0)</f>
        <v>0</v>
      </c>
      <c r="AD298" s="1">
        <f>IF(AC298=1,H298,0)</f>
        <v>0</v>
      </c>
      <c r="AE298" s="1">
        <f>IF(H298&gt;0,1,0)</f>
        <v>0</v>
      </c>
      <c r="AF298" s="1">
        <f>IF(AE298=1,H298,0)</f>
        <v>0</v>
      </c>
      <c r="AG298" s="1">
        <f>IF(AD298&lt;-20000000.0/100,1,0)</f>
        <v>0</v>
      </c>
      <c r="AH298" s="1">
        <f>IF(AF298&gt;20000000.0/100,1,0)</f>
        <v>0</v>
      </c>
      <c r="AI298" s="1">
        <f>IF(U298&lt;0,1,0)</f>
        <v>0</v>
      </c>
      <c r="AJ298" s="1">
        <f>IF(AI298=1,U298,0)</f>
        <v>0</v>
      </c>
      <c r="AK298" s="1">
        <f>IF(U298&gt;0,1,0)</f>
        <v>0</v>
      </c>
      <c r="AL298" s="1">
        <f>IF(AK298=1,U298,0)</f>
        <v>0</v>
      </c>
      <c r="AM298" s="1">
        <f>IF(AJ298&lt;-20000000.0/100,1,0)</f>
        <v>0</v>
      </c>
      <c r="AN298" s="1">
        <f>IF(AL298&gt;20000000.0/100,1,0)</f>
        <v>0</v>
      </c>
    </row>
    <row r="299" spans="1:40" s="1" customFormat="1">
      <c r="A299" s="3">
        <v>45729</v>
      </c>
      <c r="B299" s="2" t="s">
        <v>25</v>
      </c>
      <c r="C299" s="1">
        <f>SUM(PL!H299:J299)</f>
        <v>0</v>
      </c>
      <c r="D299" s="1">
        <f>SUM(PL!K299:M299)</f>
        <v>0</v>
      </c>
      <c r="E299" s="1">
        <f>SUM(PL!N299:P299)</f>
        <v>0</v>
      </c>
      <c r="F299" s="1">
        <f>SUM(PL!Q299:S299)</f>
        <v>0</v>
      </c>
      <c r="G299" s="1">
        <f>SUM(PL!T299:V299)</f>
        <v>0</v>
      </c>
      <c r="H299" s="1">
        <f>SUM(C299:G299)</f>
        <v>0</v>
      </c>
      <c r="I299" s="1">
        <f>IF(C299 + I298 &lt; 0, C299 + I298, 0)</f>
        <v>0</v>
      </c>
      <c r="J299" s="1">
        <f>IF(D299 + J298 &lt; 0, D299 + J298, 0)</f>
        <v>0</v>
      </c>
      <c r="K299" s="1">
        <f>IF(E299 + K298 &lt; 0, E299 + K298, 0)</f>
        <v>0</v>
      </c>
      <c r="L299" s="1">
        <f>IF(F299 + L298 &lt; 0, F299 + L298, 0)</f>
        <v>0</v>
      </c>
      <c r="M299" s="1">
        <f>IF(G299 + M298 &lt; 0, G299 + M298, 0)</f>
        <v>0</v>
      </c>
      <c r="N299" s="1">
        <f>IF(H299 + N298 &lt; 0, H299 + N298, 0)</f>
        <v>0</v>
      </c>
      <c r="O299" s="1">
        <f>IF(N299 &lt; 0, 1 + O298, 0)</f>
        <v>0</v>
      </c>
      <c r="P299" s="1">
        <f>C299-((ABS(SUM(PL!H299:J299)))*0.125)</f>
        <v>0</v>
      </c>
      <c r="Q299" s="1">
        <f>D299-((ABS(SUM(PL!K299:M299)))*0.125)</f>
        <v>0</v>
      </c>
      <c r="R299" s="1">
        <f>E299-((ABS(SUM(PL!N299:P299)))*0.125)</f>
        <v>0</v>
      </c>
      <c r="S299" s="1">
        <f>F299-((ABS(SUM(PL!Q299:S299)))*0.125)</f>
        <v>0</v>
      </c>
      <c r="T299" s="1">
        <f>G299-((ABS(SUM(PL!T299:V299)))*0.125)</f>
        <v>0</v>
      </c>
      <c r="U299" s="1">
        <f>P299 + Q299 + R299 + S299 + T299</f>
        <v>0</v>
      </c>
      <c r="V299" s="1">
        <f>IF(P299 + V298 &lt; 0, P299 + V298, 0)</f>
        <v>0</v>
      </c>
      <c r="W299" s="1">
        <f>IF(Q299 + W298 &lt; 0, Q299 + W298, 0)</f>
        <v>0</v>
      </c>
      <c r="X299" s="1">
        <f>IF(R299 + X298 &lt; 0, R299 + X298, 0)</f>
        <v>0</v>
      </c>
      <c r="Y299" s="1">
        <f>IF(S299 + Y298 &lt; 0, S299 + Y298, 0)</f>
        <v>0</v>
      </c>
      <c r="Z299" s="1">
        <f>IF(T299 + Z298 &lt; 0, T299 + Z298, 0)</f>
        <v>0</v>
      </c>
      <c r="AA299" s="1">
        <f>IF(U299 + AA298 &lt; 0, U299 + AA298, 0)</f>
        <v>0</v>
      </c>
      <c r="AB299" s="1">
        <f>IF(AA299 &lt; 0, 1 + AB298, 0)</f>
        <v>0</v>
      </c>
      <c r="AC299" s="1">
        <f>IF(H299&lt;0,1,0)</f>
        <v>0</v>
      </c>
      <c r="AD299" s="1">
        <f>IF(AC299=1,H299,0)</f>
        <v>0</v>
      </c>
      <c r="AE299" s="1">
        <f>IF(H299&gt;0,1,0)</f>
        <v>0</v>
      </c>
      <c r="AF299" s="1">
        <f>IF(AE299=1,H299,0)</f>
        <v>0</v>
      </c>
      <c r="AG299" s="1">
        <f>IF(AD299&lt;-20000000.0/100,1,0)</f>
        <v>0</v>
      </c>
      <c r="AH299" s="1">
        <f>IF(AF299&gt;20000000.0/100,1,0)</f>
        <v>0</v>
      </c>
      <c r="AI299" s="1">
        <f>IF(U299&lt;0,1,0)</f>
        <v>0</v>
      </c>
      <c r="AJ299" s="1">
        <f>IF(AI299=1,U299,0)</f>
        <v>0</v>
      </c>
      <c r="AK299" s="1">
        <f>IF(U299&gt;0,1,0)</f>
        <v>0</v>
      </c>
      <c r="AL299" s="1">
        <f>IF(AK299=1,U299,0)</f>
        <v>0</v>
      </c>
      <c r="AM299" s="1">
        <f>IF(AJ299&lt;-20000000.0/100,1,0)</f>
        <v>0</v>
      </c>
      <c r="AN299" s="1">
        <f>IF(AL299&gt;20000000.0/100,1,0)</f>
        <v>0</v>
      </c>
    </row>
    <row r="300" spans="1:40" s="1" customFormat="1">
      <c r="A300" s="3">
        <v>45733</v>
      </c>
      <c r="B300" s="2" t="s">
        <v>22</v>
      </c>
      <c r="C300" s="1">
        <f>SUM(PL!H300:J300)</f>
        <v>0</v>
      </c>
      <c r="D300" s="1">
        <f>SUM(PL!K300:M300)</f>
        <v>0</v>
      </c>
      <c r="E300" s="1">
        <f>SUM(PL!N300:P300)</f>
        <v>0</v>
      </c>
      <c r="F300" s="1">
        <f>SUM(PL!Q300:S300)</f>
        <v>0</v>
      </c>
      <c r="G300" s="1">
        <f>SUM(PL!T300:V300)</f>
        <v>0</v>
      </c>
      <c r="H300" s="1">
        <f>SUM(C300:G300)</f>
        <v>0</v>
      </c>
      <c r="I300" s="1">
        <f>IF(C300 + I299 &lt; 0, C300 + I299, 0)</f>
        <v>0</v>
      </c>
      <c r="J300" s="1">
        <f>IF(D300 + J299 &lt; 0, D300 + J299, 0)</f>
        <v>0</v>
      </c>
      <c r="K300" s="1">
        <f>IF(E300 + K299 &lt; 0, E300 + K299, 0)</f>
        <v>0</v>
      </c>
      <c r="L300" s="1">
        <f>IF(F300 + L299 &lt; 0, F300 + L299, 0)</f>
        <v>0</v>
      </c>
      <c r="M300" s="1">
        <f>IF(G300 + M299 &lt; 0, G300 + M299, 0)</f>
        <v>0</v>
      </c>
      <c r="N300" s="1">
        <f>IF(H300 + N299 &lt; 0, H300 + N299, 0)</f>
        <v>0</v>
      </c>
      <c r="O300" s="1">
        <f>IF(N300 &lt; 0, 1 + O299, 0)</f>
        <v>0</v>
      </c>
      <c r="P300" s="1">
        <f>C300-((ABS(SUM(PL!H300:J300)))*0.125)</f>
        <v>0</v>
      </c>
      <c r="Q300" s="1">
        <f>D300-((ABS(SUM(PL!K300:M300)))*0.125)</f>
        <v>0</v>
      </c>
      <c r="R300" s="1">
        <f>E300-((ABS(SUM(PL!N300:P300)))*0.125)</f>
        <v>0</v>
      </c>
      <c r="S300" s="1">
        <f>F300-((ABS(SUM(PL!Q300:S300)))*0.125)</f>
        <v>0</v>
      </c>
      <c r="T300" s="1">
        <f>G300-((ABS(SUM(PL!T300:V300)))*0.125)</f>
        <v>0</v>
      </c>
      <c r="U300" s="1">
        <f>P300 + Q300 + R300 + S300 + T300</f>
        <v>0</v>
      </c>
      <c r="V300" s="1">
        <f>IF(P300 + V299 &lt; 0, P300 + V299, 0)</f>
        <v>0</v>
      </c>
      <c r="W300" s="1">
        <f>IF(Q300 + W299 &lt; 0, Q300 + W299, 0)</f>
        <v>0</v>
      </c>
      <c r="X300" s="1">
        <f>IF(R300 + X299 &lt; 0, R300 + X299, 0)</f>
        <v>0</v>
      </c>
      <c r="Y300" s="1">
        <f>IF(S300 + Y299 &lt; 0, S300 + Y299, 0)</f>
        <v>0</v>
      </c>
      <c r="Z300" s="1">
        <f>IF(T300 + Z299 &lt; 0, T300 + Z299, 0)</f>
        <v>0</v>
      </c>
      <c r="AA300" s="1">
        <f>IF(U300 + AA299 &lt; 0, U300 + AA299, 0)</f>
        <v>0</v>
      </c>
      <c r="AB300" s="1">
        <f>IF(AA300 &lt; 0, 1 + AB299, 0)</f>
        <v>0</v>
      </c>
      <c r="AC300" s="1">
        <f>IF(H300&lt;0,1,0)</f>
        <v>0</v>
      </c>
      <c r="AD300" s="1">
        <f>IF(AC300=1,H300,0)</f>
        <v>0</v>
      </c>
      <c r="AE300" s="1">
        <f>IF(H300&gt;0,1,0)</f>
        <v>0</v>
      </c>
      <c r="AF300" s="1">
        <f>IF(AE300=1,H300,0)</f>
        <v>0</v>
      </c>
      <c r="AG300" s="1">
        <f>IF(AD300&lt;-20000000.0/100,1,0)</f>
        <v>0</v>
      </c>
      <c r="AH300" s="1">
        <f>IF(AF300&gt;20000000.0/100,1,0)</f>
        <v>0</v>
      </c>
      <c r="AI300" s="1">
        <f>IF(U300&lt;0,1,0)</f>
        <v>0</v>
      </c>
      <c r="AJ300" s="1">
        <f>IF(AI300=1,U300,0)</f>
        <v>0</v>
      </c>
      <c r="AK300" s="1">
        <f>IF(U300&gt;0,1,0)</f>
        <v>0</v>
      </c>
      <c r="AL300" s="1">
        <f>IF(AK300=1,U300,0)</f>
        <v>0</v>
      </c>
      <c r="AM300" s="1">
        <f>IF(AJ300&lt;-20000000.0/100,1,0)</f>
        <v>0</v>
      </c>
      <c r="AN300" s="1">
        <f>IF(AL300&gt;20000000.0/100,1,0)</f>
        <v>0</v>
      </c>
    </row>
    <row r="301" spans="1:40" s="1" customFormat="1">
      <c r="A301" s="3">
        <v>45734</v>
      </c>
      <c r="B301" s="2" t="s">
        <v>23</v>
      </c>
      <c r="C301" s="1">
        <f>SUM(PL!H301:J301)</f>
        <v>0</v>
      </c>
      <c r="D301" s="1">
        <f>SUM(PL!K301:M301)</f>
        <v>0</v>
      </c>
      <c r="E301" s="1">
        <f>SUM(PL!N301:P301)</f>
        <v>0</v>
      </c>
      <c r="F301" s="1">
        <f>SUM(PL!Q301:S301)</f>
        <v>0</v>
      </c>
      <c r="G301" s="1">
        <f>SUM(PL!T301:V301)</f>
        <v>0</v>
      </c>
      <c r="H301" s="1">
        <f>SUM(C301:G301)</f>
        <v>0</v>
      </c>
      <c r="I301" s="1">
        <f>IF(C301 + I300 &lt; 0, C301 + I300, 0)</f>
        <v>0</v>
      </c>
      <c r="J301" s="1">
        <f>IF(D301 + J300 &lt; 0, D301 + J300, 0)</f>
        <v>0</v>
      </c>
      <c r="K301" s="1">
        <f>IF(E301 + K300 &lt; 0, E301 + K300, 0)</f>
        <v>0</v>
      </c>
      <c r="L301" s="1">
        <f>IF(F301 + L300 &lt; 0, F301 + L300, 0)</f>
        <v>0</v>
      </c>
      <c r="M301" s="1">
        <f>IF(G301 + M300 &lt; 0, G301 + M300, 0)</f>
        <v>0</v>
      </c>
      <c r="N301" s="1">
        <f>IF(H301 + N300 &lt; 0, H301 + N300, 0)</f>
        <v>0</v>
      </c>
      <c r="O301" s="1">
        <f>IF(N301 &lt; 0, 1 + O300, 0)</f>
        <v>0</v>
      </c>
      <c r="P301" s="1">
        <f>C301-((ABS(SUM(PL!H301:J301)))*0.125)</f>
        <v>0</v>
      </c>
      <c r="Q301" s="1">
        <f>D301-((ABS(SUM(PL!K301:M301)))*0.125)</f>
        <v>0</v>
      </c>
      <c r="R301" s="1">
        <f>E301-((ABS(SUM(PL!N301:P301)))*0.125)</f>
        <v>0</v>
      </c>
      <c r="S301" s="1">
        <f>F301-((ABS(SUM(PL!Q301:S301)))*0.125)</f>
        <v>0</v>
      </c>
      <c r="T301" s="1">
        <f>G301-((ABS(SUM(PL!T301:V301)))*0.125)</f>
        <v>0</v>
      </c>
      <c r="U301" s="1">
        <f>P301 + Q301 + R301 + S301 + T301</f>
        <v>0</v>
      </c>
      <c r="V301" s="1">
        <f>IF(P301 + V300 &lt; 0, P301 + V300, 0)</f>
        <v>0</v>
      </c>
      <c r="W301" s="1">
        <f>IF(Q301 + W300 &lt; 0, Q301 + W300, 0)</f>
        <v>0</v>
      </c>
      <c r="X301" s="1">
        <f>IF(R301 + X300 &lt; 0, R301 + X300, 0)</f>
        <v>0</v>
      </c>
      <c r="Y301" s="1">
        <f>IF(S301 + Y300 &lt; 0, S301 + Y300, 0)</f>
        <v>0</v>
      </c>
      <c r="Z301" s="1">
        <f>IF(T301 + Z300 &lt; 0, T301 + Z300, 0)</f>
        <v>0</v>
      </c>
      <c r="AA301" s="1">
        <f>IF(U301 + AA300 &lt; 0, U301 + AA300, 0)</f>
        <v>0</v>
      </c>
      <c r="AB301" s="1">
        <f>IF(AA301 &lt; 0, 1 + AB300, 0)</f>
        <v>0</v>
      </c>
      <c r="AC301" s="1">
        <f>IF(H301&lt;0,1,0)</f>
        <v>0</v>
      </c>
      <c r="AD301" s="1">
        <f>IF(AC301=1,H301,0)</f>
        <v>0</v>
      </c>
      <c r="AE301" s="1">
        <f>IF(H301&gt;0,1,0)</f>
        <v>0</v>
      </c>
      <c r="AF301" s="1">
        <f>IF(AE301=1,H301,0)</f>
        <v>0</v>
      </c>
      <c r="AG301" s="1">
        <f>IF(AD301&lt;-20000000.0/100,1,0)</f>
        <v>0</v>
      </c>
      <c r="AH301" s="1">
        <f>IF(AF301&gt;20000000.0/100,1,0)</f>
        <v>0</v>
      </c>
      <c r="AI301" s="1">
        <f>IF(U301&lt;0,1,0)</f>
        <v>0</v>
      </c>
      <c r="AJ301" s="1">
        <f>IF(AI301=1,U301,0)</f>
        <v>0</v>
      </c>
      <c r="AK301" s="1">
        <f>IF(U301&gt;0,1,0)</f>
        <v>0</v>
      </c>
      <c r="AL301" s="1">
        <f>IF(AK301=1,U301,0)</f>
        <v>0</v>
      </c>
      <c r="AM301" s="1">
        <f>IF(AJ301&lt;-20000000.0/100,1,0)</f>
        <v>0</v>
      </c>
      <c r="AN301" s="1">
        <f>IF(AL301&gt;20000000.0/100,1,0)</f>
        <v>0</v>
      </c>
    </row>
    <row r="302" spans="1:40" s="1" customFormat="1">
      <c r="A302" s="3">
        <v>45735</v>
      </c>
      <c r="B302" s="2" t="s">
        <v>24</v>
      </c>
      <c r="C302" s="1">
        <f>SUM(PL!H302:J302)</f>
        <v>0</v>
      </c>
      <c r="D302" s="1">
        <f>SUM(PL!K302:M302)</f>
        <v>0</v>
      </c>
      <c r="E302" s="1">
        <f>SUM(PL!N302:P302)</f>
        <v>0</v>
      </c>
      <c r="F302" s="1">
        <f>SUM(PL!Q302:S302)</f>
        <v>0</v>
      </c>
      <c r="G302" s="1">
        <f>SUM(PL!T302:V302)</f>
        <v>0</v>
      </c>
      <c r="H302" s="1">
        <f>SUM(C302:G302)</f>
        <v>0</v>
      </c>
      <c r="I302" s="1">
        <f>IF(C302 + I301 &lt; 0, C302 + I301, 0)</f>
        <v>0</v>
      </c>
      <c r="J302" s="1">
        <f>IF(D302 + J301 &lt; 0, D302 + J301, 0)</f>
        <v>0</v>
      </c>
      <c r="K302" s="1">
        <f>IF(E302 + K301 &lt; 0, E302 + K301, 0)</f>
        <v>0</v>
      </c>
      <c r="L302" s="1">
        <f>IF(F302 + L301 &lt; 0, F302 + L301, 0)</f>
        <v>0</v>
      </c>
      <c r="M302" s="1">
        <f>IF(G302 + M301 &lt; 0, G302 + M301, 0)</f>
        <v>0</v>
      </c>
      <c r="N302" s="1">
        <f>IF(H302 + N301 &lt; 0, H302 + N301, 0)</f>
        <v>0</v>
      </c>
      <c r="O302" s="1">
        <f>IF(N302 &lt; 0, 1 + O301, 0)</f>
        <v>0</v>
      </c>
      <c r="P302" s="1">
        <f>C302-((ABS(SUM(PL!H302:J302)))*0.125)</f>
        <v>0</v>
      </c>
      <c r="Q302" s="1">
        <f>D302-((ABS(SUM(PL!K302:M302)))*0.125)</f>
        <v>0</v>
      </c>
      <c r="R302" s="1">
        <f>E302-((ABS(SUM(PL!N302:P302)))*0.125)</f>
        <v>0</v>
      </c>
      <c r="S302" s="1">
        <f>F302-((ABS(SUM(PL!Q302:S302)))*0.125)</f>
        <v>0</v>
      </c>
      <c r="T302" s="1">
        <f>G302-((ABS(SUM(PL!T302:V302)))*0.125)</f>
        <v>0</v>
      </c>
      <c r="U302" s="1">
        <f>P302 + Q302 + R302 + S302 + T302</f>
        <v>0</v>
      </c>
      <c r="V302" s="1">
        <f>IF(P302 + V301 &lt; 0, P302 + V301, 0)</f>
        <v>0</v>
      </c>
      <c r="W302" s="1">
        <f>IF(Q302 + W301 &lt; 0, Q302 + W301, 0)</f>
        <v>0</v>
      </c>
      <c r="X302" s="1">
        <f>IF(R302 + X301 &lt; 0, R302 + X301, 0)</f>
        <v>0</v>
      </c>
      <c r="Y302" s="1">
        <f>IF(S302 + Y301 &lt; 0, S302 + Y301, 0)</f>
        <v>0</v>
      </c>
      <c r="Z302" s="1">
        <f>IF(T302 + Z301 &lt; 0, T302 + Z301, 0)</f>
        <v>0</v>
      </c>
      <c r="AA302" s="1">
        <f>IF(U302 + AA301 &lt; 0, U302 + AA301, 0)</f>
        <v>0</v>
      </c>
      <c r="AB302" s="1">
        <f>IF(AA302 &lt; 0, 1 + AB301, 0)</f>
        <v>0</v>
      </c>
      <c r="AC302" s="1">
        <f>IF(H302&lt;0,1,0)</f>
        <v>0</v>
      </c>
      <c r="AD302" s="1">
        <f>IF(AC302=1,H302,0)</f>
        <v>0</v>
      </c>
      <c r="AE302" s="1">
        <f>IF(H302&gt;0,1,0)</f>
        <v>0</v>
      </c>
      <c r="AF302" s="1">
        <f>IF(AE302=1,H302,0)</f>
        <v>0</v>
      </c>
      <c r="AG302" s="1">
        <f>IF(AD302&lt;-20000000.0/100,1,0)</f>
        <v>0</v>
      </c>
      <c r="AH302" s="1">
        <f>IF(AF302&gt;20000000.0/100,1,0)</f>
        <v>0</v>
      </c>
      <c r="AI302" s="1">
        <f>IF(U302&lt;0,1,0)</f>
        <v>0</v>
      </c>
      <c r="AJ302" s="1">
        <f>IF(AI302=1,U302,0)</f>
        <v>0</v>
      </c>
      <c r="AK302" s="1">
        <f>IF(U302&gt;0,1,0)</f>
        <v>0</v>
      </c>
      <c r="AL302" s="1">
        <f>IF(AK302=1,U302,0)</f>
        <v>0</v>
      </c>
      <c r="AM302" s="1">
        <f>IF(AJ302&lt;-20000000.0/100,1,0)</f>
        <v>0</v>
      </c>
      <c r="AN302" s="1">
        <f>IF(AL302&gt;20000000.0/100,1,0)</f>
        <v>0</v>
      </c>
    </row>
    <row r="303" spans="1:40" s="1" customFormat="1">
      <c r="A303" s="3">
        <v>45736</v>
      </c>
      <c r="B303" s="2" t="s">
        <v>25</v>
      </c>
      <c r="C303" s="1">
        <f>SUM(PL!H303:J303)</f>
        <v>0</v>
      </c>
      <c r="D303" s="1">
        <f>SUM(PL!K303:M303)</f>
        <v>0</v>
      </c>
      <c r="E303" s="1">
        <f>SUM(PL!N303:P303)</f>
        <v>0</v>
      </c>
      <c r="F303" s="1">
        <f>SUM(PL!Q303:S303)</f>
        <v>0</v>
      </c>
      <c r="G303" s="1">
        <f>SUM(PL!T303:V303)</f>
        <v>0</v>
      </c>
      <c r="H303" s="1">
        <f>SUM(C303:G303)</f>
        <v>0</v>
      </c>
      <c r="I303" s="1">
        <f>IF(C303 + I302 &lt; 0, C303 + I302, 0)</f>
        <v>0</v>
      </c>
      <c r="J303" s="1">
        <f>IF(D303 + J302 &lt; 0, D303 + J302, 0)</f>
        <v>0</v>
      </c>
      <c r="K303" s="1">
        <f>IF(E303 + K302 &lt; 0, E303 + K302, 0)</f>
        <v>0</v>
      </c>
      <c r="L303" s="1">
        <f>IF(F303 + L302 &lt; 0, F303 + L302, 0)</f>
        <v>0</v>
      </c>
      <c r="M303" s="1">
        <f>IF(G303 + M302 &lt; 0, G303 + M302, 0)</f>
        <v>0</v>
      </c>
      <c r="N303" s="1">
        <f>IF(H303 + N302 &lt; 0, H303 + N302, 0)</f>
        <v>0</v>
      </c>
      <c r="O303" s="1">
        <f>IF(N303 &lt; 0, 1 + O302, 0)</f>
        <v>0</v>
      </c>
      <c r="P303" s="1">
        <f>C303-((ABS(SUM(PL!H303:J303)))*0.125)</f>
        <v>0</v>
      </c>
      <c r="Q303" s="1">
        <f>D303-((ABS(SUM(PL!K303:M303)))*0.125)</f>
        <v>0</v>
      </c>
      <c r="R303" s="1">
        <f>E303-((ABS(SUM(PL!N303:P303)))*0.125)</f>
        <v>0</v>
      </c>
      <c r="S303" s="1">
        <f>F303-((ABS(SUM(PL!Q303:S303)))*0.125)</f>
        <v>0</v>
      </c>
      <c r="T303" s="1">
        <f>G303-((ABS(SUM(PL!T303:V303)))*0.125)</f>
        <v>0</v>
      </c>
      <c r="U303" s="1">
        <f>P303 + Q303 + R303 + S303 + T303</f>
        <v>0</v>
      </c>
      <c r="V303" s="1">
        <f>IF(P303 + V302 &lt; 0, P303 + V302, 0)</f>
        <v>0</v>
      </c>
      <c r="W303" s="1">
        <f>IF(Q303 + W302 &lt; 0, Q303 + W302, 0)</f>
        <v>0</v>
      </c>
      <c r="X303" s="1">
        <f>IF(R303 + X302 &lt; 0, R303 + X302, 0)</f>
        <v>0</v>
      </c>
      <c r="Y303" s="1">
        <f>IF(S303 + Y302 &lt; 0, S303 + Y302, 0)</f>
        <v>0</v>
      </c>
      <c r="Z303" s="1">
        <f>IF(T303 + Z302 &lt; 0, T303 + Z302, 0)</f>
        <v>0</v>
      </c>
      <c r="AA303" s="1">
        <f>IF(U303 + AA302 &lt; 0, U303 + AA302, 0)</f>
        <v>0</v>
      </c>
      <c r="AB303" s="1">
        <f>IF(AA303 &lt; 0, 1 + AB302, 0)</f>
        <v>0</v>
      </c>
      <c r="AC303" s="1">
        <f>IF(H303&lt;0,1,0)</f>
        <v>0</v>
      </c>
      <c r="AD303" s="1">
        <f>IF(AC303=1,H303,0)</f>
        <v>0</v>
      </c>
      <c r="AE303" s="1">
        <f>IF(H303&gt;0,1,0)</f>
        <v>0</v>
      </c>
      <c r="AF303" s="1">
        <f>IF(AE303=1,H303,0)</f>
        <v>0</v>
      </c>
      <c r="AG303" s="1">
        <f>IF(AD303&lt;-20000000.0/100,1,0)</f>
        <v>0</v>
      </c>
      <c r="AH303" s="1">
        <f>IF(AF303&gt;20000000.0/100,1,0)</f>
        <v>0</v>
      </c>
      <c r="AI303" s="1">
        <f>IF(U303&lt;0,1,0)</f>
        <v>0</v>
      </c>
      <c r="AJ303" s="1">
        <f>IF(AI303=1,U303,0)</f>
        <v>0</v>
      </c>
      <c r="AK303" s="1">
        <f>IF(U303&gt;0,1,0)</f>
        <v>0</v>
      </c>
      <c r="AL303" s="1">
        <f>IF(AK303=1,U303,0)</f>
        <v>0</v>
      </c>
      <c r="AM303" s="1">
        <f>IF(AJ303&lt;-20000000.0/100,1,0)</f>
        <v>0</v>
      </c>
      <c r="AN303" s="1">
        <f>IF(AL303&gt;20000000.0/100,1,0)</f>
        <v>0</v>
      </c>
    </row>
    <row r="304" spans="1:40" s="1" customFormat="1">
      <c r="A304" s="3">
        <v>45737</v>
      </c>
      <c r="B304" s="2" t="s">
        <v>26</v>
      </c>
      <c r="C304" s="1">
        <f>SUM(PL!H304:J304)</f>
        <v>0</v>
      </c>
      <c r="D304" s="1">
        <f>SUM(PL!K304:M304)</f>
        <v>0</v>
      </c>
      <c r="E304" s="1">
        <f>SUM(PL!N304:P304)</f>
        <v>0</v>
      </c>
      <c r="F304" s="1">
        <f>SUM(PL!Q304:S304)</f>
        <v>0</v>
      </c>
      <c r="G304" s="1">
        <f>SUM(PL!T304:V304)</f>
        <v>0</v>
      </c>
      <c r="H304" s="1">
        <f>SUM(C304:G304)</f>
        <v>0</v>
      </c>
      <c r="I304" s="1">
        <f>IF(C304 + I303 &lt; 0, C304 + I303, 0)</f>
        <v>0</v>
      </c>
      <c r="J304" s="1">
        <f>IF(D304 + J303 &lt; 0, D304 + J303, 0)</f>
        <v>0</v>
      </c>
      <c r="K304" s="1">
        <f>IF(E304 + K303 &lt; 0, E304 + K303, 0)</f>
        <v>0</v>
      </c>
      <c r="L304" s="1">
        <f>IF(F304 + L303 &lt; 0, F304 + L303, 0)</f>
        <v>0</v>
      </c>
      <c r="M304" s="1">
        <f>IF(G304 + M303 &lt; 0, G304 + M303, 0)</f>
        <v>0</v>
      </c>
      <c r="N304" s="1">
        <f>IF(H304 + N303 &lt; 0, H304 + N303, 0)</f>
        <v>0</v>
      </c>
      <c r="O304" s="1">
        <f>IF(N304 &lt; 0, 1 + O303, 0)</f>
        <v>0</v>
      </c>
      <c r="P304" s="1">
        <f>C304-((ABS(SUM(PL!H304:J304)))*0.125)</f>
        <v>0</v>
      </c>
      <c r="Q304" s="1">
        <f>D304-((ABS(SUM(PL!K304:M304)))*0.125)</f>
        <v>0</v>
      </c>
      <c r="R304" s="1">
        <f>E304-((ABS(SUM(PL!N304:P304)))*0.125)</f>
        <v>0</v>
      </c>
      <c r="S304" s="1">
        <f>F304-((ABS(SUM(PL!Q304:S304)))*0.125)</f>
        <v>0</v>
      </c>
      <c r="T304" s="1">
        <f>G304-((ABS(SUM(PL!T304:V304)))*0.125)</f>
        <v>0</v>
      </c>
      <c r="U304" s="1">
        <f>P304 + Q304 + R304 + S304 + T304</f>
        <v>0</v>
      </c>
      <c r="V304" s="1">
        <f>IF(P304 + V303 &lt; 0, P304 + V303, 0)</f>
        <v>0</v>
      </c>
      <c r="W304" s="1">
        <f>IF(Q304 + W303 &lt; 0, Q304 + W303, 0)</f>
        <v>0</v>
      </c>
      <c r="X304" s="1">
        <f>IF(R304 + X303 &lt; 0, R304 + X303, 0)</f>
        <v>0</v>
      </c>
      <c r="Y304" s="1">
        <f>IF(S304 + Y303 &lt; 0, S304 + Y303, 0)</f>
        <v>0</v>
      </c>
      <c r="Z304" s="1">
        <f>IF(T304 + Z303 &lt; 0, T304 + Z303, 0)</f>
        <v>0</v>
      </c>
      <c r="AA304" s="1">
        <f>IF(U304 + AA303 &lt; 0, U304 + AA303, 0)</f>
        <v>0</v>
      </c>
      <c r="AB304" s="1">
        <f>IF(AA304 &lt; 0, 1 + AB303, 0)</f>
        <v>0</v>
      </c>
      <c r="AC304" s="1">
        <f>IF(H304&lt;0,1,0)</f>
        <v>0</v>
      </c>
      <c r="AD304" s="1">
        <f>IF(AC304=1,H304,0)</f>
        <v>0</v>
      </c>
      <c r="AE304" s="1">
        <f>IF(H304&gt;0,1,0)</f>
        <v>0</v>
      </c>
      <c r="AF304" s="1">
        <f>IF(AE304=1,H304,0)</f>
        <v>0</v>
      </c>
      <c r="AG304" s="1">
        <f>IF(AD304&lt;-20000000.0/100,1,0)</f>
        <v>0</v>
      </c>
      <c r="AH304" s="1">
        <f>IF(AF304&gt;20000000.0/100,1,0)</f>
        <v>0</v>
      </c>
      <c r="AI304" s="1">
        <f>IF(U304&lt;0,1,0)</f>
        <v>0</v>
      </c>
      <c r="AJ304" s="1">
        <f>IF(AI304=1,U304,0)</f>
        <v>0</v>
      </c>
      <c r="AK304" s="1">
        <f>IF(U304&gt;0,1,0)</f>
        <v>0</v>
      </c>
      <c r="AL304" s="1">
        <f>IF(AK304=1,U304,0)</f>
        <v>0</v>
      </c>
      <c r="AM304" s="1">
        <f>IF(AJ304&lt;-20000000.0/100,1,0)</f>
        <v>0</v>
      </c>
      <c r="AN304" s="1">
        <f>IF(AL304&gt;20000000.0/100,1,0)</f>
        <v>0</v>
      </c>
    </row>
    <row r="305" spans="1:40" s="1" customFormat="1">
      <c r="A305" s="3">
        <v>45740</v>
      </c>
      <c r="B305" s="2" t="s">
        <v>22</v>
      </c>
      <c r="C305" s="1">
        <f>SUM(PL!H305:J305)</f>
        <v>0</v>
      </c>
      <c r="D305" s="1">
        <f>SUM(PL!K305:M305)</f>
        <v>0</v>
      </c>
      <c r="E305" s="1">
        <f>SUM(PL!N305:P305)</f>
        <v>0</v>
      </c>
      <c r="F305" s="1">
        <f>SUM(PL!Q305:S305)</f>
        <v>0</v>
      </c>
      <c r="G305" s="1">
        <f>SUM(PL!T305:V305)</f>
        <v>0</v>
      </c>
      <c r="H305" s="1">
        <f>SUM(C305:G305)</f>
        <v>0</v>
      </c>
      <c r="I305" s="1">
        <f>IF(C305 + I304 &lt; 0, C305 + I304, 0)</f>
        <v>0</v>
      </c>
      <c r="J305" s="1">
        <f>IF(D305 + J304 &lt; 0, D305 + J304, 0)</f>
        <v>0</v>
      </c>
      <c r="K305" s="1">
        <f>IF(E305 + K304 &lt; 0, E305 + K304, 0)</f>
        <v>0</v>
      </c>
      <c r="L305" s="1">
        <f>IF(F305 + L304 &lt; 0, F305 + L304, 0)</f>
        <v>0</v>
      </c>
      <c r="M305" s="1">
        <f>IF(G305 + M304 &lt; 0, G305 + M304, 0)</f>
        <v>0</v>
      </c>
      <c r="N305" s="1">
        <f>IF(H305 + N304 &lt; 0, H305 + N304, 0)</f>
        <v>0</v>
      </c>
      <c r="O305" s="1">
        <f>IF(N305 &lt; 0, 1 + O304, 0)</f>
        <v>0</v>
      </c>
      <c r="P305" s="1">
        <f>C305-((ABS(SUM(PL!H305:J305)))*0.125)</f>
        <v>0</v>
      </c>
      <c r="Q305" s="1">
        <f>D305-((ABS(SUM(PL!K305:M305)))*0.125)</f>
        <v>0</v>
      </c>
      <c r="R305" s="1">
        <f>E305-((ABS(SUM(PL!N305:P305)))*0.125)</f>
        <v>0</v>
      </c>
      <c r="S305" s="1">
        <f>F305-((ABS(SUM(PL!Q305:S305)))*0.125)</f>
        <v>0</v>
      </c>
      <c r="T305" s="1">
        <f>G305-((ABS(SUM(PL!T305:V305)))*0.125)</f>
        <v>0</v>
      </c>
      <c r="U305" s="1">
        <f>P305 + Q305 + R305 + S305 + T305</f>
        <v>0</v>
      </c>
      <c r="V305" s="1">
        <f>IF(P305 + V304 &lt; 0, P305 + V304, 0)</f>
        <v>0</v>
      </c>
      <c r="W305" s="1">
        <f>IF(Q305 + W304 &lt; 0, Q305 + W304, 0)</f>
        <v>0</v>
      </c>
      <c r="X305" s="1">
        <f>IF(R305 + X304 &lt; 0, R305 + X304, 0)</f>
        <v>0</v>
      </c>
      <c r="Y305" s="1">
        <f>IF(S305 + Y304 &lt; 0, S305 + Y304, 0)</f>
        <v>0</v>
      </c>
      <c r="Z305" s="1">
        <f>IF(T305 + Z304 &lt; 0, T305 + Z304, 0)</f>
        <v>0</v>
      </c>
      <c r="AA305" s="1">
        <f>IF(U305 + AA304 &lt; 0, U305 + AA304, 0)</f>
        <v>0</v>
      </c>
      <c r="AB305" s="1">
        <f>IF(AA305 &lt; 0, 1 + AB304, 0)</f>
        <v>0</v>
      </c>
      <c r="AC305" s="1">
        <f>IF(H305&lt;0,1,0)</f>
        <v>0</v>
      </c>
      <c r="AD305" s="1">
        <f>IF(AC305=1,H305,0)</f>
        <v>0</v>
      </c>
      <c r="AE305" s="1">
        <f>IF(H305&gt;0,1,0)</f>
        <v>0</v>
      </c>
      <c r="AF305" s="1">
        <f>IF(AE305=1,H305,0)</f>
        <v>0</v>
      </c>
      <c r="AG305" s="1">
        <f>IF(AD305&lt;-20000000.0/100,1,0)</f>
        <v>0</v>
      </c>
      <c r="AH305" s="1">
        <f>IF(AF305&gt;20000000.0/100,1,0)</f>
        <v>0</v>
      </c>
      <c r="AI305" s="1">
        <f>IF(U305&lt;0,1,0)</f>
        <v>0</v>
      </c>
      <c r="AJ305" s="1">
        <f>IF(AI305=1,U305,0)</f>
        <v>0</v>
      </c>
      <c r="AK305" s="1">
        <f>IF(U305&gt;0,1,0)</f>
        <v>0</v>
      </c>
      <c r="AL305" s="1">
        <f>IF(AK305=1,U305,0)</f>
        <v>0</v>
      </c>
      <c r="AM305" s="1">
        <f>IF(AJ305&lt;-20000000.0/100,1,0)</f>
        <v>0</v>
      </c>
      <c r="AN305" s="1">
        <f>IF(AL305&gt;20000000.0/100,1,0)</f>
        <v>0</v>
      </c>
    </row>
    <row r="306" spans="1:40" s="1" customFormat="1">
      <c r="A306" s="3">
        <v>45741</v>
      </c>
      <c r="B306" s="2" t="s">
        <v>23</v>
      </c>
      <c r="C306" s="1">
        <f>SUM(PL!H306:J306)</f>
        <v>0</v>
      </c>
      <c r="D306" s="1">
        <f>SUM(PL!K306:M306)</f>
        <v>0</v>
      </c>
      <c r="E306" s="1">
        <f>SUM(PL!N306:P306)</f>
        <v>0</v>
      </c>
      <c r="F306" s="1">
        <f>SUM(PL!Q306:S306)</f>
        <v>0</v>
      </c>
      <c r="G306" s="1">
        <f>SUM(PL!T306:V306)</f>
        <v>0</v>
      </c>
      <c r="H306" s="1">
        <f>SUM(C306:G306)</f>
        <v>0</v>
      </c>
      <c r="I306" s="1">
        <f>IF(C306 + I305 &lt; 0, C306 + I305, 0)</f>
        <v>0</v>
      </c>
      <c r="J306" s="1">
        <f>IF(D306 + J305 &lt; 0, D306 + J305, 0)</f>
        <v>0</v>
      </c>
      <c r="K306" s="1">
        <f>IF(E306 + K305 &lt; 0, E306 + K305, 0)</f>
        <v>0</v>
      </c>
      <c r="L306" s="1">
        <f>IF(F306 + L305 &lt; 0, F306 + L305, 0)</f>
        <v>0</v>
      </c>
      <c r="M306" s="1">
        <f>IF(G306 + M305 &lt; 0, G306 + M305, 0)</f>
        <v>0</v>
      </c>
      <c r="N306" s="1">
        <f>IF(H306 + N305 &lt; 0, H306 + N305, 0)</f>
        <v>0</v>
      </c>
      <c r="O306" s="1">
        <f>IF(N306 &lt; 0, 1 + O305, 0)</f>
        <v>0</v>
      </c>
      <c r="P306" s="1">
        <f>C306-((ABS(SUM(PL!H306:J306)))*0.125)</f>
        <v>0</v>
      </c>
      <c r="Q306" s="1">
        <f>D306-((ABS(SUM(PL!K306:M306)))*0.125)</f>
        <v>0</v>
      </c>
      <c r="R306" s="1">
        <f>E306-((ABS(SUM(PL!N306:P306)))*0.125)</f>
        <v>0</v>
      </c>
      <c r="S306" s="1">
        <f>F306-((ABS(SUM(PL!Q306:S306)))*0.125)</f>
        <v>0</v>
      </c>
      <c r="T306" s="1">
        <f>G306-((ABS(SUM(PL!T306:V306)))*0.125)</f>
        <v>0</v>
      </c>
      <c r="U306" s="1">
        <f>P306 + Q306 + R306 + S306 + T306</f>
        <v>0</v>
      </c>
      <c r="V306" s="1">
        <f>IF(P306 + V305 &lt; 0, P306 + V305, 0)</f>
        <v>0</v>
      </c>
      <c r="W306" s="1">
        <f>IF(Q306 + W305 &lt; 0, Q306 + W305, 0)</f>
        <v>0</v>
      </c>
      <c r="X306" s="1">
        <f>IF(R306 + X305 &lt; 0, R306 + X305, 0)</f>
        <v>0</v>
      </c>
      <c r="Y306" s="1">
        <f>IF(S306 + Y305 &lt; 0, S306 + Y305, 0)</f>
        <v>0</v>
      </c>
      <c r="Z306" s="1">
        <f>IF(T306 + Z305 &lt; 0, T306 + Z305, 0)</f>
        <v>0</v>
      </c>
      <c r="AA306" s="1">
        <f>IF(U306 + AA305 &lt; 0, U306 + AA305, 0)</f>
        <v>0</v>
      </c>
      <c r="AB306" s="1">
        <f>IF(AA306 &lt; 0, 1 + AB305, 0)</f>
        <v>0</v>
      </c>
      <c r="AC306" s="1">
        <f>IF(H306&lt;0,1,0)</f>
        <v>0</v>
      </c>
      <c r="AD306" s="1">
        <f>IF(AC306=1,H306,0)</f>
        <v>0</v>
      </c>
      <c r="AE306" s="1">
        <f>IF(H306&gt;0,1,0)</f>
        <v>0</v>
      </c>
      <c r="AF306" s="1">
        <f>IF(AE306=1,H306,0)</f>
        <v>0</v>
      </c>
      <c r="AG306" s="1">
        <f>IF(AD306&lt;-20000000.0/100,1,0)</f>
        <v>0</v>
      </c>
      <c r="AH306" s="1">
        <f>IF(AF306&gt;20000000.0/100,1,0)</f>
        <v>0</v>
      </c>
      <c r="AI306" s="1">
        <f>IF(U306&lt;0,1,0)</f>
        <v>0</v>
      </c>
      <c r="AJ306" s="1">
        <f>IF(AI306=1,U306,0)</f>
        <v>0</v>
      </c>
      <c r="AK306" s="1">
        <f>IF(U306&gt;0,1,0)</f>
        <v>0</v>
      </c>
      <c r="AL306" s="1">
        <f>IF(AK306=1,U306,0)</f>
        <v>0</v>
      </c>
      <c r="AM306" s="1">
        <f>IF(AJ306&lt;-20000000.0/100,1,0)</f>
        <v>0</v>
      </c>
      <c r="AN306" s="1">
        <f>IF(AL306&gt;20000000.0/100,1,0)</f>
        <v>0</v>
      </c>
    </row>
    <row r="307" spans="1:40" s="1" customFormat="1">
      <c r="A307" s="3">
        <v>45742</v>
      </c>
      <c r="B307" s="2" t="s">
        <v>24</v>
      </c>
      <c r="C307" s="1">
        <f>SUM(PL!H307:J307)</f>
        <v>0</v>
      </c>
      <c r="D307" s="1">
        <f>SUM(PL!K307:M307)</f>
        <v>0</v>
      </c>
      <c r="E307" s="1">
        <f>SUM(PL!N307:P307)</f>
        <v>0</v>
      </c>
      <c r="F307" s="1">
        <f>SUM(PL!Q307:S307)</f>
        <v>0</v>
      </c>
      <c r="G307" s="1">
        <f>SUM(PL!T307:V307)</f>
        <v>0</v>
      </c>
      <c r="H307" s="1">
        <f>SUM(C307:G307)</f>
        <v>0</v>
      </c>
      <c r="I307" s="1">
        <f>IF(C307 + I306 &lt; 0, C307 + I306, 0)</f>
        <v>0</v>
      </c>
      <c r="J307" s="1">
        <f>IF(D307 + J306 &lt; 0, D307 + J306, 0)</f>
        <v>0</v>
      </c>
      <c r="K307" s="1">
        <f>IF(E307 + K306 &lt; 0, E307 + K306, 0)</f>
        <v>0</v>
      </c>
      <c r="L307" s="1">
        <f>IF(F307 + L306 &lt; 0, F307 + L306, 0)</f>
        <v>0</v>
      </c>
      <c r="M307" s="1">
        <f>IF(G307 + M306 &lt; 0, G307 + M306, 0)</f>
        <v>0</v>
      </c>
      <c r="N307" s="1">
        <f>IF(H307 + N306 &lt; 0, H307 + N306, 0)</f>
        <v>0</v>
      </c>
      <c r="O307" s="1">
        <f>IF(N307 &lt; 0, 1 + O306, 0)</f>
        <v>0</v>
      </c>
      <c r="P307" s="1">
        <f>C307-((ABS(SUM(PL!H307:J307)))*0.125)</f>
        <v>0</v>
      </c>
      <c r="Q307" s="1">
        <f>D307-((ABS(SUM(PL!K307:M307)))*0.125)</f>
        <v>0</v>
      </c>
      <c r="R307" s="1">
        <f>E307-((ABS(SUM(PL!N307:P307)))*0.125)</f>
        <v>0</v>
      </c>
      <c r="S307" s="1">
        <f>F307-((ABS(SUM(PL!Q307:S307)))*0.125)</f>
        <v>0</v>
      </c>
      <c r="T307" s="1">
        <f>G307-((ABS(SUM(PL!T307:V307)))*0.125)</f>
        <v>0</v>
      </c>
      <c r="U307" s="1">
        <f>P307 + Q307 + R307 + S307 + T307</f>
        <v>0</v>
      </c>
      <c r="V307" s="1">
        <f>IF(P307 + V306 &lt; 0, P307 + V306, 0)</f>
        <v>0</v>
      </c>
      <c r="W307" s="1">
        <f>IF(Q307 + W306 &lt; 0, Q307 + W306, 0)</f>
        <v>0</v>
      </c>
      <c r="X307" s="1">
        <f>IF(R307 + X306 &lt; 0, R307 + X306, 0)</f>
        <v>0</v>
      </c>
      <c r="Y307" s="1">
        <f>IF(S307 + Y306 &lt; 0, S307 + Y306, 0)</f>
        <v>0</v>
      </c>
      <c r="Z307" s="1">
        <f>IF(T307 + Z306 &lt; 0, T307 + Z306, 0)</f>
        <v>0</v>
      </c>
      <c r="AA307" s="1">
        <f>IF(U307 + AA306 &lt; 0, U307 + AA306, 0)</f>
        <v>0</v>
      </c>
      <c r="AB307" s="1">
        <f>IF(AA307 &lt; 0, 1 + AB306, 0)</f>
        <v>0</v>
      </c>
      <c r="AC307" s="1">
        <f>IF(H307&lt;0,1,0)</f>
        <v>0</v>
      </c>
      <c r="AD307" s="1">
        <f>IF(AC307=1,H307,0)</f>
        <v>0</v>
      </c>
      <c r="AE307" s="1">
        <f>IF(H307&gt;0,1,0)</f>
        <v>0</v>
      </c>
      <c r="AF307" s="1">
        <f>IF(AE307=1,H307,0)</f>
        <v>0</v>
      </c>
      <c r="AG307" s="1">
        <f>IF(AD307&lt;-20000000.0/100,1,0)</f>
        <v>0</v>
      </c>
      <c r="AH307" s="1">
        <f>IF(AF307&gt;20000000.0/100,1,0)</f>
        <v>0</v>
      </c>
      <c r="AI307" s="1">
        <f>IF(U307&lt;0,1,0)</f>
        <v>0</v>
      </c>
      <c r="AJ307" s="1">
        <f>IF(AI307=1,U307,0)</f>
        <v>0</v>
      </c>
      <c r="AK307" s="1">
        <f>IF(U307&gt;0,1,0)</f>
        <v>0</v>
      </c>
      <c r="AL307" s="1">
        <f>IF(AK307=1,U307,0)</f>
        <v>0</v>
      </c>
      <c r="AM307" s="1">
        <f>IF(AJ307&lt;-20000000.0/100,1,0)</f>
        <v>0</v>
      </c>
      <c r="AN307" s="1">
        <f>IF(AL307&gt;20000000.0/100,1,0)</f>
        <v>0</v>
      </c>
    </row>
    <row r="308" spans="1:40" s="1" customFormat="1">
      <c r="A308" s="3">
        <v>45743</v>
      </c>
      <c r="B308" s="2" t="s">
        <v>25</v>
      </c>
      <c r="C308" s="1">
        <f>SUM(PL!H308:J308)</f>
        <v>0</v>
      </c>
      <c r="D308" s="1">
        <f>SUM(PL!K308:M308)</f>
        <v>0</v>
      </c>
      <c r="E308" s="1">
        <f>SUM(PL!N308:P308)</f>
        <v>0</v>
      </c>
      <c r="F308" s="1">
        <f>SUM(PL!Q308:S308)</f>
        <v>0</v>
      </c>
      <c r="G308" s="1">
        <f>SUM(PL!T308:V308)</f>
        <v>0</v>
      </c>
      <c r="H308" s="1">
        <f>SUM(C308:G308)</f>
        <v>0</v>
      </c>
      <c r="I308" s="1">
        <f>IF(C308 + I307 &lt; 0, C308 + I307, 0)</f>
        <v>0</v>
      </c>
      <c r="J308" s="1">
        <f>IF(D308 + J307 &lt; 0, D308 + J307, 0)</f>
        <v>0</v>
      </c>
      <c r="K308" s="1">
        <f>IF(E308 + K307 &lt; 0, E308 + K307, 0)</f>
        <v>0</v>
      </c>
      <c r="L308" s="1">
        <f>IF(F308 + L307 &lt; 0, F308 + L307, 0)</f>
        <v>0</v>
      </c>
      <c r="M308" s="1">
        <f>IF(G308 + M307 &lt; 0, G308 + M307, 0)</f>
        <v>0</v>
      </c>
      <c r="N308" s="1">
        <f>IF(H308 + N307 &lt; 0, H308 + N307, 0)</f>
        <v>0</v>
      </c>
      <c r="O308" s="1">
        <f>IF(N308 &lt; 0, 1 + O307, 0)</f>
        <v>0</v>
      </c>
      <c r="P308" s="1">
        <f>C308-((ABS(SUM(PL!H308:J308)))*0.125)</f>
        <v>0</v>
      </c>
      <c r="Q308" s="1">
        <f>D308-((ABS(SUM(PL!K308:M308)))*0.125)</f>
        <v>0</v>
      </c>
      <c r="R308" s="1">
        <f>E308-((ABS(SUM(PL!N308:P308)))*0.125)</f>
        <v>0</v>
      </c>
      <c r="S308" s="1">
        <f>F308-((ABS(SUM(PL!Q308:S308)))*0.125)</f>
        <v>0</v>
      </c>
      <c r="T308" s="1">
        <f>G308-((ABS(SUM(PL!T308:V308)))*0.125)</f>
        <v>0</v>
      </c>
      <c r="U308" s="1">
        <f>P308 + Q308 + R308 + S308 + T308</f>
        <v>0</v>
      </c>
      <c r="V308" s="1">
        <f>IF(P308 + V307 &lt; 0, P308 + V307, 0)</f>
        <v>0</v>
      </c>
      <c r="W308" s="1">
        <f>IF(Q308 + W307 &lt; 0, Q308 + W307, 0)</f>
        <v>0</v>
      </c>
      <c r="X308" s="1">
        <f>IF(R308 + X307 &lt; 0, R308 + X307, 0)</f>
        <v>0</v>
      </c>
      <c r="Y308" s="1">
        <f>IF(S308 + Y307 &lt; 0, S308 + Y307, 0)</f>
        <v>0</v>
      </c>
      <c r="Z308" s="1">
        <f>IF(T308 + Z307 &lt; 0, T308 + Z307, 0)</f>
        <v>0</v>
      </c>
      <c r="AA308" s="1">
        <f>IF(U308 + AA307 &lt; 0, U308 + AA307, 0)</f>
        <v>0</v>
      </c>
      <c r="AB308" s="1">
        <f>IF(AA308 &lt; 0, 1 + AB307, 0)</f>
        <v>0</v>
      </c>
      <c r="AC308" s="1">
        <f>IF(H308&lt;0,1,0)</f>
        <v>0</v>
      </c>
      <c r="AD308" s="1">
        <f>IF(AC308=1,H308,0)</f>
        <v>0</v>
      </c>
      <c r="AE308" s="1">
        <f>IF(H308&gt;0,1,0)</f>
        <v>0</v>
      </c>
      <c r="AF308" s="1">
        <f>IF(AE308=1,H308,0)</f>
        <v>0</v>
      </c>
      <c r="AG308" s="1">
        <f>IF(AD308&lt;-20000000.0/100,1,0)</f>
        <v>0</v>
      </c>
      <c r="AH308" s="1">
        <f>IF(AF308&gt;20000000.0/100,1,0)</f>
        <v>0</v>
      </c>
      <c r="AI308" s="1">
        <f>IF(U308&lt;0,1,0)</f>
        <v>0</v>
      </c>
      <c r="AJ308" s="1">
        <f>IF(AI308=1,U308,0)</f>
        <v>0</v>
      </c>
      <c r="AK308" s="1">
        <f>IF(U308&gt;0,1,0)</f>
        <v>0</v>
      </c>
      <c r="AL308" s="1">
        <f>IF(AK308=1,U308,0)</f>
        <v>0</v>
      </c>
      <c r="AM308" s="1">
        <f>IF(AJ308&lt;-20000000.0/100,1,0)</f>
        <v>0</v>
      </c>
      <c r="AN308" s="1">
        <f>IF(AL308&gt;20000000.0/100,1,0)</f>
        <v>0</v>
      </c>
    </row>
    <row r="309" spans="1:40" s="1" customFormat="1">
      <c r="A309" s="3">
        <v>45744</v>
      </c>
      <c r="B309" s="2" t="s">
        <v>26</v>
      </c>
      <c r="C309" s="1">
        <f>SUM(PL!H309:J309)</f>
        <v>0</v>
      </c>
      <c r="D309" s="1">
        <f>SUM(PL!K309:M309)</f>
        <v>0</v>
      </c>
      <c r="E309" s="1">
        <f>SUM(PL!N309:P309)</f>
        <v>0</v>
      </c>
      <c r="F309" s="1">
        <f>SUM(PL!Q309:S309)</f>
        <v>0</v>
      </c>
      <c r="G309" s="1">
        <f>SUM(PL!T309:V309)</f>
        <v>0</v>
      </c>
      <c r="H309" s="1">
        <f>SUM(C309:G309)</f>
        <v>0</v>
      </c>
      <c r="I309" s="1">
        <f>IF(C309 + I308 &lt; 0, C309 + I308, 0)</f>
        <v>0</v>
      </c>
      <c r="J309" s="1">
        <f>IF(D309 + J308 &lt; 0, D309 + J308, 0)</f>
        <v>0</v>
      </c>
      <c r="K309" s="1">
        <f>IF(E309 + K308 &lt; 0, E309 + K308, 0)</f>
        <v>0</v>
      </c>
      <c r="L309" s="1">
        <f>IF(F309 + L308 &lt; 0, F309 + L308, 0)</f>
        <v>0</v>
      </c>
      <c r="M309" s="1">
        <f>IF(G309 + M308 &lt; 0, G309 + M308, 0)</f>
        <v>0</v>
      </c>
      <c r="N309" s="1">
        <f>IF(H309 + N308 &lt; 0, H309 + N308, 0)</f>
        <v>0</v>
      </c>
      <c r="O309" s="1">
        <f>IF(N309 &lt; 0, 1 + O308, 0)</f>
        <v>0</v>
      </c>
      <c r="P309" s="1">
        <f>C309-((ABS(SUM(PL!H309:J309)))*0.125)</f>
        <v>0</v>
      </c>
      <c r="Q309" s="1">
        <f>D309-((ABS(SUM(PL!K309:M309)))*0.125)</f>
        <v>0</v>
      </c>
      <c r="R309" s="1">
        <f>E309-((ABS(SUM(PL!N309:P309)))*0.125)</f>
        <v>0</v>
      </c>
      <c r="S309" s="1">
        <f>F309-((ABS(SUM(PL!Q309:S309)))*0.125)</f>
        <v>0</v>
      </c>
      <c r="T309" s="1">
        <f>G309-((ABS(SUM(PL!T309:V309)))*0.125)</f>
        <v>0</v>
      </c>
      <c r="U309" s="1">
        <f>P309 + Q309 + R309 + S309 + T309</f>
        <v>0</v>
      </c>
      <c r="V309" s="1">
        <f>IF(P309 + V308 &lt; 0, P309 + V308, 0)</f>
        <v>0</v>
      </c>
      <c r="W309" s="1">
        <f>IF(Q309 + W308 &lt; 0, Q309 + W308, 0)</f>
        <v>0</v>
      </c>
      <c r="X309" s="1">
        <f>IF(R309 + X308 &lt; 0, R309 + X308, 0)</f>
        <v>0</v>
      </c>
      <c r="Y309" s="1">
        <f>IF(S309 + Y308 &lt; 0, S309 + Y308, 0)</f>
        <v>0</v>
      </c>
      <c r="Z309" s="1">
        <f>IF(T309 + Z308 &lt; 0, T309 + Z308, 0)</f>
        <v>0</v>
      </c>
      <c r="AA309" s="1">
        <f>IF(U309 + AA308 &lt; 0, U309 + AA308, 0)</f>
        <v>0</v>
      </c>
      <c r="AB309" s="1">
        <f>IF(AA309 &lt; 0, 1 + AB308, 0)</f>
        <v>0</v>
      </c>
      <c r="AC309" s="1">
        <f>IF(H309&lt;0,1,0)</f>
        <v>0</v>
      </c>
      <c r="AD309" s="1">
        <f>IF(AC309=1,H309,0)</f>
        <v>0</v>
      </c>
      <c r="AE309" s="1">
        <f>IF(H309&gt;0,1,0)</f>
        <v>0</v>
      </c>
      <c r="AF309" s="1">
        <f>IF(AE309=1,H309,0)</f>
        <v>0</v>
      </c>
      <c r="AG309" s="1">
        <f>IF(AD309&lt;-20000000.0/100,1,0)</f>
        <v>0</v>
      </c>
      <c r="AH309" s="1">
        <f>IF(AF309&gt;20000000.0/100,1,0)</f>
        <v>0</v>
      </c>
      <c r="AI309" s="1">
        <f>IF(U309&lt;0,1,0)</f>
        <v>0</v>
      </c>
      <c r="AJ309" s="1">
        <f>IF(AI309=1,U309,0)</f>
        <v>0</v>
      </c>
      <c r="AK309" s="1">
        <f>IF(U309&gt;0,1,0)</f>
        <v>0</v>
      </c>
      <c r="AL309" s="1">
        <f>IF(AK309=1,U309,0)</f>
        <v>0</v>
      </c>
      <c r="AM309" s="1">
        <f>IF(AJ309&lt;-20000000.0/100,1,0)</f>
        <v>0</v>
      </c>
      <c r="AN309" s="1">
        <f>IF(AL309&gt;20000000.0/100,1,0)</f>
        <v>0</v>
      </c>
    </row>
    <row r="310" spans="1:40" s="1" customFormat="1">
      <c r="A310" s="3">
        <v>45748</v>
      </c>
      <c r="B310" s="2" t="s">
        <v>23</v>
      </c>
      <c r="C310" s="1">
        <f>SUM(PL!H310:J310)</f>
        <v>0</v>
      </c>
      <c r="D310" s="1">
        <f>SUM(PL!K310:M310)</f>
        <v>0</v>
      </c>
      <c r="E310" s="1">
        <f>SUM(PL!N310:P310)</f>
        <v>0</v>
      </c>
      <c r="F310" s="1">
        <f>SUM(PL!Q310:S310)</f>
        <v>0</v>
      </c>
      <c r="G310" s="1">
        <f>SUM(PL!T310:V310)</f>
        <v>0</v>
      </c>
      <c r="H310" s="1">
        <f>SUM(C310:G310)</f>
        <v>0</v>
      </c>
      <c r="I310" s="1">
        <f>IF(C310 + I309 &lt; 0, C310 + I309, 0)</f>
        <v>0</v>
      </c>
      <c r="J310" s="1">
        <f>IF(D310 + J309 &lt; 0, D310 + J309, 0)</f>
        <v>0</v>
      </c>
      <c r="K310" s="1">
        <f>IF(E310 + K309 &lt; 0, E310 + K309, 0)</f>
        <v>0</v>
      </c>
      <c r="L310" s="1">
        <f>IF(F310 + L309 &lt; 0, F310 + L309, 0)</f>
        <v>0</v>
      </c>
      <c r="M310" s="1">
        <f>IF(G310 + M309 &lt; 0, G310 + M309, 0)</f>
        <v>0</v>
      </c>
      <c r="N310" s="1">
        <f>IF(H310 + N309 &lt; 0, H310 + N309, 0)</f>
        <v>0</v>
      </c>
      <c r="O310" s="1">
        <f>IF(N310 &lt; 0, 1 + O309, 0)</f>
        <v>0</v>
      </c>
      <c r="P310" s="1">
        <f>C310-((ABS(SUM(PL!H310:J310)))*0.125)</f>
        <v>0</v>
      </c>
      <c r="Q310" s="1">
        <f>D310-((ABS(SUM(PL!K310:M310)))*0.125)</f>
        <v>0</v>
      </c>
      <c r="R310" s="1">
        <f>E310-((ABS(SUM(PL!N310:P310)))*0.125)</f>
        <v>0</v>
      </c>
      <c r="S310" s="1">
        <f>F310-((ABS(SUM(PL!Q310:S310)))*0.125)</f>
        <v>0</v>
      </c>
      <c r="T310" s="1">
        <f>G310-((ABS(SUM(PL!T310:V310)))*0.125)</f>
        <v>0</v>
      </c>
      <c r="U310" s="1">
        <f>P310 + Q310 + R310 + S310 + T310</f>
        <v>0</v>
      </c>
      <c r="V310" s="1">
        <f>IF(P310 + V309 &lt; 0, P310 + V309, 0)</f>
        <v>0</v>
      </c>
      <c r="W310" s="1">
        <f>IF(Q310 + W309 &lt; 0, Q310 + W309, 0)</f>
        <v>0</v>
      </c>
      <c r="X310" s="1">
        <f>IF(R310 + X309 &lt; 0, R310 + X309, 0)</f>
        <v>0</v>
      </c>
      <c r="Y310" s="1">
        <f>IF(S310 + Y309 &lt; 0, S310 + Y309, 0)</f>
        <v>0</v>
      </c>
      <c r="Z310" s="1">
        <f>IF(T310 + Z309 &lt; 0, T310 + Z309, 0)</f>
        <v>0</v>
      </c>
      <c r="AA310" s="1">
        <f>IF(U310 + AA309 &lt; 0, U310 + AA309, 0)</f>
        <v>0</v>
      </c>
      <c r="AB310" s="1">
        <f>IF(AA310 &lt; 0, 1 + AB309, 0)</f>
        <v>0</v>
      </c>
      <c r="AC310" s="1">
        <f>IF(H310&lt;0,1,0)</f>
        <v>0</v>
      </c>
      <c r="AD310" s="1">
        <f>IF(AC310=1,H310,0)</f>
        <v>0</v>
      </c>
      <c r="AE310" s="1">
        <f>IF(H310&gt;0,1,0)</f>
        <v>0</v>
      </c>
      <c r="AF310" s="1">
        <f>IF(AE310=1,H310,0)</f>
        <v>0</v>
      </c>
      <c r="AG310" s="1">
        <f>IF(AD310&lt;-20000000.0/100,1,0)</f>
        <v>0</v>
      </c>
      <c r="AH310" s="1">
        <f>IF(AF310&gt;20000000.0/100,1,0)</f>
        <v>0</v>
      </c>
      <c r="AI310" s="1">
        <f>IF(U310&lt;0,1,0)</f>
        <v>0</v>
      </c>
      <c r="AJ310" s="1">
        <f>IF(AI310=1,U310,0)</f>
        <v>0</v>
      </c>
      <c r="AK310" s="1">
        <f>IF(U310&gt;0,1,0)</f>
        <v>0</v>
      </c>
      <c r="AL310" s="1">
        <f>IF(AK310=1,U310,0)</f>
        <v>0</v>
      </c>
      <c r="AM310" s="1">
        <f>IF(AJ310&lt;-20000000.0/100,1,0)</f>
        <v>0</v>
      </c>
      <c r="AN310" s="1">
        <f>IF(AL310&gt;20000000.0/100,1,0)</f>
        <v>0</v>
      </c>
    </row>
    <row r="311" spans="1:40" s="1" customFormat="1">
      <c r="A311" s="3">
        <v>45749</v>
      </c>
      <c r="B311" s="2" t="s">
        <v>24</v>
      </c>
      <c r="C311" s="1">
        <f>SUM(PL!H311:J311)</f>
        <v>0</v>
      </c>
      <c r="D311" s="1">
        <f>SUM(PL!K311:M311)</f>
        <v>0</v>
      </c>
      <c r="E311" s="1">
        <f>SUM(PL!N311:P311)</f>
        <v>0</v>
      </c>
      <c r="F311" s="1">
        <f>SUM(PL!Q311:S311)</f>
        <v>0</v>
      </c>
      <c r="G311" s="1">
        <f>SUM(PL!T311:V311)</f>
        <v>0</v>
      </c>
      <c r="H311" s="1">
        <f>SUM(C311:G311)</f>
        <v>0</v>
      </c>
      <c r="I311" s="1">
        <f>IF(C311 + I310 &lt; 0, C311 + I310, 0)</f>
        <v>0</v>
      </c>
      <c r="J311" s="1">
        <f>IF(D311 + J310 &lt; 0, D311 + J310, 0)</f>
        <v>0</v>
      </c>
      <c r="K311" s="1">
        <f>IF(E311 + K310 &lt; 0, E311 + K310, 0)</f>
        <v>0</v>
      </c>
      <c r="L311" s="1">
        <f>IF(F311 + L310 &lt; 0, F311 + L310, 0)</f>
        <v>0</v>
      </c>
      <c r="M311" s="1">
        <f>IF(G311 + M310 &lt; 0, G311 + M310, 0)</f>
        <v>0</v>
      </c>
      <c r="N311" s="1">
        <f>IF(H311 + N310 &lt; 0, H311 + N310, 0)</f>
        <v>0</v>
      </c>
      <c r="O311" s="1">
        <f>IF(N311 &lt; 0, 1 + O310, 0)</f>
        <v>0</v>
      </c>
      <c r="P311" s="1">
        <f>C311-((ABS(SUM(PL!H311:J311)))*0.125)</f>
        <v>0</v>
      </c>
      <c r="Q311" s="1">
        <f>D311-((ABS(SUM(PL!K311:M311)))*0.125)</f>
        <v>0</v>
      </c>
      <c r="R311" s="1">
        <f>E311-((ABS(SUM(PL!N311:P311)))*0.125)</f>
        <v>0</v>
      </c>
      <c r="S311" s="1">
        <f>F311-((ABS(SUM(PL!Q311:S311)))*0.125)</f>
        <v>0</v>
      </c>
      <c r="T311" s="1">
        <f>G311-((ABS(SUM(PL!T311:V311)))*0.125)</f>
        <v>0</v>
      </c>
      <c r="U311" s="1">
        <f>P311 + Q311 + R311 + S311 + T311</f>
        <v>0</v>
      </c>
      <c r="V311" s="1">
        <f>IF(P311 + V310 &lt; 0, P311 + V310, 0)</f>
        <v>0</v>
      </c>
      <c r="W311" s="1">
        <f>IF(Q311 + W310 &lt; 0, Q311 + W310, 0)</f>
        <v>0</v>
      </c>
      <c r="X311" s="1">
        <f>IF(R311 + X310 &lt; 0, R311 + X310, 0)</f>
        <v>0</v>
      </c>
      <c r="Y311" s="1">
        <f>IF(S311 + Y310 &lt; 0, S311 + Y310, 0)</f>
        <v>0</v>
      </c>
      <c r="Z311" s="1">
        <f>IF(T311 + Z310 &lt; 0, T311 + Z310, 0)</f>
        <v>0</v>
      </c>
      <c r="AA311" s="1">
        <f>IF(U311 + AA310 &lt; 0, U311 + AA310, 0)</f>
        <v>0</v>
      </c>
      <c r="AB311" s="1">
        <f>IF(AA311 &lt; 0, 1 + AB310, 0)</f>
        <v>0</v>
      </c>
      <c r="AC311" s="1">
        <f>IF(H311&lt;0,1,0)</f>
        <v>0</v>
      </c>
      <c r="AD311" s="1">
        <f>IF(AC311=1,H311,0)</f>
        <v>0</v>
      </c>
      <c r="AE311" s="1">
        <f>IF(H311&gt;0,1,0)</f>
        <v>0</v>
      </c>
      <c r="AF311" s="1">
        <f>IF(AE311=1,H311,0)</f>
        <v>0</v>
      </c>
      <c r="AG311" s="1">
        <f>IF(AD311&lt;-20000000.0/100,1,0)</f>
        <v>0</v>
      </c>
      <c r="AH311" s="1">
        <f>IF(AF311&gt;20000000.0/100,1,0)</f>
        <v>0</v>
      </c>
      <c r="AI311" s="1">
        <f>IF(U311&lt;0,1,0)</f>
        <v>0</v>
      </c>
      <c r="AJ311" s="1">
        <f>IF(AI311=1,U311,0)</f>
        <v>0</v>
      </c>
      <c r="AK311" s="1">
        <f>IF(U311&gt;0,1,0)</f>
        <v>0</v>
      </c>
      <c r="AL311" s="1">
        <f>IF(AK311=1,U311,0)</f>
        <v>0</v>
      </c>
      <c r="AM311" s="1">
        <f>IF(AJ311&lt;-20000000.0/100,1,0)</f>
        <v>0</v>
      </c>
      <c r="AN311" s="1">
        <f>IF(AL311&gt;20000000.0/100,1,0)</f>
        <v>0</v>
      </c>
    </row>
    <row r="312" spans="1:40" s="1" customFormat="1">
      <c r="A312" s="3">
        <v>45750</v>
      </c>
      <c r="B312" s="2" t="s">
        <v>25</v>
      </c>
      <c r="C312" s="1">
        <f>SUM(PL!H312:J312)</f>
        <v>0</v>
      </c>
      <c r="D312" s="1">
        <f>SUM(PL!K312:M312)</f>
        <v>0</v>
      </c>
      <c r="E312" s="1">
        <f>SUM(PL!N312:P312)</f>
        <v>0</v>
      </c>
      <c r="F312" s="1">
        <f>SUM(PL!Q312:S312)</f>
        <v>0</v>
      </c>
      <c r="G312" s="1">
        <f>SUM(PL!T312:V312)</f>
        <v>0</v>
      </c>
      <c r="H312" s="1">
        <f>SUM(C312:G312)</f>
        <v>0</v>
      </c>
      <c r="I312" s="1">
        <f>IF(C312 + I311 &lt; 0, C312 + I311, 0)</f>
        <v>0</v>
      </c>
      <c r="J312" s="1">
        <f>IF(D312 + J311 &lt; 0, D312 + J311, 0)</f>
        <v>0</v>
      </c>
      <c r="K312" s="1">
        <f>IF(E312 + K311 &lt; 0, E312 + K311, 0)</f>
        <v>0</v>
      </c>
      <c r="L312" s="1">
        <f>IF(F312 + L311 &lt; 0, F312 + L311, 0)</f>
        <v>0</v>
      </c>
      <c r="M312" s="1">
        <f>IF(G312 + M311 &lt; 0, G312 + M311, 0)</f>
        <v>0</v>
      </c>
      <c r="N312" s="1">
        <f>IF(H312 + N311 &lt; 0, H312 + N311, 0)</f>
        <v>0</v>
      </c>
      <c r="O312" s="1">
        <f>IF(N312 &lt; 0, 1 + O311, 0)</f>
        <v>0</v>
      </c>
      <c r="P312" s="1">
        <f>C312-((ABS(SUM(PL!H312:J312)))*0.125)</f>
        <v>0</v>
      </c>
      <c r="Q312" s="1">
        <f>D312-((ABS(SUM(PL!K312:M312)))*0.125)</f>
        <v>0</v>
      </c>
      <c r="R312" s="1">
        <f>E312-((ABS(SUM(PL!N312:P312)))*0.125)</f>
        <v>0</v>
      </c>
      <c r="S312" s="1">
        <f>F312-((ABS(SUM(PL!Q312:S312)))*0.125)</f>
        <v>0</v>
      </c>
      <c r="T312" s="1">
        <f>G312-((ABS(SUM(PL!T312:V312)))*0.125)</f>
        <v>0</v>
      </c>
      <c r="U312" s="1">
        <f>P312 + Q312 + R312 + S312 + T312</f>
        <v>0</v>
      </c>
      <c r="V312" s="1">
        <f>IF(P312 + V311 &lt; 0, P312 + V311, 0)</f>
        <v>0</v>
      </c>
      <c r="W312" s="1">
        <f>IF(Q312 + W311 &lt; 0, Q312 + W311, 0)</f>
        <v>0</v>
      </c>
      <c r="X312" s="1">
        <f>IF(R312 + X311 &lt; 0, R312 + X311, 0)</f>
        <v>0</v>
      </c>
      <c r="Y312" s="1">
        <f>IF(S312 + Y311 &lt; 0, S312 + Y311, 0)</f>
        <v>0</v>
      </c>
      <c r="Z312" s="1">
        <f>IF(T312 + Z311 &lt; 0, T312 + Z311, 0)</f>
        <v>0</v>
      </c>
      <c r="AA312" s="1">
        <f>IF(U312 + AA311 &lt; 0, U312 + AA311, 0)</f>
        <v>0</v>
      </c>
      <c r="AB312" s="1">
        <f>IF(AA312 &lt; 0, 1 + AB311, 0)</f>
        <v>0</v>
      </c>
      <c r="AC312" s="1">
        <f>IF(H312&lt;0,1,0)</f>
        <v>0</v>
      </c>
      <c r="AD312" s="1">
        <f>IF(AC312=1,H312,0)</f>
        <v>0</v>
      </c>
      <c r="AE312" s="1">
        <f>IF(H312&gt;0,1,0)</f>
        <v>0</v>
      </c>
      <c r="AF312" s="1">
        <f>IF(AE312=1,H312,0)</f>
        <v>0</v>
      </c>
      <c r="AG312" s="1">
        <f>IF(AD312&lt;-20000000.0/100,1,0)</f>
        <v>0</v>
      </c>
      <c r="AH312" s="1">
        <f>IF(AF312&gt;20000000.0/100,1,0)</f>
        <v>0</v>
      </c>
      <c r="AI312" s="1">
        <f>IF(U312&lt;0,1,0)</f>
        <v>0</v>
      </c>
      <c r="AJ312" s="1">
        <f>IF(AI312=1,U312,0)</f>
        <v>0</v>
      </c>
      <c r="AK312" s="1">
        <f>IF(U312&gt;0,1,0)</f>
        <v>0</v>
      </c>
      <c r="AL312" s="1">
        <f>IF(AK312=1,U312,0)</f>
        <v>0</v>
      </c>
      <c r="AM312" s="1">
        <f>IF(AJ312&lt;-20000000.0/100,1,0)</f>
        <v>0</v>
      </c>
      <c r="AN312" s="1">
        <f>IF(AL312&gt;20000000.0/100,1,0)</f>
        <v>0</v>
      </c>
    </row>
    <row r="313" spans="1:40" s="1" customFormat="1">
      <c r="A313" s="3">
        <v>45751</v>
      </c>
      <c r="B313" s="2" t="s">
        <v>26</v>
      </c>
      <c r="C313" s="1">
        <f>SUM(PL!H313:J313)</f>
        <v>0</v>
      </c>
      <c r="D313" s="1">
        <f>SUM(PL!K313:M313)</f>
        <v>0</v>
      </c>
      <c r="E313" s="1">
        <f>SUM(PL!N313:P313)</f>
        <v>0</v>
      </c>
      <c r="F313" s="1">
        <f>SUM(PL!Q313:S313)</f>
        <v>0</v>
      </c>
      <c r="G313" s="1">
        <f>SUM(PL!T313:V313)</f>
        <v>0</v>
      </c>
      <c r="H313" s="1">
        <f>SUM(C313:G313)</f>
        <v>0</v>
      </c>
      <c r="I313" s="1">
        <f>IF(C313 + I312 &lt; 0, C313 + I312, 0)</f>
        <v>0</v>
      </c>
      <c r="J313" s="1">
        <f>IF(D313 + J312 &lt; 0, D313 + J312, 0)</f>
        <v>0</v>
      </c>
      <c r="K313" s="1">
        <f>IF(E313 + K312 &lt; 0, E313 + K312, 0)</f>
        <v>0</v>
      </c>
      <c r="L313" s="1">
        <f>IF(F313 + L312 &lt; 0, F313 + L312, 0)</f>
        <v>0</v>
      </c>
      <c r="M313" s="1">
        <f>IF(G313 + M312 &lt; 0, G313 + M312, 0)</f>
        <v>0</v>
      </c>
      <c r="N313" s="1">
        <f>IF(H313 + N312 &lt; 0, H313 + N312, 0)</f>
        <v>0</v>
      </c>
      <c r="O313" s="1">
        <f>IF(N313 &lt; 0, 1 + O312, 0)</f>
        <v>0</v>
      </c>
      <c r="P313" s="1">
        <f>C313-((ABS(SUM(PL!H313:J313)))*0.125)</f>
        <v>0</v>
      </c>
      <c r="Q313" s="1">
        <f>D313-((ABS(SUM(PL!K313:M313)))*0.125)</f>
        <v>0</v>
      </c>
      <c r="R313" s="1">
        <f>E313-((ABS(SUM(PL!N313:P313)))*0.125)</f>
        <v>0</v>
      </c>
      <c r="S313" s="1">
        <f>F313-((ABS(SUM(PL!Q313:S313)))*0.125)</f>
        <v>0</v>
      </c>
      <c r="T313" s="1">
        <f>G313-((ABS(SUM(PL!T313:V313)))*0.125)</f>
        <v>0</v>
      </c>
      <c r="U313" s="1">
        <f>P313 + Q313 + R313 + S313 + T313</f>
        <v>0</v>
      </c>
      <c r="V313" s="1">
        <f>IF(P313 + V312 &lt; 0, P313 + V312, 0)</f>
        <v>0</v>
      </c>
      <c r="W313" s="1">
        <f>IF(Q313 + W312 &lt; 0, Q313 + W312, 0)</f>
        <v>0</v>
      </c>
      <c r="X313" s="1">
        <f>IF(R313 + X312 &lt; 0, R313 + X312, 0)</f>
        <v>0</v>
      </c>
      <c r="Y313" s="1">
        <f>IF(S313 + Y312 &lt; 0, S313 + Y312, 0)</f>
        <v>0</v>
      </c>
      <c r="Z313" s="1">
        <f>IF(T313 + Z312 &lt; 0, T313 + Z312, 0)</f>
        <v>0</v>
      </c>
      <c r="AA313" s="1">
        <f>IF(U313 + AA312 &lt; 0, U313 + AA312, 0)</f>
        <v>0</v>
      </c>
      <c r="AB313" s="1">
        <f>IF(AA313 &lt; 0, 1 + AB312, 0)</f>
        <v>0</v>
      </c>
      <c r="AC313" s="1">
        <f>IF(H313&lt;0,1,0)</f>
        <v>0</v>
      </c>
      <c r="AD313" s="1">
        <f>IF(AC313=1,H313,0)</f>
        <v>0</v>
      </c>
      <c r="AE313" s="1">
        <f>IF(H313&gt;0,1,0)</f>
        <v>0</v>
      </c>
      <c r="AF313" s="1">
        <f>IF(AE313=1,H313,0)</f>
        <v>0</v>
      </c>
      <c r="AG313" s="1">
        <f>IF(AD313&lt;-20000000.0/100,1,0)</f>
        <v>0</v>
      </c>
      <c r="AH313" s="1">
        <f>IF(AF313&gt;20000000.0/100,1,0)</f>
        <v>0</v>
      </c>
      <c r="AI313" s="1">
        <f>IF(U313&lt;0,1,0)</f>
        <v>0</v>
      </c>
      <c r="AJ313" s="1">
        <f>IF(AI313=1,U313,0)</f>
        <v>0</v>
      </c>
      <c r="AK313" s="1">
        <f>IF(U313&gt;0,1,0)</f>
        <v>0</v>
      </c>
      <c r="AL313" s="1">
        <f>IF(AK313=1,U313,0)</f>
        <v>0</v>
      </c>
      <c r="AM313" s="1">
        <f>IF(AJ313&lt;-20000000.0/100,1,0)</f>
        <v>0</v>
      </c>
      <c r="AN313" s="1">
        <f>IF(AL313&gt;20000000.0/100,1,0)</f>
        <v>0</v>
      </c>
    </row>
    <row r="314" spans="1:40" s="1" customFormat="1">
      <c r="A314" s="3">
        <v>45754</v>
      </c>
      <c r="B314" s="2" t="s">
        <v>22</v>
      </c>
      <c r="C314" s="1">
        <f>SUM(PL!H314:J314)</f>
        <v>0</v>
      </c>
      <c r="D314" s="1">
        <f>SUM(PL!K314:M314)</f>
        <v>0</v>
      </c>
      <c r="E314" s="1">
        <f>SUM(PL!N314:P314)</f>
        <v>0</v>
      </c>
      <c r="F314" s="1">
        <f>SUM(PL!Q314:S314)</f>
        <v>0</v>
      </c>
      <c r="G314" s="1">
        <f>SUM(PL!T314:V314)</f>
        <v>0</v>
      </c>
      <c r="H314" s="1">
        <f>SUM(C314:G314)</f>
        <v>0</v>
      </c>
      <c r="I314" s="1">
        <f>IF(C314 + I313 &lt; 0, C314 + I313, 0)</f>
        <v>0</v>
      </c>
      <c r="J314" s="1">
        <f>IF(D314 + J313 &lt; 0, D314 + J313, 0)</f>
        <v>0</v>
      </c>
      <c r="K314" s="1">
        <f>IF(E314 + K313 &lt; 0, E314 + K313, 0)</f>
        <v>0</v>
      </c>
      <c r="L314" s="1">
        <f>IF(F314 + L313 &lt; 0, F314 + L313, 0)</f>
        <v>0</v>
      </c>
      <c r="M314" s="1">
        <f>IF(G314 + M313 &lt; 0, G314 + M313, 0)</f>
        <v>0</v>
      </c>
      <c r="N314" s="1">
        <f>IF(H314 + N313 &lt; 0, H314 + N313, 0)</f>
        <v>0</v>
      </c>
      <c r="O314" s="1">
        <f>IF(N314 &lt; 0, 1 + O313, 0)</f>
        <v>0</v>
      </c>
      <c r="P314" s="1">
        <f>C314-((ABS(SUM(PL!H314:J314)))*0.125)</f>
        <v>0</v>
      </c>
      <c r="Q314" s="1">
        <f>D314-((ABS(SUM(PL!K314:M314)))*0.125)</f>
        <v>0</v>
      </c>
      <c r="R314" s="1">
        <f>E314-((ABS(SUM(PL!N314:P314)))*0.125)</f>
        <v>0</v>
      </c>
      <c r="S314" s="1">
        <f>F314-((ABS(SUM(PL!Q314:S314)))*0.125)</f>
        <v>0</v>
      </c>
      <c r="T314" s="1">
        <f>G314-((ABS(SUM(PL!T314:V314)))*0.125)</f>
        <v>0</v>
      </c>
      <c r="U314" s="1">
        <f>P314 + Q314 + R314 + S314 + T314</f>
        <v>0</v>
      </c>
      <c r="V314" s="1">
        <f>IF(P314 + V313 &lt; 0, P314 + V313, 0)</f>
        <v>0</v>
      </c>
      <c r="W314" s="1">
        <f>IF(Q314 + W313 &lt; 0, Q314 + W313, 0)</f>
        <v>0</v>
      </c>
      <c r="X314" s="1">
        <f>IF(R314 + X313 &lt; 0, R314 + X313, 0)</f>
        <v>0</v>
      </c>
      <c r="Y314" s="1">
        <f>IF(S314 + Y313 &lt; 0, S314 + Y313, 0)</f>
        <v>0</v>
      </c>
      <c r="Z314" s="1">
        <f>IF(T314 + Z313 &lt; 0, T314 + Z313, 0)</f>
        <v>0</v>
      </c>
      <c r="AA314" s="1">
        <f>IF(U314 + AA313 &lt; 0, U314 + AA313, 0)</f>
        <v>0</v>
      </c>
      <c r="AB314" s="1">
        <f>IF(AA314 &lt; 0, 1 + AB313, 0)</f>
        <v>0</v>
      </c>
      <c r="AC314" s="1">
        <f>IF(H314&lt;0,1,0)</f>
        <v>0</v>
      </c>
      <c r="AD314" s="1">
        <f>IF(AC314=1,H314,0)</f>
        <v>0</v>
      </c>
      <c r="AE314" s="1">
        <f>IF(H314&gt;0,1,0)</f>
        <v>0</v>
      </c>
      <c r="AF314" s="1">
        <f>IF(AE314=1,H314,0)</f>
        <v>0</v>
      </c>
      <c r="AG314" s="1">
        <f>IF(AD314&lt;-20000000.0/100,1,0)</f>
        <v>0</v>
      </c>
      <c r="AH314" s="1">
        <f>IF(AF314&gt;20000000.0/100,1,0)</f>
        <v>0</v>
      </c>
      <c r="AI314" s="1">
        <f>IF(U314&lt;0,1,0)</f>
        <v>0</v>
      </c>
      <c r="AJ314" s="1">
        <f>IF(AI314=1,U314,0)</f>
        <v>0</v>
      </c>
      <c r="AK314" s="1">
        <f>IF(U314&gt;0,1,0)</f>
        <v>0</v>
      </c>
      <c r="AL314" s="1">
        <f>IF(AK314=1,U314,0)</f>
        <v>0</v>
      </c>
      <c r="AM314" s="1">
        <f>IF(AJ314&lt;-20000000.0/100,1,0)</f>
        <v>0</v>
      </c>
      <c r="AN314" s="1">
        <f>IF(AL314&gt;20000000.0/100,1,0)</f>
        <v>0</v>
      </c>
    </row>
    <row r="315" spans="1:40" s="1" customFormat="1">
      <c r="A315" s="3">
        <v>45755</v>
      </c>
      <c r="B315" s="2" t="s">
        <v>23</v>
      </c>
      <c r="C315" s="1">
        <f>SUM(PL!H315:J315)</f>
        <v>0</v>
      </c>
      <c r="D315" s="1">
        <f>SUM(PL!K315:M315)</f>
        <v>0</v>
      </c>
      <c r="E315" s="1">
        <f>SUM(PL!N315:P315)</f>
        <v>0</v>
      </c>
      <c r="F315" s="1">
        <f>SUM(PL!Q315:S315)</f>
        <v>0</v>
      </c>
      <c r="G315" s="1">
        <f>SUM(PL!T315:V315)</f>
        <v>0</v>
      </c>
      <c r="H315" s="1">
        <f>SUM(C315:G315)</f>
        <v>0</v>
      </c>
      <c r="I315" s="1">
        <f>IF(C315 + I314 &lt; 0, C315 + I314, 0)</f>
        <v>0</v>
      </c>
      <c r="J315" s="1">
        <f>IF(D315 + J314 &lt; 0, D315 + J314, 0)</f>
        <v>0</v>
      </c>
      <c r="K315" s="1">
        <f>IF(E315 + K314 &lt; 0, E315 + K314, 0)</f>
        <v>0</v>
      </c>
      <c r="L315" s="1">
        <f>IF(F315 + L314 &lt; 0, F315 + L314, 0)</f>
        <v>0</v>
      </c>
      <c r="M315" s="1">
        <f>IF(G315 + M314 &lt; 0, G315 + M314, 0)</f>
        <v>0</v>
      </c>
      <c r="N315" s="1">
        <f>IF(H315 + N314 &lt; 0, H315 + N314, 0)</f>
        <v>0</v>
      </c>
      <c r="O315" s="1">
        <f>IF(N315 &lt; 0, 1 + O314, 0)</f>
        <v>0</v>
      </c>
      <c r="P315" s="1">
        <f>C315-((ABS(SUM(PL!H315:J315)))*0.125)</f>
        <v>0</v>
      </c>
      <c r="Q315" s="1">
        <f>D315-((ABS(SUM(PL!K315:M315)))*0.125)</f>
        <v>0</v>
      </c>
      <c r="R315" s="1">
        <f>E315-((ABS(SUM(PL!N315:P315)))*0.125)</f>
        <v>0</v>
      </c>
      <c r="S315" s="1">
        <f>F315-((ABS(SUM(PL!Q315:S315)))*0.125)</f>
        <v>0</v>
      </c>
      <c r="T315" s="1">
        <f>G315-((ABS(SUM(PL!T315:V315)))*0.125)</f>
        <v>0</v>
      </c>
      <c r="U315" s="1">
        <f>P315 + Q315 + R315 + S315 + T315</f>
        <v>0</v>
      </c>
      <c r="V315" s="1">
        <f>IF(P315 + V314 &lt; 0, P315 + V314, 0)</f>
        <v>0</v>
      </c>
      <c r="W315" s="1">
        <f>IF(Q315 + W314 &lt; 0, Q315 + W314, 0)</f>
        <v>0</v>
      </c>
      <c r="X315" s="1">
        <f>IF(R315 + X314 &lt; 0, R315 + X314, 0)</f>
        <v>0</v>
      </c>
      <c r="Y315" s="1">
        <f>IF(S315 + Y314 &lt; 0, S315 + Y314, 0)</f>
        <v>0</v>
      </c>
      <c r="Z315" s="1">
        <f>IF(T315 + Z314 &lt; 0, T315 + Z314, 0)</f>
        <v>0</v>
      </c>
      <c r="AA315" s="1">
        <f>IF(U315 + AA314 &lt; 0, U315 + AA314, 0)</f>
        <v>0</v>
      </c>
      <c r="AB315" s="1">
        <f>IF(AA315 &lt; 0, 1 + AB314, 0)</f>
        <v>0</v>
      </c>
      <c r="AC315" s="1">
        <f>IF(H315&lt;0,1,0)</f>
        <v>0</v>
      </c>
      <c r="AD315" s="1">
        <f>IF(AC315=1,H315,0)</f>
        <v>0</v>
      </c>
      <c r="AE315" s="1">
        <f>IF(H315&gt;0,1,0)</f>
        <v>0</v>
      </c>
      <c r="AF315" s="1">
        <f>IF(AE315=1,H315,0)</f>
        <v>0</v>
      </c>
      <c r="AG315" s="1">
        <f>IF(AD315&lt;-20000000.0/100,1,0)</f>
        <v>0</v>
      </c>
      <c r="AH315" s="1">
        <f>IF(AF315&gt;20000000.0/100,1,0)</f>
        <v>0</v>
      </c>
      <c r="AI315" s="1">
        <f>IF(U315&lt;0,1,0)</f>
        <v>0</v>
      </c>
      <c r="AJ315" s="1">
        <f>IF(AI315=1,U315,0)</f>
        <v>0</v>
      </c>
      <c r="AK315" s="1">
        <f>IF(U315&gt;0,1,0)</f>
        <v>0</v>
      </c>
      <c r="AL315" s="1">
        <f>IF(AK315=1,U315,0)</f>
        <v>0</v>
      </c>
      <c r="AM315" s="1">
        <f>IF(AJ315&lt;-20000000.0/100,1,0)</f>
        <v>0</v>
      </c>
      <c r="AN315" s="1">
        <f>IF(AL315&gt;20000000.0/100,1,0)</f>
        <v>0</v>
      </c>
    </row>
    <row r="316" spans="1:40" s="1" customFormat="1">
      <c r="A316" s="3">
        <v>45756</v>
      </c>
      <c r="B316" s="2" t="s">
        <v>24</v>
      </c>
      <c r="C316" s="1">
        <f>SUM(PL!H316:J316)</f>
        <v>0</v>
      </c>
      <c r="D316" s="1">
        <f>SUM(PL!K316:M316)</f>
        <v>0</v>
      </c>
      <c r="E316" s="1">
        <f>SUM(PL!N316:P316)</f>
        <v>0</v>
      </c>
      <c r="F316" s="1">
        <f>SUM(PL!Q316:S316)</f>
        <v>0</v>
      </c>
      <c r="G316" s="1">
        <f>SUM(PL!T316:V316)</f>
        <v>0</v>
      </c>
      <c r="H316" s="1">
        <f>SUM(C316:G316)</f>
        <v>0</v>
      </c>
      <c r="I316" s="1">
        <f>IF(C316 + I315 &lt; 0, C316 + I315, 0)</f>
        <v>0</v>
      </c>
      <c r="J316" s="1">
        <f>IF(D316 + J315 &lt; 0, D316 + J315, 0)</f>
        <v>0</v>
      </c>
      <c r="K316" s="1">
        <f>IF(E316 + K315 &lt; 0, E316 + K315, 0)</f>
        <v>0</v>
      </c>
      <c r="L316" s="1">
        <f>IF(F316 + L315 &lt; 0, F316 + L315, 0)</f>
        <v>0</v>
      </c>
      <c r="M316" s="1">
        <f>IF(G316 + M315 &lt; 0, G316 + M315, 0)</f>
        <v>0</v>
      </c>
      <c r="N316" s="1">
        <f>IF(H316 + N315 &lt; 0, H316 + N315, 0)</f>
        <v>0</v>
      </c>
      <c r="O316" s="1">
        <f>IF(N316 &lt; 0, 1 + O315, 0)</f>
        <v>0</v>
      </c>
      <c r="P316" s="1">
        <f>C316-((ABS(SUM(PL!H316:J316)))*0.125)</f>
        <v>0</v>
      </c>
      <c r="Q316" s="1">
        <f>D316-((ABS(SUM(PL!K316:M316)))*0.125)</f>
        <v>0</v>
      </c>
      <c r="R316" s="1">
        <f>E316-((ABS(SUM(PL!N316:P316)))*0.125)</f>
        <v>0</v>
      </c>
      <c r="S316" s="1">
        <f>F316-((ABS(SUM(PL!Q316:S316)))*0.125)</f>
        <v>0</v>
      </c>
      <c r="T316" s="1">
        <f>G316-((ABS(SUM(PL!T316:V316)))*0.125)</f>
        <v>0</v>
      </c>
      <c r="U316" s="1">
        <f>P316 + Q316 + R316 + S316 + T316</f>
        <v>0</v>
      </c>
      <c r="V316" s="1">
        <f>IF(P316 + V315 &lt; 0, P316 + V315, 0)</f>
        <v>0</v>
      </c>
      <c r="W316" s="1">
        <f>IF(Q316 + W315 &lt; 0, Q316 + W315, 0)</f>
        <v>0</v>
      </c>
      <c r="X316" s="1">
        <f>IF(R316 + X315 &lt; 0, R316 + X315, 0)</f>
        <v>0</v>
      </c>
      <c r="Y316" s="1">
        <f>IF(S316 + Y315 &lt; 0, S316 + Y315, 0)</f>
        <v>0</v>
      </c>
      <c r="Z316" s="1">
        <f>IF(T316 + Z315 &lt; 0, T316 + Z315, 0)</f>
        <v>0</v>
      </c>
      <c r="AA316" s="1">
        <f>IF(U316 + AA315 &lt; 0, U316 + AA315, 0)</f>
        <v>0</v>
      </c>
      <c r="AB316" s="1">
        <f>IF(AA316 &lt; 0, 1 + AB315, 0)</f>
        <v>0</v>
      </c>
      <c r="AC316" s="1">
        <f>IF(H316&lt;0,1,0)</f>
        <v>0</v>
      </c>
      <c r="AD316" s="1">
        <f>IF(AC316=1,H316,0)</f>
        <v>0</v>
      </c>
      <c r="AE316" s="1">
        <f>IF(H316&gt;0,1,0)</f>
        <v>0</v>
      </c>
      <c r="AF316" s="1">
        <f>IF(AE316=1,H316,0)</f>
        <v>0</v>
      </c>
      <c r="AG316" s="1">
        <f>IF(AD316&lt;-20000000.0/100,1,0)</f>
        <v>0</v>
      </c>
      <c r="AH316" s="1">
        <f>IF(AF316&gt;20000000.0/100,1,0)</f>
        <v>0</v>
      </c>
      <c r="AI316" s="1">
        <f>IF(U316&lt;0,1,0)</f>
        <v>0</v>
      </c>
      <c r="AJ316" s="1">
        <f>IF(AI316=1,U316,0)</f>
        <v>0</v>
      </c>
      <c r="AK316" s="1">
        <f>IF(U316&gt;0,1,0)</f>
        <v>0</v>
      </c>
      <c r="AL316" s="1">
        <f>IF(AK316=1,U316,0)</f>
        <v>0</v>
      </c>
      <c r="AM316" s="1">
        <f>IF(AJ316&lt;-20000000.0/100,1,0)</f>
        <v>0</v>
      </c>
      <c r="AN316" s="1">
        <f>IF(AL316&gt;20000000.0/100,1,0)</f>
        <v>0</v>
      </c>
    </row>
    <row r="317" spans="1:40" s="1" customFormat="1">
      <c r="A317" s="3">
        <v>45758</v>
      </c>
      <c r="B317" s="2" t="s">
        <v>26</v>
      </c>
      <c r="C317" s="1">
        <f>SUM(PL!H317:J317)</f>
        <v>0</v>
      </c>
      <c r="D317" s="1">
        <f>SUM(PL!K317:M317)</f>
        <v>0</v>
      </c>
      <c r="E317" s="1">
        <f>SUM(PL!N317:P317)</f>
        <v>0</v>
      </c>
      <c r="F317" s="1">
        <f>SUM(PL!Q317:S317)</f>
        <v>0</v>
      </c>
      <c r="G317" s="1">
        <f>SUM(PL!T317:V317)</f>
        <v>0</v>
      </c>
      <c r="H317" s="1">
        <f>SUM(C317:G317)</f>
        <v>0</v>
      </c>
      <c r="I317" s="1">
        <f>IF(C317 + I316 &lt; 0, C317 + I316, 0)</f>
        <v>0</v>
      </c>
      <c r="J317" s="1">
        <f>IF(D317 + J316 &lt; 0, D317 + J316, 0)</f>
        <v>0</v>
      </c>
      <c r="K317" s="1">
        <f>IF(E317 + K316 &lt; 0, E317 + K316, 0)</f>
        <v>0</v>
      </c>
      <c r="L317" s="1">
        <f>IF(F317 + L316 &lt; 0, F317 + L316, 0)</f>
        <v>0</v>
      </c>
      <c r="M317" s="1">
        <f>IF(G317 + M316 &lt; 0, G317 + M316, 0)</f>
        <v>0</v>
      </c>
      <c r="N317" s="1">
        <f>IF(H317 + N316 &lt; 0, H317 + N316, 0)</f>
        <v>0</v>
      </c>
      <c r="O317" s="1">
        <f>IF(N317 &lt; 0, 1 + O316, 0)</f>
        <v>0</v>
      </c>
      <c r="P317" s="1">
        <f>C317-((ABS(SUM(PL!H317:J317)))*0.125)</f>
        <v>0</v>
      </c>
      <c r="Q317" s="1">
        <f>D317-((ABS(SUM(PL!K317:M317)))*0.125)</f>
        <v>0</v>
      </c>
      <c r="R317" s="1">
        <f>E317-((ABS(SUM(PL!N317:P317)))*0.125)</f>
        <v>0</v>
      </c>
      <c r="S317" s="1">
        <f>F317-((ABS(SUM(PL!Q317:S317)))*0.125)</f>
        <v>0</v>
      </c>
      <c r="T317" s="1">
        <f>G317-((ABS(SUM(PL!T317:V317)))*0.125)</f>
        <v>0</v>
      </c>
      <c r="U317" s="1">
        <f>P317 + Q317 + R317 + S317 + T317</f>
        <v>0</v>
      </c>
      <c r="V317" s="1">
        <f>IF(P317 + V316 &lt; 0, P317 + V316, 0)</f>
        <v>0</v>
      </c>
      <c r="W317" s="1">
        <f>IF(Q317 + W316 &lt; 0, Q317 + W316, 0)</f>
        <v>0</v>
      </c>
      <c r="X317" s="1">
        <f>IF(R317 + X316 &lt; 0, R317 + X316, 0)</f>
        <v>0</v>
      </c>
      <c r="Y317" s="1">
        <f>IF(S317 + Y316 &lt; 0, S317 + Y316, 0)</f>
        <v>0</v>
      </c>
      <c r="Z317" s="1">
        <f>IF(T317 + Z316 &lt; 0, T317 + Z316, 0)</f>
        <v>0</v>
      </c>
      <c r="AA317" s="1">
        <f>IF(U317 + AA316 &lt; 0, U317 + AA316, 0)</f>
        <v>0</v>
      </c>
      <c r="AB317" s="1">
        <f>IF(AA317 &lt; 0, 1 + AB316, 0)</f>
        <v>0</v>
      </c>
      <c r="AC317" s="1">
        <f>IF(H317&lt;0,1,0)</f>
        <v>0</v>
      </c>
      <c r="AD317" s="1">
        <f>IF(AC317=1,H317,0)</f>
        <v>0</v>
      </c>
      <c r="AE317" s="1">
        <f>IF(H317&gt;0,1,0)</f>
        <v>0</v>
      </c>
      <c r="AF317" s="1">
        <f>IF(AE317=1,H317,0)</f>
        <v>0</v>
      </c>
      <c r="AG317" s="1">
        <f>IF(AD317&lt;-20000000.0/100,1,0)</f>
        <v>0</v>
      </c>
      <c r="AH317" s="1">
        <f>IF(AF317&gt;20000000.0/100,1,0)</f>
        <v>0</v>
      </c>
      <c r="AI317" s="1">
        <f>IF(U317&lt;0,1,0)</f>
        <v>0</v>
      </c>
      <c r="AJ317" s="1">
        <f>IF(AI317=1,U317,0)</f>
        <v>0</v>
      </c>
      <c r="AK317" s="1">
        <f>IF(U317&gt;0,1,0)</f>
        <v>0</v>
      </c>
      <c r="AL317" s="1">
        <f>IF(AK317=1,U317,0)</f>
        <v>0</v>
      </c>
      <c r="AM317" s="1">
        <f>IF(AJ317&lt;-20000000.0/100,1,0)</f>
        <v>0</v>
      </c>
      <c r="AN317" s="1">
        <f>IF(AL317&gt;20000000.0/100,1,0)</f>
        <v>0</v>
      </c>
    </row>
    <row r="318" spans="1:40" s="1" customFormat="1">
      <c r="A318" s="3">
        <v>45762</v>
      </c>
      <c r="B318" s="2" t="s">
        <v>23</v>
      </c>
      <c r="C318" s="1">
        <f>SUM(PL!H318:J318)</f>
        <v>0</v>
      </c>
      <c r="D318" s="1">
        <f>SUM(PL!K318:M318)</f>
        <v>0</v>
      </c>
      <c r="E318" s="1">
        <f>SUM(PL!N318:P318)</f>
        <v>0</v>
      </c>
      <c r="F318" s="1">
        <f>SUM(PL!Q318:S318)</f>
        <v>0</v>
      </c>
      <c r="G318" s="1">
        <f>SUM(PL!T318:V318)</f>
        <v>0</v>
      </c>
      <c r="H318" s="1">
        <f>SUM(C318:G318)</f>
        <v>0</v>
      </c>
      <c r="I318" s="1">
        <f>IF(C318 + I317 &lt; 0, C318 + I317, 0)</f>
        <v>0</v>
      </c>
      <c r="J318" s="1">
        <f>IF(D318 + J317 &lt; 0, D318 + J317, 0)</f>
        <v>0</v>
      </c>
      <c r="K318" s="1">
        <f>IF(E318 + K317 &lt; 0, E318 + K317, 0)</f>
        <v>0</v>
      </c>
      <c r="L318" s="1">
        <f>IF(F318 + L317 &lt; 0, F318 + L317, 0)</f>
        <v>0</v>
      </c>
      <c r="M318" s="1">
        <f>IF(G318 + M317 &lt; 0, G318 + M317, 0)</f>
        <v>0</v>
      </c>
      <c r="N318" s="1">
        <f>IF(H318 + N317 &lt; 0, H318 + N317, 0)</f>
        <v>0</v>
      </c>
      <c r="O318" s="1">
        <f>IF(N318 &lt; 0, 1 + O317, 0)</f>
        <v>0</v>
      </c>
      <c r="P318" s="1">
        <f>C318-((ABS(SUM(PL!H318:J318)))*0.125)</f>
        <v>0</v>
      </c>
      <c r="Q318" s="1">
        <f>D318-((ABS(SUM(PL!K318:M318)))*0.125)</f>
        <v>0</v>
      </c>
      <c r="R318" s="1">
        <f>E318-((ABS(SUM(PL!N318:P318)))*0.125)</f>
        <v>0</v>
      </c>
      <c r="S318" s="1">
        <f>F318-((ABS(SUM(PL!Q318:S318)))*0.125)</f>
        <v>0</v>
      </c>
      <c r="T318" s="1">
        <f>G318-((ABS(SUM(PL!T318:V318)))*0.125)</f>
        <v>0</v>
      </c>
      <c r="U318" s="1">
        <f>P318 + Q318 + R318 + S318 + T318</f>
        <v>0</v>
      </c>
      <c r="V318" s="1">
        <f>IF(P318 + V317 &lt; 0, P318 + V317, 0)</f>
        <v>0</v>
      </c>
      <c r="W318" s="1">
        <f>IF(Q318 + W317 &lt; 0, Q318 + W317, 0)</f>
        <v>0</v>
      </c>
      <c r="X318" s="1">
        <f>IF(R318 + X317 &lt; 0, R318 + X317, 0)</f>
        <v>0</v>
      </c>
      <c r="Y318" s="1">
        <f>IF(S318 + Y317 &lt; 0, S318 + Y317, 0)</f>
        <v>0</v>
      </c>
      <c r="Z318" s="1">
        <f>IF(T318 + Z317 &lt; 0, T318 + Z317, 0)</f>
        <v>0</v>
      </c>
      <c r="AA318" s="1">
        <f>IF(U318 + AA317 &lt; 0, U318 + AA317, 0)</f>
        <v>0</v>
      </c>
      <c r="AB318" s="1">
        <f>IF(AA318 &lt; 0, 1 + AB317, 0)</f>
        <v>0</v>
      </c>
      <c r="AC318" s="1">
        <f>IF(H318&lt;0,1,0)</f>
        <v>0</v>
      </c>
      <c r="AD318" s="1">
        <f>IF(AC318=1,H318,0)</f>
        <v>0</v>
      </c>
      <c r="AE318" s="1">
        <f>IF(H318&gt;0,1,0)</f>
        <v>0</v>
      </c>
      <c r="AF318" s="1">
        <f>IF(AE318=1,H318,0)</f>
        <v>0</v>
      </c>
      <c r="AG318" s="1">
        <f>IF(AD318&lt;-20000000.0/100,1,0)</f>
        <v>0</v>
      </c>
      <c r="AH318" s="1">
        <f>IF(AF318&gt;20000000.0/100,1,0)</f>
        <v>0</v>
      </c>
      <c r="AI318" s="1">
        <f>IF(U318&lt;0,1,0)</f>
        <v>0</v>
      </c>
      <c r="AJ318" s="1">
        <f>IF(AI318=1,U318,0)</f>
        <v>0</v>
      </c>
      <c r="AK318" s="1">
        <f>IF(U318&gt;0,1,0)</f>
        <v>0</v>
      </c>
      <c r="AL318" s="1">
        <f>IF(AK318=1,U318,0)</f>
        <v>0</v>
      </c>
      <c r="AM318" s="1">
        <f>IF(AJ318&lt;-20000000.0/100,1,0)</f>
        <v>0</v>
      </c>
      <c r="AN318" s="1">
        <f>IF(AL318&gt;20000000.0/100,1,0)</f>
        <v>0</v>
      </c>
    </row>
    <row r="319" spans="1:40" s="1" customFormat="1">
      <c r="A319" s="3">
        <v>45763</v>
      </c>
      <c r="B319" s="2" t="s">
        <v>24</v>
      </c>
      <c r="C319" s="1">
        <f>SUM(PL!H319:J319)</f>
        <v>0</v>
      </c>
      <c r="D319" s="1">
        <f>SUM(PL!K319:M319)</f>
        <v>0</v>
      </c>
      <c r="E319" s="1">
        <f>SUM(PL!N319:P319)</f>
        <v>0</v>
      </c>
      <c r="F319" s="1">
        <f>SUM(PL!Q319:S319)</f>
        <v>0</v>
      </c>
      <c r="G319" s="1">
        <f>SUM(PL!T319:V319)</f>
        <v>0</v>
      </c>
      <c r="H319" s="1">
        <f>SUM(C319:G319)</f>
        <v>0</v>
      </c>
      <c r="I319" s="1">
        <f>IF(C319 + I318 &lt; 0, C319 + I318, 0)</f>
        <v>0</v>
      </c>
      <c r="J319" s="1">
        <f>IF(D319 + J318 &lt; 0, D319 + J318, 0)</f>
        <v>0</v>
      </c>
      <c r="K319" s="1">
        <f>IF(E319 + K318 &lt; 0, E319 + K318, 0)</f>
        <v>0</v>
      </c>
      <c r="L319" s="1">
        <f>IF(F319 + L318 &lt; 0, F319 + L318, 0)</f>
        <v>0</v>
      </c>
      <c r="M319" s="1">
        <f>IF(G319 + M318 &lt; 0, G319 + M318, 0)</f>
        <v>0</v>
      </c>
      <c r="N319" s="1">
        <f>IF(H319 + N318 &lt; 0, H319 + N318, 0)</f>
        <v>0</v>
      </c>
      <c r="O319" s="1">
        <f>IF(N319 &lt; 0, 1 + O318, 0)</f>
        <v>0</v>
      </c>
      <c r="P319" s="1">
        <f>C319-((ABS(SUM(PL!H319:J319)))*0.125)</f>
        <v>0</v>
      </c>
      <c r="Q319" s="1">
        <f>D319-((ABS(SUM(PL!K319:M319)))*0.125)</f>
        <v>0</v>
      </c>
      <c r="R319" s="1">
        <f>E319-((ABS(SUM(PL!N319:P319)))*0.125)</f>
        <v>0</v>
      </c>
      <c r="S319" s="1">
        <f>F319-((ABS(SUM(PL!Q319:S319)))*0.125)</f>
        <v>0</v>
      </c>
      <c r="T319" s="1">
        <f>G319-((ABS(SUM(PL!T319:V319)))*0.125)</f>
        <v>0</v>
      </c>
      <c r="U319" s="1">
        <f>P319 + Q319 + R319 + S319 + T319</f>
        <v>0</v>
      </c>
      <c r="V319" s="1">
        <f>IF(P319 + V318 &lt; 0, P319 + V318, 0)</f>
        <v>0</v>
      </c>
      <c r="W319" s="1">
        <f>IF(Q319 + W318 &lt; 0, Q319 + W318, 0)</f>
        <v>0</v>
      </c>
      <c r="X319" s="1">
        <f>IF(R319 + X318 &lt; 0, R319 + X318, 0)</f>
        <v>0</v>
      </c>
      <c r="Y319" s="1">
        <f>IF(S319 + Y318 &lt; 0, S319 + Y318, 0)</f>
        <v>0</v>
      </c>
      <c r="Z319" s="1">
        <f>IF(T319 + Z318 &lt; 0, T319 + Z318, 0)</f>
        <v>0</v>
      </c>
      <c r="AA319" s="1">
        <f>IF(U319 + AA318 &lt; 0, U319 + AA318, 0)</f>
        <v>0</v>
      </c>
      <c r="AB319" s="1">
        <f>IF(AA319 &lt; 0, 1 + AB318, 0)</f>
        <v>0</v>
      </c>
      <c r="AC319" s="1">
        <f>IF(H319&lt;0,1,0)</f>
        <v>0</v>
      </c>
      <c r="AD319" s="1">
        <f>IF(AC319=1,H319,0)</f>
        <v>0</v>
      </c>
      <c r="AE319" s="1">
        <f>IF(H319&gt;0,1,0)</f>
        <v>0</v>
      </c>
      <c r="AF319" s="1">
        <f>IF(AE319=1,H319,0)</f>
        <v>0</v>
      </c>
      <c r="AG319" s="1">
        <f>IF(AD319&lt;-20000000.0/100,1,0)</f>
        <v>0</v>
      </c>
      <c r="AH319" s="1">
        <f>IF(AF319&gt;20000000.0/100,1,0)</f>
        <v>0</v>
      </c>
      <c r="AI319" s="1">
        <f>IF(U319&lt;0,1,0)</f>
        <v>0</v>
      </c>
      <c r="AJ319" s="1">
        <f>IF(AI319=1,U319,0)</f>
        <v>0</v>
      </c>
      <c r="AK319" s="1">
        <f>IF(U319&gt;0,1,0)</f>
        <v>0</v>
      </c>
      <c r="AL319" s="1">
        <f>IF(AK319=1,U319,0)</f>
        <v>0</v>
      </c>
      <c r="AM319" s="1">
        <f>IF(AJ319&lt;-20000000.0/100,1,0)</f>
        <v>0</v>
      </c>
      <c r="AN319" s="1">
        <f>IF(AL319&gt;20000000.0/100,1,0)</f>
        <v>0</v>
      </c>
    </row>
    <row r="320" spans="1:40" s="1" customFormat="1">
      <c r="A320" s="3">
        <v>45764</v>
      </c>
      <c r="B320" s="2" t="s">
        <v>25</v>
      </c>
      <c r="C320" s="1">
        <f>SUM(PL!H320:J320)</f>
        <v>0</v>
      </c>
      <c r="D320" s="1">
        <f>SUM(PL!K320:M320)</f>
        <v>0</v>
      </c>
      <c r="E320" s="1">
        <f>SUM(PL!N320:P320)</f>
        <v>0</v>
      </c>
      <c r="F320" s="1">
        <f>SUM(PL!Q320:S320)</f>
        <v>0</v>
      </c>
      <c r="G320" s="1">
        <f>SUM(PL!T320:V320)</f>
        <v>0</v>
      </c>
      <c r="H320" s="1">
        <f>SUM(C320:G320)</f>
        <v>0</v>
      </c>
      <c r="I320" s="1">
        <f>IF(C320 + I319 &lt; 0, C320 + I319, 0)</f>
        <v>0</v>
      </c>
      <c r="J320" s="1">
        <f>IF(D320 + J319 &lt; 0, D320 + J319, 0)</f>
        <v>0</v>
      </c>
      <c r="K320" s="1">
        <f>IF(E320 + K319 &lt; 0, E320 + K319, 0)</f>
        <v>0</v>
      </c>
      <c r="L320" s="1">
        <f>IF(F320 + L319 &lt; 0, F320 + L319, 0)</f>
        <v>0</v>
      </c>
      <c r="M320" s="1">
        <f>IF(G320 + M319 &lt; 0, G320 + M319, 0)</f>
        <v>0</v>
      </c>
      <c r="N320" s="1">
        <f>IF(H320 + N319 &lt; 0, H320 + N319, 0)</f>
        <v>0</v>
      </c>
      <c r="O320" s="1">
        <f>IF(N320 &lt; 0, 1 + O319, 0)</f>
        <v>0</v>
      </c>
      <c r="P320" s="1">
        <f>C320-((ABS(SUM(PL!H320:J320)))*0.125)</f>
        <v>0</v>
      </c>
      <c r="Q320" s="1">
        <f>D320-((ABS(SUM(PL!K320:M320)))*0.125)</f>
        <v>0</v>
      </c>
      <c r="R320" s="1">
        <f>E320-((ABS(SUM(PL!N320:P320)))*0.125)</f>
        <v>0</v>
      </c>
      <c r="S320" s="1">
        <f>F320-((ABS(SUM(PL!Q320:S320)))*0.125)</f>
        <v>0</v>
      </c>
      <c r="T320" s="1">
        <f>G320-((ABS(SUM(PL!T320:V320)))*0.125)</f>
        <v>0</v>
      </c>
      <c r="U320" s="1">
        <f>P320 + Q320 + R320 + S320 + T320</f>
        <v>0</v>
      </c>
      <c r="V320" s="1">
        <f>IF(P320 + V319 &lt; 0, P320 + V319, 0)</f>
        <v>0</v>
      </c>
      <c r="W320" s="1">
        <f>IF(Q320 + W319 &lt; 0, Q320 + W319, 0)</f>
        <v>0</v>
      </c>
      <c r="X320" s="1">
        <f>IF(R320 + X319 &lt; 0, R320 + X319, 0)</f>
        <v>0</v>
      </c>
      <c r="Y320" s="1">
        <f>IF(S320 + Y319 &lt; 0, S320 + Y319, 0)</f>
        <v>0</v>
      </c>
      <c r="Z320" s="1">
        <f>IF(T320 + Z319 &lt; 0, T320 + Z319, 0)</f>
        <v>0</v>
      </c>
      <c r="AA320" s="1">
        <f>IF(U320 + AA319 &lt; 0, U320 + AA319, 0)</f>
        <v>0</v>
      </c>
      <c r="AB320" s="1">
        <f>IF(AA320 &lt; 0, 1 + AB319, 0)</f>
        <v>0</v>
      </c>
      <c r="AC320" s="1">
        <f>IF(H320&lt;0,1,0)</f>
        <v>0</v>
      </c>
      <c r="AD320" s="1">
        <f>IF(AC320=1,H320,0)</f>
        <v>0</v>
      </c>
      <c r="AE320" s="1">
        <f>IF(H320&gt;0,1,0)</f>
        <v>0</v>
      </c>
      <c r="AF320" s="1">
        <f>IF(AE320=1,H320,0)</f>
        <v>0</v>
      </c>
      <c r="AG320" s="1">
        <f>IF(AD320&lt;-20000000.0/100,1,0)</f>
        <v>0</v>
      </c>
      <c r="AH320" s="1">
        <f>IF(AF320&gt;20000000.0/100,1,0)</f>
        <v>0</v>
      </c>
      <c r="AI320" s="1">
        <f>IF(U320&lt;0,1,0)</f>
        <v>0</v>
      </c>
      <c r="AJ320" s="1">
        <f>IF(AI320=1,U320,0)</f>
        <v>0</v>
      </c>
      <c r="AK320" s="1">
        <f>IF(U320&gt;0,1,0)</f>
        <v>0</v>
      </c>
      <c r="AL320" s="1">
        <f>IF(AK320=1,U320,0)</f>
        <v>0</v>
      </c>
      <c r="AM320" s="1">
        <f>IF(AJ320&lt;-20000000.0/100,1,0)</f>
        <v>0</v>
      </c>
      <c r="AN320" s="1">
        <f>IF(AL320&gt;20000000.0/100,1,0)</f>
        <v>0</v>
      </c>
    </row>
    <row r="321" spans="1:40" s="1" customFormat="1">
      <c r="A321" s="3">
        <v>45768</v>
      </c>
      <c r="B321" s="2" t="s">
        <v>22</v>
      </c>
      <c r="C321" s="1">
        <f>SUM(PL!H321:J321)</f>
        <v>0</v>
      </c>
      <c r="D321" s="1">
        <f>SUM(PL!K321:M321)</f>
        <v>0</v>
      </c>
      <c r="E321" s="1">
        <f>SUM(PL!N321:P321)</f>
        <v>0</v>
      </c>
      <c r="F321" s="1">
        <f>SUM(PL!Q321:S321)</f>
        <v>0</v>
      </c>
      <c r="G321" s="1">
        <f>SUM(PL!T321:V321)</f>
        <v>0</v>
      </c>
      <c r="H321" s="1">
        <f>SUM(C321:G321)</f>
        <v>0</v>
      </c>
      <c r="I321" s="1">
        <f>IF(C321 + I320 &lt; 0, C321 + I320, 0)</f>
        <v>0</v>
      </c>
      <c r="J321" s="1">
        <f>IF(D321 + J320 &lt; 0, D321 + J320, 0)</f>
        <v>0</v>
      </c>
      <c r="K321" s="1">
        <f>IF(E321 + K320 &lt; 0, E321 + K320, 0)</f>
        <v>0</v>
      </c>
      <c r="L321" s="1">
        <f>IF(F321 + L320 &lt; 0, F321 + L320, 0)</f>
        <v>0</v>
      </c>
      <c r="M321" s="1">
        <f>IF(G321 + M320 &lt; 0, G321 + M320, 0)</f>
        <v>0</v>
      </c>
      <c r="N321" s="1">
        <f>IF(H321 + N320 &lt; 0, H321 + N320, 0)</f>
        <v>0</v>
      </c>
      <c r="O321" s="1">
        <f>IF(N321 &lt; 0, 1 + O320, 0)</f>
        <v>0</v>
      </c>
      <c r="P321" s="1">
        <f>C321-((ABS(SUM(PL!H321:J321)))*0.125)</f>
        <v>0</v>
      </c>
      <c r="Q321" s="1">
        <f>D321-((ABS(SUM(PL!K321:M321)))*0.125)</f>
        <v>0</v>
      </c>
      <c r="R321" s="1">
        <f>E321-((ABS(SUM(PL!N321:P321)))*0.125)</f>
        <v>0</v>
      </c>
      <c r="S321" s="1">
        <f>F321-((ABS(SUM(PL!Q321:S321)))*0.125)</f>
        <v>0</v>
      </c>
      <c r="T321" s="1">
        <f>G321-((ABS(SUM(PL!T321:V321)))*0.125)</f>
        <v>0</v>
      </c>
      <c r="U321" s="1">
        <f>P321 + Q321 + R321 + S321 + T321</f>
        <v>0</v>
      </c>
      <c r="V321" s="1">
        <f>IF(P321 + V320 &lt; 0, P321 + V320, 0)</f>
        <v>0</v>
      </c>
      <c r="W321" s="1">
        <f>IF(Q321 + W320 &lt; 0, Q321 + W320, 0)</f>
        <v>0</v>
      </c>
      <c r="X321" s="1">
        <f>IF(R321 + X320 &lt; 0, R321 + X320, 0)</f>
        <v>0</v>
      </c>
      <c r="Y321" s="1">
        <f>IF(S321 + Y320 &lt; 0, S321 + Y320, 0)</f>
        <v>0</v>
      </c>
      <c r="Z321" s="1">
        <f>IF(T321 + Z320 &lt; 0, T321 + Z320, 0)</f>
        <v>0</v>
      </c>
      <c r="AA321" s="1">
        <f>IF(U321 + AA320 &lt; 0, U321 + AA320, 0)</f>
        <v>0</v>
      </c>
      <c r="AB321" s="1">
        <f>IF(AA321 &lt; 0, 1 + AB320, 0)</f>
        <v>0</v>
      </c>
      <c r="AC321" s="1">
        <f>IF(H321&lt;0,1,0)</f>
        <v>0</v>
      </c>
      <c r="AD321" s="1">
        <f>IF(AC321=1,H321,0)</f>
        <v>0</v>
      </c>
      <c r="AE321" s="1">
        <f>IF(H321&gt;0,1,0)</f>
        <v>0</v>
      </c>
      <c r="AF321" s="1">
        <f>IF(AE321=1,H321,0)</f>
        <v>0</v>
      </c>
      <c r="AG321" s="1">
        <f>IF(AD321&lt;-20000000.0/100,1,0)</f>
        <v>0</v>
      </c>
      <c r="AH321" s="1">
        <f>IF(AF321&gt;20000000.0/100,1,0)</f>
        <v>0</v>
      </c>
      <c r="AI321" s="1">
        <f>IF(U321&lt;0,1,0)</f>
        <v>0</v>
      </c>
      <c r="AJ321" s="1">
        <f>IF(AI321=1,U321,0)</f>
        <v>0</v>
      </c>
      <c r="AK321" s="1">
        <f>IF(U321&gt;0,1,0)</f>
        <v>0</v>
      </c>
      <c r="AL321" s="1">
        <f>IF(AK321=1,U321,0)</f>
        <v>0</v>
      </c>
      <c r="AM321" s="1">
        <f>IF(AJ321&lt;-20000000.0/100,1,0)</f>
        <v>0</v>
      </c>
      <c r="AN321" s="1">
        <f>IF(AL321&gt;20000000.0/100,1,0)</f>
        <v>0</v>
      </c>
    </row>
    <row r="322" spans="1:40" s="1" customFormat="1">
      <c r="A322" s="3">
        <v>45769</v>
      </c>
      <c r="B322" s="2" t="s">
        <v>23</v>
      </c>
      <c r="C322" s="1">
        <f>SUM(PL!H322:J322)</f>
        <v>0</v>
      </c>
      <c r="D322" s="1">
        <f>SUM(PL!K322:M322)</f>
        <v>0</v>
      </c>
      <c r="E322" s="1">
        <f>SUM(PL!N322:P322)</f>
        <v>0</v>
      </c>
      <c r="F322" s="1">
        <f>SUM(PL!Q322:S322)</f>
        <v>0</v>
      </c>
      <c r="G322" s="1">
        <f>SUM(PL!T322:V322)</f>
        <v>0</v>
      </c>
      <c r="H322" s="1">
        <f>SUM(C322:G322)</f>
        <v>0</v>
      </c>
      <c r="I322" s="1">
        <f>IF(C322 + I321 &lt; 0, C322 + I321, 0)</f>
        <v>0</v>
      </c>
      <c r="J322" s="1">
        <f>IF(D322 + J321 &lt; 0, D322 + J321, 0)</f>
        <v>0</v>
      </c>
      <c r="K322" s="1">
        <f>IF(E322 + K321 &lt; 0, E322 + K321, 0)</f>
        <v>0</v>
      </c>
      <c r="L322" s="1">
        <f>IF(F322 + L321 &lt; 0, F322 + L321, 0)</f>
        <v>0</v>
      </c>
      <c r="M322" s="1">
        <f>IF(G322 + M321 &lt; 0, G322 + M321, 0)</f>
        <v>0</v>
      </c>
      <c r="N322" s="1">
        <f>IF(H322 + N321 &lt; 0, H322 + N321, 0)</f>
        <v>0</v>
      </c>
      <c r="O322" s="1">
        <f>IF(N322 &lt; 0, 1 + O321, 0)</f>
        <v>0</v>
      </c>
      <c r="P322" s="1">
        <f>C322-((ABS(SUM(PL!H322:J322)))*0.125)</f>
        <v>0</v>
      </c>
      <c r="Q322" s="1">
        <f>D322-((ABS(SUM(PL!K322:M322)))*0.125)</f>
        <v>0</v>
      </c>
      <c r="R322" s="1">
        <f>E322-((ABS(SUM(PL!N322:P322)))*0.125)</f>
        <v>0</v>
      </c>
      <c r="S322" s="1">
        <f>F322-((ABS(SUM(PL!Q322:S322)))*0.125)</f>
        <v>0</v>
      </c>
      <c r="T322" s="1">
        <f>G322-((ABS(SUM(PL!T322:V322)))*0.125)</f>
        <v>0</v>
      </c>
      <c r="U322" s="1">
        <f>P322 + Q322 + R322 + S322 + T322</f>
        <v>0</v>
      </c>
      <c r="V322" s="1">
        <f>IF(P322 + V321 &lt; 0, P322 + V321, 0)</f>
        <v>0</v>
      </c>
      <c r="W322" s="1">
        <f>IF(Q322 + W321 &lt; 0, Q322 + W321, 0)</f>
        <v>0</v>
      </c>
      <c r="X322" s="1">
        <f>IF(R322 + X321 &lt; 0, R322 + X321, 0)</f>
        <v>0</v>
      </c>
      <c r="Y322" s="1">
        <f>IF(S322 + Y321 &lt; 0, S322 + Y321, 0)</f>
        <v>0</v>
      </c>
      <c r="Z322" s="1">
        <f>IF(T322 + Z321 &lt; 0, T322 + Z321, 0)</f>
        <v>0</v>
      </c>
      <c r="AA322" s="1">
        <f>IF(U322 + AA321 &lt; 0, U322 + AA321, 0)</f>
        <v>0</v>
      </c>
      <c r="AB322" s="1">
        <f>IF(AA322 &lt; 0, 1 + AB321, 0)</f>
        <v>0</v>
      </c>
      <c r="AC322" s="1">
        <f>IF(H322&lt;0,1,0)</f>
        <v>0</v>
      </c>
      <c r="AD322" s="1">
        <f>IF(AC322=1,H322,0)</f>
        <v>0</v>
      </c>
      <c r="AE322" s="1">
        <f>IF(H322&gt;0,1,0)</f>
        <v>0</v>
      </c>
      <c r="AF322" s="1">
        <f>IF(AE322=1,H322,0)</f>
        <v>0</v>
      </c>
      <c r="AG322" s="1">
        <f>IF(AD322&lt;-20000000.0/100,1,0)</f>
        <v>0</v>
      </c>
      <c r="AH322" s="1">
        <f>IF(AF322&gt;20000000.0/100,1,0)</f>
        <v>0</v>
      </c>
      <c r="AI322" s="1">
        <f>IF(U322&lt;0,1,0)</f>
        <v>0</v>
      </c>
      <c r="AJ322" s="1">
        <f>IF(AI322=1,U322,0)</f>
        <v>0</v>
      </c>
      <c r="AK322" s="1">
        <f>IF(U322&gt;0,1,0)</f>
        <v>0</v>
      </c>
      <c r="AL322" s="1">
        <f>IF(AK322=1,U322,0)</f>
        <v>0</v>
      </c>
      <c r="AM322" s="1">
        <f>IF(AJ322&lt;-20000000.0/100,1,0)</f>
        <v>0</v>
      </c>
      <c r="AN322" s="1">
        <f>IF(AL322&gt;20000000.0/100,1,0)</f>
        <v>0</v>
      </c>
    </row>
    <row r="323" spans="1:40" s="1" customFormat="1">
      <c r="A323" s="3">
        <v>45770</v>
      </c>
      <c r="B323" s="2" t="s">
        <v>24</v>
      </c>
      <c r="C323" s="1">
        <f>SUM(PL!H323:J323)</f>
        <v>0</v>
      </c>
      <c r="D323" s="1">
        <f>SUM(PL!K323:M323)</f>
        <v>0</v>
      </c>
      <c r="E323" s="1">
        <f>SUM(PL!N323:P323)</f>
        <v>0</v>
      </c>
      <c r="F323" s="1">
        <f>SUM(PL!Q323:S323)</f>
        <v>0</v>
      </c>
      <c r="G323" s="1">
        <f>SUM(PL!T323:V323)</f>
        <v>0</v>
      </c>
      <c r="H323" s="1">
        <f>SUM(C323:G323)</f>
        <v>0</v>
      </c>
      <c r="I323" s="1">
        <f>IF(C323 + I322 &lt; 0, C323 + I322, 0)</f>
        <v>0</v>
      </c>
      <c r="J323" s="1">
        <f>IF(D323 + J322 &lt; 0, D323 + J322, 0)</f>
        <v>0</v>
      </c>
      <c r="K323" s="1">
        <f>IF(E323 + K322 &lt; 0, E323 + K322, 0)</f>
        <v>0</v>
      </c>
      <c r="L323" s="1">
        <f>IF(F323 + L322 &lt; 0, F323 + L322, 0)</f>
        <v>0</v>
      </c>
      <c r="M323" s="1">
        <f>IF(G323 + M322 &lt; 0, G323 + M322, 0)</f>
        <v>0</v>
      </c>
      <c r="N323" s="1">
        <f>IF(H323 + N322 &lt; 0, H323 + N322, 0)</f>
        <v>0</v>
      </c>
      <c r="O323" s="1">
        <f>IF(N323 &lt; 0, 1 + O322, 0)</f>
        <v>0</v>
      </c>
      <c r="P323" s="1">
        <f>C323-((ABS(SUM(PL!H323:J323)))*0.125)</f>
        <v>0</v>
      </c>
      <c r="Q323" s="1">
        <f>D323-((ABS(SUM(PL!K323:M323)))*0.125)</f>
        <v>0</v>
      </c>
      <c r="R323" s="1">
        <f>E323-((ABS(SUM(PL!N323:P323)))*0.125)</f>
        <v>0</v>
      </c>
      <c r="S323" s="1">
        <f>F323-((ABS(SUM(PL!Q323:S323)))*0.125)</f>
        <v>0</v>
      </c>
      <c r="T323" s="1">
        <f>G323-((ABS(SUM(PL!T323:V323)))*0.125)</f>
        <v>0</v>
      </c>
      <c r="U323" s="1">
        <f>P323 + Q323 + R323 + S323 + T323</f>
        <v>0</v>
      </c>
      <c r="V323" s="1">
        <f>IF(P323 + V322 &lt; 0, P323 + V322, 0)</f>
        <v>0</v>
      </c>
      <c r="W323" s="1">
        <f>IF(Q323 + W322 &lt; 0, Q323 + W322, 0)</f>
        <v>0</v>
      </c>
      <c r="X323" s="1">
        <f>IF(R323 + X322 &lt; 0, R323 + X322, 0)</f>
        <v>0</v>
      </c>
      <c r="Y323" s="1">
        <f>IF(S323 + Y322 &lt; 0, S323 + Y322, 0)</f>
        <v>0</v>
      </c>
      <c r="Z323" s="1">
        <f>IF(T323 + Z322 &lt; 0, T323 + Z322, 0)</f>
        <v>0</v>
      </c>
      <c r="AA323" s="1">
        <f>IF(U323 + AA322 &lt; 0, U323 + AA322, 0)</f>
        <v>0</v>
      </c>
      <c r="AB323" s="1">
        <f>IF(AA323 &lt; 0, 1 + AB322, 0)</f>
        <v>0</v>
      </c>
      <c r="AC323" s="1">
        <f>IF(H323&lt;0,1,0)</f>
        <v>0</v>
      </c>
      <c r="AD323" s="1">
        <f>IF(AC323=1,H323,0)</f>
        <v>0</v>
      </c>
      <c r="AE323" s="1">
        <f>IF(H323&gt;0,1,0)</f>
        <v>0</v>
      </c>
      <c r="AF323" s="1">
        <f>IF(AE323=1,H323,0)</f>
        <v>0</v>
      </c>
      <c r="AG323" s="1">
        <f>IF(AD323&lt;-20000000.0/100,1,0)</f>
        <v>0</v>
      </c>
      <c r="AH323" s="1">
        <f>IF(AF323&gt;20000000.0/100,1,0)</f>
        <v>0</v>
      </c>
      <c r="AI323" s="1">
        <f>IF(U323&lt;0,1,0)</f>
        <v>0</v>
      </c>
      <c r="AJ323" s="1">
        <f>IF(AI323=1,U323,0)</f>
        <v>0</v>
      </c>
      <c r="AK323" s="1">
        <f>IF(U323&gt;0,1,0)</f>
        <v>0</v>
      </c>
      <c r="AL323" s="1">
        <f>IF(AK323=1,U323,0)</f>
        <v>0</v>
      </c>
      <c r="AM323" s="1">
        <f>IF(AJ323&lt;-20000000.0/100,1,0)</f>
        <v>0</v>
      </c>
      <c r="AN323" s="1">
        <f>IF(AL323&gt;20000000.0/100,1,0)</f>
        <v>0</v>
      </c>
    </row>
    <row r="324" spans="1:40" s="1" customFormat="1">
      <c r="A324" s="3">
        <v>45771</v>
      </c>
      <c r="B324" s="2" t="s">
        <v>25</v>
      </c>
      <c r="C324" s="1">
        <f>SUM(PL!H324:J324)</f>
        <v>0</v>
      </c>
      <c r="D324" s="1">
        <f>SUM(PL!K324:M324)</f>
        <v>0</v>
      </c>
      <c r="E324" s="1">
        <f>SUM(PL!N324:P324)</f>
        <v>0</v>
      </c>
      <c r="F324" s="1">
        <f>SUM(PL!Q324:S324)</f>
        <v>0</v>
      </c>
      <c r="G324" s="1">
        <f>SUM(PL!T324:V324)</f>
        <v>0</v>
      </c>
      <c r="H324" s="1">
        <f>SUM(C324:G324)</f>
        <v>0</v>
      </c>
      <c r="I324" s="1">
        <f>IF(C324 + I323 &lt; 0, C324 + I323, 0)</f>
        <v>0</v>
      </c>
      <c r="J324" s="1">
        <f>IF(D324 + J323 &lt; 0, D324 + J323, 0)</f>
        <v>0</v>
      </c>
      <c r="K324" s="1">
        <f>IF(E324 + K323 &lt; 0, E324 + K323, 0)</f>
        <v>0</v>
      </c>
      <c r="L324" s="1">
        <f>IF(F324 + L323 &lt; 0, F324 + L323, 0)</f>
        <v>0</v>
      </c>
      <c r="M324" s="1">
        <f>IF(G324 + M323 &lt; 0, G324 + M323, 0)</f>
        <v>0</v>
      </c>
      <c r="N324" s="1">
        <f>IF(H324 + N323 &lt; 0, H324 + N323, 0)</f>
        <v>0</v>
      </c>
      <c r="O324" s="1">
        <f>IF(N324 &lt; 0, 1 + O323, 0)</f>
        <v>0</v>
      </c>
      <c r="P324" s="1">
        <f>C324-((ABS(SUM(PL!H324:J324)))*0.125)</f>
        <v>0</v>
      </c>
      <c r="Q324" s="1">
        <f>D324-((ABS(SUM(PL!K324:M324)))*0.125)</f>
        <v>0</v>
      </c>
      <c r="R324" s="1">
        <f>E324-((ABS(SUM(PL!N324:P324)))*0.125)</f>
        <v>0</v>
      </c>
      <c r="S324" s="1">
        <f>F324-((ABS(SUM(PL!Q324:S324)))*0.125)</f>
        <v>0</v>
      </c>
      <c r="T324" s="1">
        <f>G324-((ABS(SUM(PL!T324:V324)))*0.125)</f>
        <v>0</v>
      </c>
      <c r="U324" s="1">
        <f>P324 + Q324 + R324 + S324 + T324</f>
        <v>0</v>
      </c>
      <c r="V324" s="1">
        <f>IF(P324 + V323 &lt; 0, P324 + V323, 0)</f>
        <v>0</v>
      </c>
      <c r="W324" s="1">
        <f>IF(Q324 + W323 &lt; 0, Q324 + W323, 0)</f>
        <v>0</v>
      </c>
      <c r="X324" s="1">
        <f>IF(R324 + X323 &lt; 0, R324 + X323, 0)</f>
        <v>0</v>
      </c>
      <c r="Y324" s="1">
        <f>IF(S324 + Y323 &lt; 0, S324 + Y323, 0)</f>
        <v>0</v>
      </c>
      <c r="Z324" s="1">
        <f>IF(T324 + Z323 &lt; 0, T324 + Z323, 0)</f>
        <v>0</v>
      </c>
      <c r="AA324" s="1">
        <f>IF(U324 + AA323 &lt; 0, U324 + AA323, 0)</f>
        <v>0</v>
      </c>
      <c r="AB324" s="1">
        <f>IF(AA324 &lt; 0, 1 + AB323, 0)</f>
        <v>0</v>
      </c>
      <c r="AC324" s="1">
        <f>IF(H324&lt;0,1,0)</f>
        <v>0</v>
      </c>
      <c r="AD324" s="1">
        <f>IF(AC324=1,H324,0)</f>
        <v>0</v>
      </c>
      <c r="AE324" s="1">
        <f>IF(H324&gt;0,1,0)</f>
        <v>0</v>
      </c>
      <c r="AF324" s="1">
        <f>IF(AE324=1,H324,0)</f>
        <v>0</v>
      </c>
      <c r="AG324" s="1">
        <f>IF(AD324&lt;-20000000.0/100,1,0)</f>
        <v>0</v>
      </c>
      <c r="AH324" s="1">
        <f>IF(AF324&gt;20000000.0/100,1,0)</f>
        <v>0</v>
      </c>
      <c r="AI324" s="1">
        <f>IF(U324&lt;0,1,0)</f>
        <v>0</v>
      </c>
      <c r="AJ324" s="1">
        <f>IF(AI324=1,U324,0)</f>
        <v>0</v>
      </c>
      <c r="AK324" s="1">
        <f>IF(U324&gt;0,1,0)</f>
        <v>0</v>
      </c>
      <c r="AL324" s="1">
        <f>IF(AK324=1,U324,0)</f>
        <v>0</v>
      </c>
      <c r="AM324" s="1">
        <f>IF(AJ324&lt;-20000000.0/100,1,0)</f>
        <v>0</v>
      </c>
      <c r="AN324" s="1">
        <f>IF(AL324&gt;20000000.0/100,1,0)</f>
        <v>0</v>
      </c>
    </row>
    <row r="325" spans="1:40" s="1" customFormat="1">
      <c r="A325" s="3">
        <v>45772</v>
      </c>
      <c r="B325" s="2" t="s">
        <v>26</v>
      </c>
      <c r="C325" s="1">
        <f>SUM(PL!H325:J325)</f>
        <v>0</v>
      </c>
      <c r="D325" s="1">
        <f>SUM(PL!K325:M325)</f>
        <v>0</v>
      </c>
      <c r="E325" s="1">
        <f>SUM(PL!N325:P325)</f>
        <v>0</v>
      </c>
      <c r="F325" s="1">
        <f>SUM(PL!Q325:S325)</f>
        <v>0</v>
      </c>
      <c r="G325" s="1">
        <f>SUM(PL!T325:V325)</f>
        <v>0</v>
      </c>
      <c r="H325" s="1">
        <f>SUM(C325:G325)</f>
        <v>0</v>
      </c>
      <c r="I325" s="1">
        <f>IF(C325 + I324 &lt; 0, C325 + I324, 0)</f>
        <v>0</v>
      </c>
      <c r="J325" s="1">
        <f>IF(D325 + J324 &lt; 0, D325 + J324, 0)</f>
        <v>0</v>
      </c>
      <c r="K325" s="1">
        <f>IF(E325 + K324 &lt; 0, E325 + K324, 0)</f>
        <v>0</v>
      </c>
      <c r="L325" s="1">
        <f>IF(F325 + L324 &lt; 0, F325 + L324, 0)</f>
        <v>0</v>
      </c>
      <c r="M325" s="1">
        <f>IF(G325 + M324 &lt; 0, G325 + M324, 0)</f>
        <v>0</v>
      </c>
      <c r="N325" s="1">
        <f>IF(H325 + N324 &lt; 0, H325 + N324, 0)</f>
        <v>0</v>
      </c>
      <c r="O325" s="1">
        <f>IF(N325 &lt; 0, 1 + O324, 0)</f>
        <v>0</v>
      </c>
      <c r="P325" s="1">
        <f>C325-((ABS(SUM(PL!H325:J325)))*0.125)</f>
        <v>0</v>
      </c>
      <c r="Q325" s="1">
        <f>D325-((ABS(SUM(PL!K325:M325)))*0.125)</f>
        <v>0</v>
      </c>
      <c r="R325" s="1">
        <f>E325-((ABS(SUM(PL!N325:P325)))*0.125)</f>
        <v>0</v>
      </c>
      <c r="S325" s="1">
        <f>F325-((ABS(SUM(PL!Q325:S325)))*0.125)</f>
        <v>0</v>
      </c>
      <c r="T325" s="1">
        <f>G325-((ABS(SUM(PL!T325:V325)))*0.125)</f>
        <v>0</v>
      </c>
      <c r="U325" s="1">
        <f>P325 + Q325 + R325 + S325 + T325</f>
        <v>0</v>
      </c>
      <c r="V325" s="1">
        <f>IF(P325 + V324 &lt; 0, P325 + V324, 0)</f>
        <v>0</v>
      </c>
      <c r="W325" s="1">
        <f>IF(Q325 + W324 &lt; 0, Q325 + W324, 0)</f>
        <v>0</v>
      </c>
      <c r="X325" s="1">
        <f>IF(R325 + X324 &lt; 0, R325 + X324, 0)</f>
        <v>0</v>
      </c>
      <c r="Y325" s="1">
        <f>IF(S325 + Y324 &lt; 0, S325 + Y324, 0)</f>
        <v>0</v>
      </c>
      <c r="Z325" s="1">
        <f>IF(T325 + Z324 &lt; 0, T325 + Z324, 0)</f>
        <v>0</v>
      </c>
      <c r="AA325" s="1">
        <f>IF(U325 + AA324 &lt; 0, U325 + AA324, 0)</f>
        <v>0</v>
      </c>
      <c r="AB325" s="1">
        <f>IF(AA325 &lt; 0, 1 + AB324, 0)</f>
        <v>0</v>
      </c>
      <c r="AC325" s="1">
        <f>IF(H325&lt;0,1,0)</f>
        <v>0</v>
      </c>
      <c r="AD325" s="1">
        <f>IF(AC325=1,H325,0)</f>
        <v>0</v>
      </c>
      <c r="AE325" s="1">
        <f>IF(H325&gt;0,1,0)</f>
        <v>0</v>
      </c>
      <c r="AF325" s="1">
        <f>IF(AE325=1,H325,0)</f>
        <v>0</v>
      </c>
      <c r="AG325" s="1">
        <f>IF(AD325&lt;-20000000.0/100,1,0)</f>
        <v>0</v>
      </c>
      <c r="AH325" s="1">
        <f>IF(AF325&gt;20000000.0/100,1,0)</f>
        <v>0</v>
      </c>
      <c r="AI325" s="1">
        <f>IF(U325&lt;0,1,0)</f>
        <v>0</v>
      </c>
      <c r="AJ325" s="1">
        <f>IF(AI325=1,U325,0)</f>
        <v>0</v>
      </c>
      <c r="AK325" s="1">
        <f>IF(U325&gt;0,1,0)</f>
        <v>0</v>
      </c>
      <c r="AL325" s="1">
        <f>IF(AK325=1,U325,0)</f>
        <v>0</v>
      </c>
      <c r="AM325" s="1">
        <f>IF(AJ325&lt;-20000000.0/100,1,0)</f>
        <v>0</v>
      </c>
      <c r="AN325" s="1">
        <f>IF(AL325&gt;20000000.0/100,1,0)</f>
        <v>0</v>
      </c>
    </row>
    <row r="326" spans="1:40" s="1" customFormat="1">
      <c r="A326" s="3">
        <v>45775</v>
      </c>
      <c r="B326" s="2" t="s">
        <v>22</v>
      </c>
      <c r="C326" s="1">
        <f>SUM(PL!H326:J326)</f>
        <v>0</v>
      </c>
      <c r="D326" s="1">
        <f>SUM(PL!K326:M326)</f>
        <v>0</v>
      </c>
      <c r="E326" s="1">
        <f>SUM(PL!N326:P326)</f>
        <v>0</v>
      </c>
      <c r="F326" s="1">
        <f>SUM(PL!Q326:S326)</f>
        <v>0</v>
      </c>
      <c r="G326" s="1">
        <f>SUM(PL!T326:V326)</f>
        <v>0</v>
      </c>
      <c r="H326" s="1">
        <f>SUM(C326:G326)</f>
        <v>0</v>
      </c>
      <c r="I326" s="1">
        <f>IF(C326 + I325 &lt; 0, C326 + I325, 0)</f>
        <v>0</v>
      </c>
      <c r="J326" s="1">
        <f>IF(D326 + J325 &lt; 0, D326 + J325, 0)</f>
        <v>0</v>
      </c>
      <c r="K326" s="1">
        <f>IF(E326 + K325 &lt; 0, E326 + K325, 0)</f>
        <v>0</v>
      </c>
      <c r="L326" s="1">
        <f>IF(F326 + L325 &lt; 0, F326 + L325, 0)</f>
        <v>0</v>
      </c>
      <c r="M326" s="1">
        <f>IF(G326 + M325 &lt; 0, G326 + M325, 0)</f>
        <v>0</v>
      </c>
      <c r="N326" s="1">
        <f>IF(H326 + N325 &lt; 0, H326 + N325, 0)</f>
        <v>0</v>
      </c>
      <c r="O326" s="1">
        <f>IF(N326 &lt; 0, 1 + O325, 0)</f>
        <v>0</v>
      </c>
      <c r="P326" s="1">
        <f>C326-((ABS(SUM(PL!H326:J326)))*0.125)</f>
        <v>0</v>
      </c>
      <c r="Q326" s="1">
        <f>D326-((ABS(SUM(PL!K326:M326)))*0.125)</f>
        <v>0</v>
      </c>
      <c r="R326" s="1">
        <f>E326-((ABS(SUM(PL!N326:P326)))*0.125)</f>
        <v>0</v>
      </c>
      <c r="S326" s="1">
        <f>F326-((ABS(SUM(PL!Q326:S326)))*0.125)</f>
        <v>0</v>
      </c>
      <c r="T326" s="1">
        <f>G326-((ABS(SUM(PL!T326:V326)))*0.125)</f>
        <v>0</v>
      </c>
      <c r="U326" s="1">
        <f>P326 + Q326 + R326 + S326 + T326</f>
        <v>0</v>
      </c>
      <c r="V326" s="1">
        <f>IF(P326 + V325 &lt; 0, P326 + V325, 0)</f>
        <v>0</v>
      </c>
      <c r="W326" s="1">
        <f>IF(Q326 + W325 &lt; 0, Q326 + W325, 0)</f>
        <v>0</v>
      </c>
      <c r="X326" s="1">
        <f>IF(R326 + X325 &lt; 0, R326 + X325, 0)</f>
        <v>0</v>
      </c>
      <c r="Y326" s="1">
        <f>IF(S326 + Y325 &lt; 0, S326 + Y325, 0)</f>
        <v>0</v>
      </c>
      <c r="Z326" s="1">
        <f>IF(T326 + Z325 &lt; 0, T326 + Z325, 0)</f>
        <v>0</v>
      </c>
      <c r="AA326" s="1">
        <f>IF(U326 + AA325 &lt; 0, U326 + AA325, 0)</f>
        <v>0</v>
      </c>
      <c r="AB326" s="1">
        <f>IF(AA326 &lt; 0, 1 + AB325, 0)</f>
        <v>0</v>
      </c>
      <c r="AC326" s="1">
        <f>IF(H326&lt;0,1,0)</f>
        <v>0</v>
      </c>
      <c r="AD326" s="1">
        <f>IF(AC326=1,H326,0)</f>
        <v>0</v>
      </c>
      <c r="AE326" s="1">
        <f>IF(H326&gt;0,1,0)</f>
        <v>0</v>
      </c>
      <c r="AF326" s="1">
        <f>IF(AE326=1,H326,0)</f>
        <v>0</v>
      </c>
      <c r="AG326" s="1">
        <f>IF(AD326&lt;-20000000.0/100,1,0)</f>
        <v>0</v>
      </c>
      <c r="AH326" s="1">
        <f>IF(AF326&gt;20000000.0/100,1,0)</f>
        <v>0</v>
      </c>
      <c r="AI326" s="1">
        <f>IF(U326&lt;0,1,0)</f>
        <v>0</v>
      </c>
      <c r="AJ326" s="1">
        <f>IF(AI326=1,U326,0)</f>
        <v>0</v>
      </c>
      <c r="AK326" s="1">
        <f>IF(U326&gt;0,1,0)</f>
        <v>0</v>
      </c>
      <c r="AL326" s="1">
        <f>IF(AK326=1,U326,0)</f>
        <v>0</v>
      </c>
      <c r="AM326" s="1">
        <f>IF(AJ326&lt;-20000000.0/100,1,0)</f>
        <v>0</v>
      </c>
      <c r="AN326" s="1">
        <f>IF(AL326&gt;20000000.0/100,1,0)</f>
        <v>0</v>
      </c>
    </row>
    <row r="327" spans="1:40" s="1" customFormat="1">
      <c r="A327" s="3">
        <v>45776</v>
      </c>
      <c r="B327" s="2" t="s">
        <v>23</v>
      </c>
      <c r="C327" s="1">
        <f>SUM(PL!H327:J327)</f>
        <v>0</v>
      </c>
      <c r="D327" s="1">
        <f>SUM(PL!K327:M327)</f>
        <v>0</v>
      </c>
      <c r="E327" s="1">
        <f>SUM(PL!N327:P327)</f>
        <v>0</v>
      </c>
      <c r="F327" s="1">
        <f>SUM(PL!Q327:S327)</f>
        <v>0</v>
      </c>
      <c r="G327" s="1">
        <f>SUM(PL!T327:V327)</f>
        <v>0</v>
      </c>
      <c r="H327" s="1">
        <f>SUM(C327:G327)</f>
        <v>0</v>
      </c>
      <c r="I327" s="1">
        <f>IF(C327 + I326 &lt; 0, C327 + I326, 0)</f>
        <v>0</v>
      </c>
      <c r="J327" s="1">
        <f>IF(D327 + J326 &lt; 0, D327 + J326, 0)</f>
        <v>0</v>
      </c>
      <c r="K327" s="1">
        <f>IF(E327 + K326 &lt; 0, E327 + K326, 0)</f>
        <v>0</v>
      </c>
      <c r="L327" s="1">
        <f>IF(F327 + L326 &lt; 0, F327 + L326, 0)</f>
        <v>0</v>
      </c>
      <c r="M327" s="1">
        <f>IF(G327 + M326 &lt; 0, G327 + M326, 0)</f>
        <v>0</v>
      </c>
      <c r="N327" s="1">
        <f>IF(H327 + N326 &lt; 0, H327 + N326, 0)</f>
        <v>0</v>
      </c>
      <c r="O327" s="1">
        <f>IF(N327 &lt; 0, 1 + O326, 0)</f>
        <v>0</v>
      </c>
      <c r="P327" s="1">
        <f>C327-((ABS(SUM(PL!H327:J327)))*0.125)</f>
        <v>0</v>
      </c>
      <c r="Q327" s="1">
        <f>D327-((ABS(SUM(PL!K327:M327)))*0.125)</f>
        <v>0</v>
      </c>
      <c r="R327" s="1">
        <f>E327-((ABS(SUM(PL!N327:P327)))*0.125)</f>
        <v>0</v>
      </c>
      <c r="S327" s="1">
        <f>F327-((ABS(SUM(PL!Q327:S327)))*0.125)</f>
        <v>0</v>
      </c>
      <c r="T327" s="1">
        <f>G327-((ABS(SUM(PL!T327:V327)))*0.125)</f>
        <v>0</v>
      </c>
      <c r="U327" s="1">
        <f>P327 + Q327 + R327 + S327 + T327</f>
        <v>0</v>
      </c>
      <c r="V327" s="1">
        <f>IF(P327 + V326 &lt; 0, P327 + V326, 0)</f>
        <v>0</v>
      </c>
      <c r="W327" s="1">
        <f>IF(Q327 + W326 &lt; 0, Q327 + W326, 0)</f>
        <v>0</v>
      </c>
      <c r="X327" s="1">
        <f>IF(R327 + X326 &lt; 0, R327 + X326, 0)</f>
        <v>0</v>
      </c>
      <c r="Y327" s="1">
        <f>IF(S327 + Y326 &lt; 0, S327 + Y326, 0)</f>
        <v>0</v>
      </c>
      <c r="Z327" s="1">
        <f>IF(T327 + Z326 &lt; 0, T327 + Z326, 0)</f>
        <v>0</v>
      </c>
      <c r="AA327" s="1">
        <f>IF(U327 + AA326 &lt; 0, U327 + AA326, 0)</f>
        <v>0</v>
      </c>
      <c r="AB327" s="1">
        <f>IF(AA327 &lt; 0, 1 + AB326, 0)</f>
        <v>0</v>
      </c>
      <c r="AC327" s="1">
        <f>IF(H327&lt;0,1,0)</f>
        <v>0</v>
      </c>
      <c r="AD327" s="1">
        <f>IF(AC327=1,H327,0)</f>
        <v>0</v>
      </c>
      <c r="AE327" s="1">
        <f>IF(H327&gt;0,1,0)</f>
        <v>0</v>
      </c>
      <c r="AF327" s="1">
        <f>IF(AE327=1,H327,0)</f>
        <v>0</v>
      </c>
      <c r="AG327" s="1">
        <f>IF(AD327&lt;-20000000.0/100,1,0)</f>
        <v>0</v>
      </c>
      <c r="AH327" s="1">
        <f>IF(AF327&gt;20000000.0/100,1,0)</f>
        <v>0</v>
      </c>
      <c r="AI327" s="1">
        <f>IF(U327&lt;0,1,0)</f>
        <v>0</v>
      </c>
      <c r="AJ327" s="1">
        <f>IF(AI327=1,U327,0)</f>
        <v>0</v>
      </c>
      <c r="AK327" s="1">
        <f>IF(U327&gt;0,1,0)</f>
        <v>0</v>
      </c>
      <c r="AL327" s="1">
        <f>IF(AK327=1,U327,0)</f>
        <v>0</v>
      </c>
      <c r="AM327" s="1">
        <f>IF(AJ327&lt;-20000000.0/100,1,0)</f>
        <v>0</v>
      </c>
      <c r="AN327" s="1">
        <f>IF(AL327&gt;20000000.0/100,1,0)</f>
        <v>0</v>
      </c>
    </row>
    <row r="328" spans="1:40" s="1" customFormat="1">
      <c r="A328" s="3">
        <v>45777</v>
      </c>
      <c r="B328" s="2" t="s">
        <v>24</v>
      </c>
      <c r="C328" s="1">
        <f>SUM(PL!H328:J328)</f>
        <v>0</v>
      </c>
      <c r="D328" s="1">
        <f>SUM(PL!K328:M328)</f>
        <v>0</v>
      </c>
      <c r="E328" s="1">
        <f>SUM(PL!N328:P328)</f>
        <v>0</v>
      </c>
      <c r="F328" s="1">
        <f>SUM(PL!Q328:S328)</f>
        <v>0</v>
      </c>
      <c r="G328" s="1">
        <f>SUM(PL!T328:V328)</f>
        <v>0</v>
      </c>
      <c r="H328" s="1">
        <f>SUM(C328:G328)</f>
        <v>0</v>
      </c>
      <c r="I328" s="1">
        <f>IF(C328 + I327 &lt; 0, C328 + I327, 0)</f>
        <v>0</v>
      </c>
      <c r="J328" s="1">
        <f>IF(D328 + J327 &lt; 0, D328 + J327, 0)</f>
        <v>0</v>
      </c>
      <c r="K328" s="1">
        <f>IF(E328 + K327 &lt; 0, E328 + K327, 0)</f>
        <v>0</v>
      </c>
      <c r="L328" s="1">
        <f>IF(F328 + L327 &lt; 0, F328 + L327, 0)</f>
        <v>0</v>
      </c>
      <c r="M328" s="1">
        <f>IF(G328 + M327 &lt; 0, G328 + M327, 0)</f>
        <v>0</v>
      </c>
      <c r="N328" s="1">
        <f>IF(H328 + N327 &lt; 0, H328 + N327, 0)</f>
        <v>0</v>
      </c>
      <c r="O328" s="1">
        <f>IF(N328 &lt; 0, 1 + O327, 0)</f>
        <v>0</v>
      </c>
      <c r="P328" s="1">
        <f>C328-((ABS(SUM(PL!H328:J328)))*0.125)</f>
        <v>0</v>
      </c>
      <c r="Q328" s="1">
        <f>D328-((ABS(SUM(PL!K328:M328)))*0.125)</f>
        <v>0</v>
      </c>
      <c r="R328" s="1">
        <f>E328-((ABS(SUM(PL!N328:P328)))*0.125)</f>
        <v>0</v>
      </c>
      <c r="S328" s="1">
        <f>F328-((ABS(SUM(PL!Q328:S328)))*0.125)</f>
        <v>0</v>
      </c>
      <c r="T328" s="1">
        <f>G328-((ABS(SUM(PL!T328:V328)))*0.125)</f>
        <v>0</v>
      </c>
      <c r="U328" s="1">
        <f>P328 + Q328 + R328 + S328 + T328</f>
        <v>0</v>
      </c>
      <c r="V328" s="1">
        <f>IF(P328 + V327 &lt; 0, P328 + V327, 0)</f>
        <v>0</v>
      </c>
      <c r="W328" s="1">
        <f>IF(Q328 + W327 &lt; 0, Q328 + W327, 0)</f>
        <v>0</v>
      </c>
      <c r="X328" s="1">
        <f>IF(R328 + X327 &lt; 0, R328 + X327, 0)</f>
        <v>0</v>
      </c>
      <c r="Y328" s="1">
        <f>IF(S328 + Y327 &lt; 0, S328 + Y327, 0)</f>
        <v>0</v>
      </c>
      <c r="Z328" s="1">
        <f>IF(T328 + Z327 &lt; 0, T328 + Z327, 0)</f>
        <v>0</v>
      </c>
      <c r="AA328" s="1">
        <f>IF(U328 + AA327 &lt; 0, U328 + AA327, 0)</f>
        <v>0</v>
      </c>
      <c r="AB328" s="1">
        <f>IF(AA328 &lt; 0, 1 + AB327, 0)</f>
        <v>0</v>
      </c>
      <c r="AC328" s="1">
        <f>IF(H328&lt;0,1,0)</f>
        <v>0</v>
      </c>
      <c r="AD328" s="1">
        <f>IF(AC328=1,H328,0)</f>
        <v>0</v>
      </c>
      <c r="AE328" s="1">
        <f>IF(H328&gt;0,1,0)</f>
        <v>0</v>
      </c>
      <c r="AF328" s="1">
        <f>IF(AE328=1,H328,0)</f>
        <v>0</v>
      </c>
      <c r="AG328" s="1">
        <f>IF(AD328&lt;-20000000.0/100,1,0)</f>
        <v>0</v>
      </c>
      <c r="AH328" s="1">
        <f>IF(AF328&gt;20000000.0/100,1,0)</f>
        <v>0</v>
      </c>
      <c r="AI328" s="1">
        <f>IF(U328&lt;0,1,0)</f>
        <v>0</v>
      </c>
      <c r="AJ328" s="1">
        <f>IF(AI328=1,U328,0)</f>
        <v>0</v>
      </c>
      <c r="AK328" s="1">
        <f>IF(U328&gt;0,1,0)</f>
        <v>0</v>
      </c>
      <c r="AL328" s="1">
        <f>IF(AK328=1,U328,0)</f>
        <v>0</v>
      </c>
      <c r="AM328" s="1">
        <f>IF(AJ328&lt;-20000000.0/100,1,0)</f>
        <v>0</v>
      </c>
      <c r="AN328" s="1">
        <f>IF(AL328&gt;20000000.0/100,1,0)</f>
        <v>0</v>
      </c>
    </row>
    <row r="329" spans="1:40" s="1" customFormat="1">
      <c r="A329" s="3">
        <v>45779</v>
      </c>
      <c r="B329" s="2" t="s">
        <v>26</v>
      </c>
      <c r="C329" s="1">
        <f>SUM(PL!H329:J329)</f>
        <v>0</v>
      </c>
      <c r="D329" s="1">
        <f>SUM(PL!K329:M329)</f>
        <v>0</v>
      </c>
      <c r="E329" s="1">
        <f>SUM(PL!N329:P329)</f>
        <v>0</v>
      </c>
      <c r="F329" s="1">
        <f>SUM(PL!Q329:S329)</f>
        <v>0</v>
      </c>
      <c r="G329" s="1">
        <f>SUM(PL!T329:V329)</f>
        <v>0</v>
      </c>
      <c r="H329" s="1">
        <f>SUM(C329:G329)</f>
        <v>0</v>
      </c>
      <c r="I329" s="1">
        <f>IF(C329 + I328 &lt; 0, C329 + I328, 0)</f>
        <v>0</v>
      </c>
      <c r="J329" s="1">
        <f>IF(D329 + J328 &lt; 0, D329 + J328, 0)</f>
        <v>0</v>
      </c>
      <c r="K329" s="1">
        <f>IF(E329 + K328 &lt; 0, E329 + K328, 0)</f>
        <v>0</v>
      </c>
      <c r="L329" s="1">
        <f>IF(F329 + L328 &lt; 0, F329 + L328, 0)</f>
        <v>0</v>
      </c>
      <c r="M329" s="1">
        <f>IF(G329 + M328 &lt; 0, G329 + M328, 0)</f>
        <v>0</v>
      </c>
      <c r="N329" s="1">
        <f>IF(H329 + N328 &lt; 0, H329 + N328, 0)</f>
        <v>0</v>
      </c>
      <c r="O329" s="1">
        <f>IF(N329 &lt; 0, 1 + O328, 0)</f>
        <v>0</v>
      </c>
      <c r="P329" s="1">
        <f>C329-((ABS(SUM(PL!H329:J329)))*0.125)</f>
        <v>0</v>
      </c>
      <c r="Q329" s="1">
        <f>D329-((ABS(SUM(PL!K329:M329)))*0.125)</f>
        <v>0</v>
      </c>
      <c r="R329" s="1">
        <f>E329-((ABS(SUM(PL!N329:P329)))*0.125)</f>
        <v>0</v>
      </c>
      <c r="S329" s="1">
        <f>F329-((ABS(SUM(PL!Q329:S329)))*0.125)</f>
        <v>0</v>
      </c>
      <c r="T329" s="1">
        <f>G329-((ABS(SUM(PL!T329:V329)))*0.125)</f>
        <v>0</v>
      </c>
      <c r="U329" s="1">
        <f>P329 + Q329 + R329 + S329 + T329</f>
        <v>0</v>
      </c>
      <c r="V329" s="1">
        <f>IF(P329 + V328 &lt; 0, P329 + V328, 0)</f>
        <v>0</v>
      </c>
      <c r="W329" s="1">
        <f>IF(Q329 + W328 &lt; 0, Q329 + W328, 0)</f>
        <v>0</v>
      </c>
      <c r="X329" s="1">
        <f>IF(R329 + X328 &lt; 0, R329 + X328, 0)</f>
        <v>0</v>
      </c>
      <c r="Y329" s="1">
        <f>IF(S329 + Y328 &lt; 0, S329 + Y328, 0)</f>
        <v>0</v>
      </c>
      <c r="Z329" s="1">
        <f>IF(T329 + Z328 &lt; 0, T329 + Z328, 0)</f>
        <v>0</v>
      </c>
      <c r="AA329" s="1">
        <f>IF(U329 + AA328 &lt; 0, U329 + AA328, 0)</f>
        <v>0</v>
      </c>
      <c r="AB329" s="1">
        <f>IF(AA329 &lt; 0, 1 + AB328, 0)</f>
        <v>0</v>
      </c>
      <c r="AC329" s="1">
        <f>IF(H329&lt;0,1,0)</f>
        <v>0</v>
      </c>
      <c r="AD329" s="1">
        <f>IF(AC329=1,H329,0)</f>
        <v>0</v>
      </c>
      <c r="AE329" s="1">
        <f>IF(H329&gt;0,1,0)</f>
        <v>0</v>
      </c>
      <c r="AF329" s="1">
        <f>IF(AE329=1,H329,0)</f>
        <v>0</v>
      </c>
      <c r="AG329" s="1">
        <f>IF(AD329&lt;-20000000.0/100,1,0)</f>
        <v>0</v>
      </c>
      <c r="AH329" s="1">
        <f>IF(AF329&gt;20000000.0/100,1,0)</f>
        <v>0</v>
      </c>
      <c r="AI329" s="1">
        <f>IF(U329&lt;0,1,0)</f>
        <v>0</v>
      </c>
      <c r="AJ329" s="1">
        <f>IF(AI329=1,U329,0)</f>
        <v>0</v>
      </c>
      <c r="AK329" s="1">
        <f>IF(U329&gt;0,1,0)</f>
        <v>0</v>
      </c>
      <c r="AL329" s="1">
        <f>IF(AK329=1,U329,0)</f>
        <v>0</v>
      </c>
      <c r="AM329" s="1">
        <f>IF(AJ329&lt;-20000000.0/100,1,0)</f>
        <v>0</v>
      </c>
      <c r="AN329" s="1">
        <f>IF(AL329&gt;20000000.0/100,1,0)</f>
        <v>0</v>
      </c>
    </row>
    <row r="330" spans="1:40" s="1" customFormat="1">
      <c r="A330" s="3">
        <v>45782</v>
      </c>
      <c r="B330" s="2" t="s">
        <v>22</v>
      </c>
      <c r="C330" s="1">
        <f>SUM(PL!H330:J330)</f>
        <v>0</v>
      </c>
      <c r="D330" s="1">
        <f>SUM(PL!K330:M330)</f>
        <v>0</v>
      </c>
      <c r="E330" s="1">
        <f>SUM(PL!N330:P330)</f>
        <v>0</v>
      </c>
      <c r="F330" s="1">
        <f>SUM(PL!Q330:S330)</f>
        <v>0</v>
      </c>
      <c r="G330" s="1">
        <f>SUM(PL!T330:V330)</f>
        <v>0</v>
      </c>
      <c r="H330" s="1">
        <f>SUM(C330:G330)</f>
        <v>0</v>
      </c>
      <c r="I330" s="1">
        <f>IF(C330 + I329 &lt; 0, C330 + I329, 0)</f>
        <v>0</v>
      </c>
      <c r="J330" s="1">
        <f>IF(D330 + J329 &lt; 0, D330 + J329, 0)</f>
        <v>0</v>
      </c>
      <c r="K330" s="1">
        <f>IF(E330 + K329 &lt; 0, E330 + K329, 0)</f>
        <v>0</v>
      </c>
      <c r="L330" s="1">
        <f>IF(F330 + L329 &lt; 0, F330 + L329, 0)</f>
        <v>0</v>
      </c>
      <c r="M330" s="1">
        <f>IF(G330 + M329 &lt; 0, G330 + M329, 0)</f>
        <v>0</v>
      </c>
      <c r="N330" s="1">
        <f>IF(H330 + N329 &lt; 0, H330 + N329, 0)</f>
        <v>0</v>
      </c>
      <c r="O330" s="1">
        <f>IF(N330 &lt; 0, 1 + O329, 0)</f>
        <v>0</v>
      </c>
      <c r="P330" s="1">
        <f>C330-((ABS(SUM(PL!H330:J330)))*0.125)</f>
        <v>0</v>
      </c>
      <c r="Q330" s="1">
        <f>D330-((ABS(SUM(PL!K330:M330)))*0.125)</f>
        <v>0</v>
      </c>
      <c r="R330" s="1">
        <f>E330-((ABS(SUM(PL!N330:P330)))*0.125)</f>
        <v>0</v>
      </c>
      <c r="S330" s="1">
        <f>F330-((ABS(SUM(PL!Q330:S330)))*0.125)</f>
        <v>0</v>
      </c>
      <c r="T330" s="1">
        <f>G330-((ABS(SUM(PL!T330:V330)))*0.125)</f>
        <v>0</v>
      </c>
      <c r="U330" s="1">
        <f>P330 + Q330 + R330 + S330 + T330</f>
        <v>0</v>
      </c>
      <c r="V330" s="1">
        <f>IF(P330 + V329 &lt; 0, P330 + V329, 0)</f>
        <v>0</v>
      </c>
      <c r="W330" s="1">
        <f>IF(Q330 + W329 &lt; 0, Q330 + W329, 0)</f>
        <v>0</v>
      </c>
      <c r="X330" s="1">
        <f>IF(R330 + X329 &lt; 0, R330 + X329, 0)</f>
        <v>0</v>
      </c>
      <c r="Y330" s="1">
        <f>IF(S330 + Y329 &lt; 0, S330 + Y329, 0)</f>
        <v>0</v>
      </c>
      <c r="Z330" s="1">
        <f>IF(T330 + Z329 &lt; 0, T330 + Z329, 0)</f>
        <v>0</v>
      </c>
      <c r="AA330" s="1">
        <f>IF(U330 + AA329 &lt; 0, U330 + AA329, 0)</f>
        <v>0</v>
      </c>
      <c r="AB330" s="1">
        <f>IF(AA330 &lt; 0, 1 + AB329, 0)</f>
        <v>0</v>
      </c>
      <c r="AC330" s="1">
        <f>IF(H330&lt;0,1,0)</f>
        <v>0</v>
      </c>
      <c r="AD330" s="1">
        <f>IF(AC330=1,H330,0)</f>
        <v>0</v>
      </c>
      <c r="AE330" s="1">
        <f>IF(H330&gt;0,1,0)</f>
        <v>0</v>
      </c>
      <c r="AF330" s="1">
        <f>IF(AE330=1,H330,0)</f>
        <v>0</v>
      </c>
      <c r="AG330" s="1">
        <f>IF(AD330&lt;-20000000.0/100,1,0)</f>
        <v>0</v>
      </c>
      <c r="AH330" s="1">
        <f>IF(AF330&gt;20000000.0/100,1,0)</f>
        <v>0</v>
      </c>
      <c r="AI330" s="1">
        <f>IF(U330&lt;0,1,0)</f>
        <v>0</v>
      </c>
      <c r="AJ330" s="1">
        <f>IF(AI330=1,U330,0)</f>
        <v>0</v>
      </c>
      <c r="AK330" s="1">
        <f>IF(U330&gt;0,1,0)</f>
        <v>0</v>
      </c>
      <c r="AL330" s="1">
        <f>IF(AK330=1,U330,0)</f>
        <v>0</v>
      </c>
      <c r="AM330" s="1">
        <f>IF(AJ330&lt;-20000000.0/100,1,0)</f>
        <v>0</v>
      </c>
      <c r="AN330" s="1">
        <f>IF(AL330&gt;20000000.0/100,1,0)</f>
        <v>0</v>
      </c>
    </row>
    <row r="331" spans="1:40" s="1" customFormat="1">
      <c r="A331" s="3">
        <v>45783</v>
      </c>
      <c r="B331" s="2" t="s">
        <v>23</v>
      </c>
      <c r="C331" s="1">
        <f>SUM(PL!H331:J331)</f>
        <v>0</v>
      </c>
      <c r="D331" s="1">
        <f>SUM(PL!K331:M331)</f>
        <v>0</v>
      </c>
      <c r="E331" s="1">
        <f>SUM(PL!N331:P331)</f>
        <v>0</v>
      </c>
      <c r="F331" s="1">
        <f>SUM(PL!Q331:S331)</f>
        <v>0</v>
      </c>
      <c r="G331" s="1">
        <f>SUM(PL!T331:V331)</f>
        <v>0</v>
      </c>
      <c r="H331" s="1">
        <f>SUM(C331:G331)</f>
        <v>0</v>
      </c>
      <c r="I331" s="1">
        <f>IF(C331 + I330 &lt; 0, C331 + I330, 0)</f>
        <v>0</v>
      </c>
      <c r="J331" s="1">
        <f>IF(D331 + J330 &lt; 0, D331 + J330, 0)</f>
        <v>0</v>
      </c>
      <c r="K331" s="1">
        <f>IF(E331 + K330 &lt; 0, E331 + K330, 0)</f>
        <v>0</v>
      </c>
      <c r="L331" s="1">
        <f>IF(F331 + L330 &lt; 0, F331 + L330, 0)</f>
        <v>0</v>
      </c>
      <c r="M331" s="1">
        <f>IF(G331 + M330 &lt; 0, G331 + M330, 0)</f>
        <v>0</v>
      </c>
      <c r="N331" s="1">
        <f>IF(H331 + N330 &lt; 0, H331 + N330, 0)</f>
        <v>0</v>
      </c>
      <c r="O331" s="1">
        <f>IF(N331 &lt; 0, 1 + O330, 0)</f>
        <v>0</v>
      </c>
      <c r="P331" s="1">
        <f>C331-((ABS(SUM(PL!H331:J331)))*0.125)</f>
        <v>0</v>
      </c>
      <c r="Q331" s="1">
        <f>D331-((ABS(SUM(PL!K331:M331)))*0.125)</f>
        <v>0</v>
      </c>
      <c r="R331" s="1">
        <f>E331-((ABS(SUM(PL!N331:P331)))*0.125)</f>
        <v>0</v>
      </c>
      <c r="S331" s="1">
        <f>F331-((ABS(SUM(PL!Q331:S331)))*0.125)</f>
        <v>0</v>
      </c>
      <c r="T331" s="1">
        <f>G331-((ABS(SUM(PL!T331:V331)))*0.125)</f>
        <v>0</v>
      </c>
      <c r="U331" s="1">
        <f>P331 + Q331 + R331 + S331 + T331</f>
        <v>0</v>
      </c>
      <c r="V331" s="1">
        <f>IF(P331 + V330 &lt; 0, P331 + V330, 0)</f>
        <v>0</v>
      </c>
      <c r="W331" s="1">
        <f>IF(Q331 + W330 &lt; 0, Q331 + W330, 0)</f>
        <v>0</v>
      </c>
      <c r="X331" s="1">
        <f>IF(R331 + X330 &lt; 0, R331 + X330, 0)</f>
        <v>0</v>
      </c>
      <c r="Y331" s="1">
        <f>IF(S331 + Y330 &lt; 0, S331 + Y330, 0)</f>
        <v>0</v>
      </c>
      <c r="Z331" s="1">
        <f>IF(T331 + Z330 &lt; 0, T331 + Z330, 0)</f>
        <v>0</v>
      </c>
      <c r="AA331" s="1">
        <f>IF(U331 + AA330 &lt; 0, U331 + AA330, 0)</f>
        <v>0</v>
      </c>
      <c r="AB331" s="1">
        <f>IF(AA331 &lt; 0, 1 + AB330, 0)</f>
        <v>0</v>
      </c>
      <c r="AC331" s="1">
        <f>IF(H331&lt;0,1,0)</f>
        <v>0</v>
      </c>
      <c r="AD331" s="1">
        <f>IF(AC331=1,H331,0)</f>
        <v>0</v>
      </c>
      <c r="AE331" s="1">
        <f>IF(H331&gt;0,1,0)</f>
        <v>0</v>
      </c>
      <c r="AF331" s="1">
        <f>IF(AE331=1,H331,0)</f>
        <v>0</v>
      </c>
      <c r="AG331" s="1">
        <f>IF(AD331&lt;-20000000.0/100,1,0)</f>
        <v>0</v>
      </c>
      <c r="AH331" s="1">
        <f>IF(AF331&gt;20000000.0/100,1,0)</f>
        <v>0</v>
      </c>
      <c r="AI331" s="1">
        <f>IF(U331&lt;0,1,0)</f>
        <v>0</v>
      </c>
      <c r="AJ331" s="1">
        <f>IF(AI331=1,U331,0)</f>
        <v>0</v>
      </c>
      <c r="AK331" s="1">
        <f>IF(U331&gt;0,1,0)</f>
        <v>0</v>
      </c>
      <c r="AL331" s="1">
        <f>IF(AK331=1,U331,0)</f>
        <v>0</v>
      </c>
      <c r="AM331" s="1">
        <f>IF(AJ331&lt;-20000000.0/100,1,0)</f>
        <v>0</v>
      </c>
      <c r="AN331" s="1">
        <f>IF(AL331&gt;20000000.0/100,1,0)</f>
        <v>0</v>
      </c>
    </row>
    <row r="332" spans="1:40" s="1" customFormat="1">
      <c r="A332" s="3">
        <v>45784</v>
      </c>
      <c r="B332" s="2" t="s">
        <v>24</v>
      </c>
      <c r="C332" s="1">
        <f>SUM(PL!H332:J332)</f>
        <v>0</v>
      </c>
      <c r="D332" s="1">
        <f>SUM(PL!K332:M332)</f>
        <v>0</v>
      </c>
      <c r="E332" s="1">
        <f>SUM(PL!N332:P332)</f>
        <v>0</v>
      </c>
      <c r="F332" s="1">
        <f>SUM(PL!Q332:S332)</f>
        <v>0</v>
      </c>
      <c r="G332" s="1">
        <f>SUM(PL!T332:V332)</f>
        <v>0</v>
      </c>
      <c r="H332" s="1">
        <f>SUM(C332:G332)</f>
        <v>0</v>
      </c>
      <c r="I332" s="1">
        <f>IF(C332 + I331 &lt; 0, C332 + I331, 0)</f>
        <v>0</v>
      </c>
      <c r="J332" s="1">
        <f>IF(D332 + J331 &lt; 0, D332 + J331, 0)</f>
        <v>0</v>
      </c>
      <c r="K332" s="1">
        <f>IF(E332 + K331 &lt; 0, E332 + K331, 0)</f>
        <v>0</v>
      </c>
      <c r="L332" s="1">
        <f>IF(F332 + L331 &lt; 0, F332 + L331, 0)</f>
        <v>0</v>
      </c>
      <c r="M332" s="1">
        <f>IF(G332 + M331 &lt; 0, G332 + M331, 0)</f>
        <v>0</v>
      </c>
      <c r="N332" s="1">
        <f>IF(H332 + N331 &lt; 0, H332 + N331, 0)</f>
        <v>0</v>
      </c>
      <c r="O332" s="1">
        <f>IF(N332 &lt; 0, 1 + O331, 0)</f>
        <v>0</v>
      </c>
      <c r="P332" s="1">
        <f>C332-((ABS(SUM(PL!H332:J332)))*0.125)</f>
        <v>0</v>
      </c>
      <c r="Q332" s="1">
        <f>D332-((ABS(SUM(PL!K332:M332)))*0.125)</f>
        <v>0</v>
      </c>
      <c r="R332" s="1">
        <f>E332-((ABS(SUM(PL!N332:P332)))*0.125)</f>
        <v>0</v>
      </c>
      <c r="S332" s="1">
        <f>F332-((ABS(SUM(PL!Q332:S332)))*0.125)</f>
        <v>0</v>
      </c>
      <c r="T332" s="1">
        <f>G332-((ABS(SUM(PL!T332:V332)))*0.125)</f>
        <v>0</v>
      </c>
      <c r="U332" s="1">
        <f>P332 + Q332 + R332 + S332 + T332</f>
        <v>0</v>
      </c>
      <c r="V332" s="1">
        <f>IF(P332 + V331 &lt; 0, P332 + V331, 0)</f>
        <v>0</v>
      </c>
      <c r="W332" s="1">
        <f>IF(Q332 + W331 &lt; 0, Q332 + W331, 0)</f>
        <v>0</v>
      </c>
      <c r="X332" s="1">
        <f>IF(R332 + X331 &lt; 0, R332 + X331, 0)</f>
        <v>0</v>
      </c>
      <c r="Y332" s="1">
        <f>IF(S332 + Y331 &lt; 0, S332 + Y331, 0)</f>
        <v>0</v>
      </c>
      <c r="Z332" s="1">
        <f>IF(T332 + Z331 &lt; 0, T332 + Z331, 0)</f>
        <v>0</v>
      </c>
      <c r="AA332" s="1">
        <f>IF(U332 + AA331 &lt; 0, U332 + AA331, 0)</f>
        <v>0</v>
      </c>
      <c r="AB332" s="1">
        <f>IF(AA332 &lt; 0, 1 + AB331, 0)</f>
        <v>0</v>
      </c>
      <c r="AC332" s="1">
        <f>IF(H332&lt;0,1,0)</f>
        <v>0</v>
      </c>
      <c r="AD332" s="1">
        <f>IF(AC332=1,H332,0)</f>
        <v>0</v>
      </c>
      <c r="AE332" s="1">
        <f>IF(H332&gt;0,1,0)</f>
        <v>0</v>
      </c>
      <c r="AF332" s="1">
        <f>IF(AE332=1,H332,0)</f>
        <v>0</v>
      </c>
      <c r="AG332" s="1">
        <f>IF(AD332&lt;-20000000.0/100,1,0)</f>
        <v>0</v>
      </c>
      <c r="AH332" s="1">
        <f>IF(AF332&gt;20000000.0/100,1,0)</f>
        <v>0</v>
      </c>
      <c r="AI332" s="1">
        <f>IF(U332&lt;0,1,0)</f>
        <v>0</v>
      </c>
      <c r="AJ332" s="1">
        <f>IF(AI332=1,U332,0)</f>
        <v>0</v>
      </c>
      <c r="AK332" s="1">
        <f>IF(U332&gt;0,1,0)</f>
        <v>0</v>
      </c>
      <c r="AL332" s="1">
        <f>IF(AK332=1,U332,0)</f>
        <v>0</v>
      </c>
      <c r="AM332" s="1">
        <f>IF(AJ332&lt;-20000000.0/100,1,0)</f>
        <v>0</v>
      </c>
      <c r="AN332" s="1">
        <f>IF(AL332&gt;20000000.0/100,1,0)</f>
        <v>0</v>
      </c>
    </row>
    <row r="333" spans="1:40" s="1" customFormat="1">
      <c r="A333" s="3">
        <v>45785</v>
      </c>
      <c r="B333" s="2" t="s">
        <v>25</v>
      </c>
      <c r="C333" s="1">
        <f>SUM(PL!H333:J333)</f>
        <v>0</v>
      </c>
      <c r="D333" s="1">
        <f>SUM(PL!K333:M333)</f>
        <v>0</v>
      </c>
      <c r="E333" s="1">
        <f>SUM(PL!N333:P333)</f>
        <v>0</v>
      </c>
      <c r="F333" s="1">
        <f>SUM(PL!Q333:S333)</f>
        <v>0</v>
      </c>
      <c r="G333" s="1">
        <f>SUM(PL!T333:V333)</f>
        <v>0</v>
      </c>
      <c r="H333" s="1">
        <f>SUM(C333:G333)</f>
        <v>0</v>
      </c>
      <c r="I333" s="1">
        <f>IF(C333 + I332 &lt; 0, C333 + I332, 0)</f>
        <v>0</v>
      </c>
      <c r="J333" s="1">
        <f>IF(D333 + J332 &lt; 0, D333 + J332, 0)</f>
        <v>0</v>
      </c>
      <c r="K333" s="1">
        <f>IF(E333 + K332 &lt; 0, E333 + K332, 0)</f>
        <v>0</v>
      </c>
      <c r="L333" s="1">
        <f>IF(F333 + L332 &lt; 0, F333 + L332, 0)</f>
        <v>0</v>
      </c>
      <c r="M333" s="1">
        <f>IF(G333 + M332 &lt; 0, G333 + M332, 0)</f>
        <v>0</v>
      </c>
      <c r="N333" s="1">
        <f>IF(H333 + N332 &lt; 0, H333 + N332, 0)</f>
        <v>0</v>
      </c>
      <c r="O333" s="1">
        <f>IF(N333 &lt; 0, 1 + O332, 0)</f>
        <v>0</v>
      </c>
      <c r="P333" s="1">
        <f>C333-((ABS(SUM(PL!H333:J333)))*0.125)</f>
        <v>0</v>
      </c>
      <c r="Q333" s="1">
        <f>D333-((ABS(SUM(PL!K333:M333)))*0.125)</f>
        <v>0</v>
      </c>
      <c r="R333" s="1">
        <f>E333-((ABS(SUM(PL!N333:P333)))*0.125)</f>
        <v>0</v>
      </c>
      <c r="S333" s="1">
        <f>F333-((ABS(SUM(PL!Q333:S333)))*0.125)</f>
        <v>0</v>
      </c>
      <c r="T333" s="1">
        <f>G333-((ABS(SUM(PL!T333:V333)))*0.125)</f>
        <v>0</v>
      </c>
      <c r="U333" s="1">
        <f>P333 + Q333 + R333 + S333 + T333</f>
        <v>0</v>
      </c>
      <c r="V333" s="1">
        <f>IF(P333 + V332 &lt; 0, P333 + V332, 0)</f>
        <v>0</v>
      </c>
      <c r="W333" s="1">
        <f>IF(Q333 + W332 &lt; 0, Q333 + W332, 0)</f>
        <v>0</v>
      </c>
      <c r="X333" s="1">
        <f>IF(R333 + X332 &lt; 0, R333 + X332, 0)</f>
        <v>0</v>
      </c>
      <c r="Y333" s="1">
        <f>IF(S333 + Y332 &lt; 0, S333 + Y332, 0)</f>
        <v>0</v>
      </c>
      <c r="Z333" s="1">
        <f>IF(T333 + Z332 &lt; 0, T333 + Z332, 0)</f>
        <v>0</v>
      </c>
      <c r="AA333" s="1">
        <f>IF(U333 + AA332 &lt; 0, U333 + AA332, 0)</f>
        <v>0</v>
      </c>
      <c r="AB333" s="1">
        <f>IF(AA333 &lt; 0, 1 + AB332, 0)</f>
        <v>0</v>
      </c>
      <c r="AC333" s="1">
        <f>IF(H333&lt;0,1,0)</f>
        <v>0</v>
      </c>
      <c r="AD333" s="1">
        <f>IF(AC333=1,H333,0)</f>
        <v>0</v>
      </c>
      <c r="AE333" s="1">
        <f>IF(H333&gt;0,1,0)</f>
        <v>0</v>
      </c>
      <c r="AF333" s="1">
        <f>IF(AE333=1,H333,0)</f>
        <v>0</v>
      </c>
      <c r="AG333" s="1">
        <f>IF(AD333&lt;-20000000.0/100,1,0)</f>
        <v>0</v>
      </c>
      <c r="AH333" s="1">
        <f>IF(AF333&gt;20000000.0/100,1,0)</f>
        <v>0</v>
      </c>
      <c r="AI333" s="1">
        <f>IF(U333&lt;0,1,0)</f>
        <v>0</v>
      </c>
      <c r="AJ333" s="1">
        <f>IF(AI333=1,U333,0)</f>
        <v>0</v>
      </c>
      <c r="AK333" s="1">
        <f>IF(U333&gt;0,1,0)</f>
        <v>0</v>
      </c>
      <c r="AL333" s="1">
        <f>IF(AK333=1,U333,0)</f>
        <v>0</v>
      </c>
      <c r="AM333" s="1">
        <f>IF(AJ333&lt;-20000000.0/100,1,0)</f>
        <v>0</v>
      </c>
      <c r="AN333" s="1">
        <f>IF(AL333&gt;20000000.0/100,1,0)</f>
        <v>0</v>
      </c>
    </row>
    <row r="334" spans="1:40" s="1" customFormat="1">
      <c r="A334" s="3">
        <v>45786</v>
      </c>
      <c r="B334" s="2" t="s">
        <v>26</v>
      </c>
      <c r="C334" s="1">
        <f>SUM(PL!H334:J334)</f>
        <v>0</v>
      </c>
      <c r="D334" s="1">
        <f>SUM(PL!K334:M334)</f>
        <v>0</v>
      </c>
      <c r="E334" s="1">
        <f>SUM(PL!N334:P334)</f>
        <v>0</v>
      </c>
      <c r="F334" s="1">
        <f>SUM(PL!Q334:S334)</f>
        <v>0</v>
      </c>
      <c r="G334" s="1">
        <f>SUM(PL!T334:V334)</f>
        <v>0</v>
      </c>
      <c r="H334" s="1">
        <f>SUM(C334:G334)</f>
        <v>0</v>
      </c>
      <c r="I334" s="1">
        <f>IF(C334 + I333 &lt; 0, C334 + I333, 0)</f>
        <v>0</v>
      </c>
      <c r="J334" s="1">
        <f>IF(D334 + J333 &lt; 0, D334 + J333, 0)</f>
        <v>0</v>
      </c>
      <c r="K334" s="1">
        <f>IF(E334 + K333 &lt; 0, E334 + K333, 0)</f>
        <v>0</v>
      </c>
      <c r="L334" s="1">
        <f>IF(F334 + L333 &lt; 0, F334 + L333, 0)</f>
        <v>0</v>
      </c>
      <c r="M334" s="1">
        <f>IF(G334 + M333 &lt; 0, G334 + M333, 0)</f>
        <v>0</v>
      </c>
      <c r="N334" s="1">
        <f>IF(H334 + N333 &lt; 0, H334 + N333, 0)</f>
        <v>0</v>
      </c>
      <c r="O334" s="1">
        <f>IF(N334 &lt; 0, 1 + O333, 0)</f>
        <v>0</v>
      </c>
      <c r="P334" s="1">
        <f>C334-((ABS(SUM(PL!H334:J334)))*0.125)</f>
        <v>0</v>
      </c>
      <c r="Q334" s="1">
        <f>D334-((ABS(SUM(PL!K334:M334)))*0.125)</f>
        <v>0</v>
      </c>
      <c r="R334" s="1">
        <f>E334-((ABS(SUM(PL!N334:P334)))*0.125)</f>
        <v>0</v>
      </c>
      <c r="S334" s="1">
        <f>F334-((ABS(SUM(PL!Q334:S334)))*0.125)</f>
        <v>0</v>
      </c>
      <c r="T334" s="1">
        <f>G334-((ABS(SUM(PL!T334:V334)))*0.125)</f>
        <v>0</v>
      </c>
      <c r="U334" s="1">
        <f>P334 + Q334 + R334 + S334 + T334</f>
        <v>0</v>
      </c>
      <c r="V334" s="1">
        <f>IF(P334 + V333 &lt; 0, P334 + V333, 0)</f>
        <v>0</v>
      </c>
      <c r="W334" s="1">
        <f>IF(Q334 + W333 &lt; 0, Q334 + W333, 0)</f>
        <v>0</v>
      </c>
      <c r="X334" s="1">
        <f>IF(R334 + X333 &lt; 0, R334 + X333, 0)</f>
        <v>0</v>
      </c>
      <c r="Y334" s="1">
        <f>IF(S334 + Y333 &lt; 0, S334 + Y333, 0)</f>
        <v>0</v>
      </c>
      <c r="Z334" s="1">
        <f>IF(T334 + Z333 &lt; 0, T334 + Z333, 0)</f>
        <v>0</v>
      </c>
      <c r="AA334" s="1">
        <f>IF(U334 + AA333 &lt; 0, U334 + AA333, 0)</f>
        <v>0</v>
      </c>
      <c r="AB334" s="1">
        <f>IF(AA334 &lt; 0, 1 + AB333, 0)</f>
        <v>0</v>
      </c>
      <c r="AC334" s="1">
        <f>IF(H334&lt;0,1,0)</f>
        <v>0</v>
      </c>
      <c r="AD334" s="1">
        <f>IF(AC334=1,H334,0)</f>
        <v>0</v>
      </c>
      <c r="AE334" s="1">
        <f>IF(H334&gt;0,1,0)</f>
        <v>0</v>
      </c>
      <c r="AF334" s="1">
        <f>IF(AE334=1,H334,0)</f>
        <v>0</v>
      </c>
      <c r="AG334" s="1">
        <f>IF(AD334&lt;-20000000.0/100,1,0)</f>
        <v>0</v>
      </c>
      <c r="AH334" s="1">
        <f>IF(AF334&gt;20000000.0/100,1,0)</f>
        <v>0</v>
      </c>
      <c r="AI334" s="1">
        <f>IF(U334&lt;0,1,0)</f>
        <v>0</v>
      </c>
      <c r="AJ334" s="1">
        <f>IF(AI334=1,U334,0)</f>
        <v>0</v>
      </c>
      <c r="AK334" s="1">
        <f>IF(U334&gt;0,1,0)</f>
        <v>0</v>
      </c>
      <c r="AL334" s="1">
        <f>IF(AK334=1,U334,0)</f>
        <v>0</v>
      </c>
      <c r="AM334" s="1">
        <f>IF(AJ334&lt;-20000000.0/100,1,0)</f>
        <v>0</v>
      </c>
      <c r="AN334" s="1">
        <f>IF(AL334&gt;20000000.0/100,1,0)</f>
        <v>0</v>
      </c>
    </row>
    <row r="335" spans="1:40" s="1" customFormat="1">
      <c r="A335" s="3">
        <v>45789</v>
      </c>
      <c r="B335" s="2" t="s">
        <v>22</v>
      </c>
      <c r="C335" s="1">
        <f>SUM(PL!H335:J335)</f>
        <v>0</v>
      </c>
      <c r="D335" s="1">
        <f>SUM(PL!K335:M335)</f>
        <v>0</v>
      </c>
      <c r="E335" s="1">
        <f>SUM(PL!N335:P335)</f>
        <v>0</v>
      </c>
      <c r="F335" s="1">
        <f>SUM(PL!Q335:S335)</f>
        <v>0</v>
      </c>
      <c r="G335" s="1">
        <f>SUM(PL!T335:V335)</f>
        <v>0</v>
      </c>
      <c r="H335" s="1">
        <f>SUM(C335:G335)</f>
        <v>0</v>
      </c>
      <c r="I335" s="1">
        <f>IF(C335 + I334 &lt; 0, C335 + I334, 0)</f>
        <v>0</v>
      </c>
      <c r="J335" s="1">
        <f>IF(D335 + J334 &lt; 0, D335 + J334, 0)</f>
        <v>0</v>
      </c>
      <c r="K335" s="1">
        <f>IF(E335 + K334 &lt; 0, E335 + K334, 0)</f>
        <v>0</v>
      </c>
      <c r="L335" s="1">
        <f>IF(F335 + L334 &lt; 0, F335 + L334, 0)</f>
        <v>0</v>
      </c>
      <c r="M335" s="1">
        <f>IF(G335 + M334 &lt; 0, G335 + M334, 0)</f>
        <v>0</v>
      </c>
      <c r="N335" s="1">
        <f>IF(H335 + N334 &lt; 0, H335 + N334, 0)</f>
        <v>0</v>
      </c>
      <c r="O335" s="1">
        <f>IF(N335 &lt; 0, 1 + O334, 0)</f>
        <v>0</v>
      </c>
      <c r="P335" s="1">
        <f>C335-((ABS(SUM(PL!H335:J335)))*0.125)</f>
        <v>0</v>
      </c>
      <c r="Q335" s="1">
        <f>D335-((ABS(SUM(PL!K335:M335)))*0.125)</f>
        <v>0</v>
      </c>
      <c r="R335" s="1">
        <f>E335-((ABS(SUM(PL!N335:P335)))*0.125)</f>
        <v>0</v>
      </c>
      <c r="S335" s="1">
        <f>F335-((ABS(SUM(PL!Q335:S335)))*0.125)</f>
        <v>0</v>
      </c>
      <c r="T335" s="1">
        <f>G335-((ABS(SUM(PL!T335:V335)))*0.125)</f>
        <v>0</v>
      </c>
      <c r="U335" s="1">
        <f>P335 + Q335 + R335 + S335 + T335</f>
        <v>0</v>
      </c>
      <c r="V335" s="1">
        <f>IF(P335 + V334 &lt; 0, P335 + V334, 0)</f>
        <v>0</v>
      </c>
      <c r="W335" s="1">
        <f>IF(Q335 + W334 &lt; 0, Q335 + W334, 0)</f>
        <v>0</v>
      </c>
      <c r="X335" s="1">
        <f>IF(R335 + X334 &lt; 0, R335 + X334, 0)</f>
        <v>0</v>
      </c>
      <c r="Y335" s="1">
        <f>IF(S335 + Y334 &lt; 0, S335 + Y334, 0)</f>
        <v>0</v>
      </c>
      <c r="Z335" s="1">
        <f>IF(T335 + Z334 &lt; 0, T335 + Z334, 0)</f>
        <v>0</v>
      </c>
      <c r="AA335" s="1">
        <f>IF(U335 + AA334 &lt; 0, U335 + AA334, 0)</f>
        <v>0</v>
      </c>
      <c r="AB335" s="1">
        <f>IF(AA335 &lt; 0, 1 + AB334, 0)</f>
        <v>0</v>
      </c>
      <c r="AC335" s="1">
        <f>IF(H335&lt;0,1,0)</f>
        <v>0</v>
      </c>
      <c r="AD335" s="1">
        <f>IF(AC335=1,H335,0)</f>
        <v>0</v>
      </c>
      <c r="AE335" s="1">
        <f>IF(H335&gt;0,1,0)</f>
        <v>0</v>
      </c>
      <c r="AF335" s="1">
        <f>IF(AE335=1,H335,0)</f>
        <v>0</v>
      </c>
      <c r="AG335" s="1">
        <f>IF(AD335&lt;-20000000.0/100,1,0)</f>
        <v>0</v>
      </c>
      <c r="AH335" s="1">
        <f>IF(AF335&gt;20000000.0/100,1,0)</f>
        <v>0</v>
      </c>
      <c r="AI335" s="1">
        <f>IF(U335&lt;0,1,0)</f>
        <v>0</v>
      </c>
      <c r="AJ335" s="1">
        <f>IF(AI335=1,U335,0)</f>
        <v>0</v>
      </c>
      <c r="AK335" s="1">
        <f>IF(U335&gt;0,1,0)</f>
        <v>0</v>
      </c>
      <c r="AL335" s="1">
        <f>IF(AK335=1,U335,0)</f>
        <v>0</v>
      </c>
      <c r="AM335" s="1">
        <f>IF(AJ335&lt;-20000000.0/100,1,0)</f>
        <v>0</v>
      </c>
      <c r="AN335" s="1">
        <f>IF(AL335&gt;20000000.0/100,1,0)</f>
        <v>0</v>
      </c>
    </row>
    <row r="336" spans="1:40" s="1" customFormat="1">
      <c r="A336" s="3">
        <v>45790</v>
      </c>
      <c r="B336" s="2" t="s">
        <v>23</v>
      </c>
      <c r="C336" s="1">
        <f>SUM(PL!H336:J336)</f>
        <v>0</v>
      </c>
      <c r="D336" s="1">
        <f>SUM(PL!K336:M336)</f>
        <v>0</v>
      </c>
      <c r="E336" s="1">
        <f>SUM(PL!N336:P336)</f>
        <v>0</v>
      </c>
      <c r="F336" s="1">
        <f>SUM(PL!Q336:S336)</f>
        <v>0</v>
      </c>
      <c r="G336" s="1">
        <f>SUM(PL!T336:V336)</f>
        <v>0</v>
      </c>
      <c r="H336" s="1">
        <f>SUM(C336:G336)</f>
        <v>0</v>
      </c>
      <c r="I336" s="1">
        <f>IF(C336 + I335 &lt; 0, C336 + I335, 0)</f>
        <v>0</v>
      </c>
      <c r="J336" s="1">
        <f>IF(D336 + J335 &lt; 0, D336 + J335, 0)</f>
        <v>0</v>
      </c>
      <c r="K336" s="1">
        <f>IF(E336 + K335 &lt; 0, E336 + K335, 0)</f>
        <v>0</v>
      </c>
      <c r="L336" s="1">
        <f>IF(F336 + L335 &lt; 0, F336 + L335, 0)</f>
        <v>0</v>
      </c>
      <c r="M336" s="1">
        <f>IF(G336 + M335 &lt; 0, G336 + M335, 0)</f>
        <v>0</v>
      </c>
      <c r="N336" s="1">
        <f>IF(H336 + N335 &lt; 0, H336 + N335, 0)</f>
        <v>0</v>
      </c>
      <c r="O336" s="1">
        <f>IF(N336 &lt; 0, 1 + O335, 0)</f>
        <v>0</v>
      </c>
      <c r="P336" s="1">
        <f>C336-((ABS(SUM(PL!H336:J336)))*0.125)</f>
        <v>0</v>
      </c>
      <c r="Q336" s="1">
        <f>D336-((ABS(SUM(PL!K336:M336)))*0.125)</f>
        <v>0</v>
      </c>
      <c r="R336" s="1">
        <f>E336-((ABS(SUM(PL!N336:P336)))*0.125)</f>
        <v>0</v>
      </c>
      <c r="S336" s="1">
        <f>F336-((ABS(SUM(PL!Q336:S336)))*0.125)</f>
        <v>0</v>
      </c>
      <c r="T336" s="1">
        <f>G336-((ABS(SUM(PL!T336:V336)))*0.125)</f>
        <v>0</v>
      </c>
      <c r="U336" s="1">
        <f>P336 + Q336 + R336 + S336 + T336</f>
        <v>0</v>
      </c>
      <c r="V336" s="1">
        <f>IF(P336 + V335 &lt; 0, P336 + V335, 0)</f>
        <v>0</v>
      </c>
      <c r="W336" s="1">
        <f>IF(Q336 + W335 &lt; 0, Q336 + W335, 0)</f>
        <v>0</v>
      </c>
      <c r="X336" s="1">
        <f>IF(R336 + X335 &lt; 0, R336 + X335, 0)</f>
        <v>0</v>
      </c>
      <c r="Y336" s="1">
        <f>IF(S336 + Y335 &lt; 0, S336 + Y335, 0)</f>
        <v>0</v>
      </c>
      <c r="Z336" s="1">
        <f>IF(T336 + Z335 &lt; 0, T336 + Z335, 0)</f>
        <v>0</v>
      </c>
      <c r="AA336" s="1">
        <f>IF(U336 + AA335 &lt; 0, U336 + AA335, 0)</f>
        <v>0</v>
      </c>
      <c r="AB336" s="1">
        <f>IF(AA336 &lt; 0, 1 + AB335, 0)</f>
        <v>0</v>
      </c>
      <c r="AC336" s="1">
        <f>IF(H336&lt;0,1,0)</f>
        <v>0</v>
      </c>
      <c r="AD336" s="1">
        <f>IF(AC336=1,H336,0)</f>
        <v>0</v>
      </c>
      <c r="AE336" s="1">
        <f>IF(H336&gt;0,1,0)</f>
        <v>0</v>
      </c>
      <c r="AF336" s="1">
        <f>IF(AE336=1,H336,0)</f>
        <v>0</v>
      </c>
      <c r="AG336" s="1">
        <f>IF(AD336&lt;-20000000.0/100,1,0)</f>
        <v>0</v>
      </c>
      <c r="AH336" s="1">
        <f>IF(AF336&gt;20000000.0/100,1,0)</f>
        <v>0</v>
      </c>
      <c r="AI336" s="1">
        <f>IF(U336&lt;0,1,0)</f>
        <v>0</v>
      </c>
      <c r="AJ336" s="1">
        <f>IF(AI336=1,U336,0)</f>
        <v>0</v>
      </c>
      <c r="AK336" s="1">
        <f>IF(U336&gt;0,1,0)</f>
        <v>0</v>
      </c>
      <c r="AL336" s="1">
        <f>IF(AK336=1,U336,0)</f>
        <v>0</v>
      </c>
      <c r="AM336" s="1">
        <f>IF(AJ336&lt;-20000000.0/100,1,0)</f>
        <v>0</v>
      </c>
      <c r="AN336" s="1">
        <f>IF(AL336&gt;20000000.0/100,1,0)</f>
        <v>0</v>
      </c>
    </row>
    <row r="337" spans="1:40" s="1" customFormat="1">
      <c r="A337" s="3">
        <v>45791</v>
      </c>
      <c r="B337" s="2" t="s">
        <v>24</v>
      </c>
      <c r="C337" s="1">
        <f>SUM(PL!H337:J337)</f>
        <v>0</v>
      </c>
      <c r="D337" s="1">
        <f>SUM(PL!K337:M337)</f>
        <v>0</v>
      </c>
      <c r="E337" s="1">
        <f>SUM(PL!N337:P337)</f>
        <v>0</v>
      </c>
      <c r="F337" s="1">
        <f>SUM(PL!Q337:S337)</f>
        <v>0</v>
      </c>
      <c r="G337" s="1">
        <f>SUM(PL!T337:V337)</f>
        <v>0</v>
      </c>
      <c r="H337" s="1">
        <f>SUM(C337:G337)</f>
        <v>0</v>
      </c>
      <c r="I337" s="1">
        <f>IF(C337 + I336 &lt; 0, C337 + I336, 0)</f>
        <v>0</v>
      </c>
      <c r="J337" s="1">
        <f>IF(D337 + J336 &lt; 0, D337 + J336, 0)</f>
        <v>0</v>
      </c>
      <c r="K337" s="1">
        <f>IF(E337 + K336 &lt; 0, E337 + K336, 0)</f>
        <v>0</v>
      </c>
      <c r="L337" s="1">
        <f>IF(F337 + L336 &lt; 0, F337 + L336, 0)</f>
        <v>0</v>
      </c>
      <c r="M337" s="1">
        <f>IF(G337 + M336 &lt; 0, G337 + M336, 0)</f>
        <v>0</v>
      </c>
      <c r="N337" s="1">
        <f>IF(H337 + N336 &lt; 0, H337 + N336, 0)</f>
        <v>0</v>
      </c>
      <c r="O337" s="1">
        <f>IF(N337 &lt; 0, 1 + O336, 0)</f>
        <v>0</v>
      </c>
      <c r="P337" s="1">
        <f>C337-((ABS(SUM(PL!H337:J337)))*0.125)</f>
        <v>0</v>
      </c>
      <c r="Q337" s="1">
        <f>D337-((ABS(SUM(PL!K337:M337)))*0.125)</f>
        <v>0</v>
      </c>
      <c r="R337" s="1">
        <f>E337-((ABS(SUM(PL!N337:P337)))*0.125)</f>
        <v>0</v>
      </c>
      <c r="S337" s="1">
        <f>F337-((ABS(SUM(PL!Q337:S337)))*0.125)</f>
        <v>0</v>
      </c>
      <c r="T337" s="1">
        <f>G337-((ABS(SUM(PL!T337:V337)))*0.125)</f>
        <v>0</v>
      </c>
      <c r="U337" s="1">
        <f>P337 + Q337 + R337 + S337 + T337</f>
        <v>0</v>
      </c>
      <c r="V337" s="1">
        <f>IF(P337 + V336 &lt; 0, P337 + V336, 0)</f>
        <v>0</v>
      </c>
      <c r="W337" s="1">
        <f>IF(Q337 + W336 &lt; 0, Q337 + W336, 0)</f>
        <v>0</v>
      </c>
      <c r="X337" s="1">
        <f>IF(R337 + X336 &lt; 0, R337 + X336, 0)</f>
        <v>0</v>
      </c>
      <c r="Y337" s="1">
        <f>IF(S337 + Y336 &lt; 0, S337 + Y336, 0)</f>
        <v>0</v>
      </c>
      <c r="Z337" s="1">
        <f>IF(T337 + Z336 &lt; 0, T337 + Z336, 0)</f>
        <v>0</v>
      </c>
      <c r="AA337" s="1">
        <f>IF(U337 + AA336 &lt; 0, U337 + AA336, 0)</f>
        <v>0</v>
      </c>
      <c r="AB337" s="1">
        <f>IF(AA337 &lt; 0, 1 + AB336, 0)</f>
        <v>0</v>
      </c>
      <c r="AC337" s="1">
        <f>IF(H337&lt;0,1,0)</f>
        <v>0</v>
      </c>
      <c r="AD337" s="1">
        <f>IF(AC337=1,H337,0)</f>
        <v>0</v>
      </c>
      <c r="AE337" s="1">
        <f>IF(H337&gt;0,1,0)</f>
        <v>0</v>
      </c>
      <c r="AF337" s="1">
        <f>IF(AE337=1,H337,0)</f>
        <v>0</v>
      </c>
      <c r="AG337" s="1">
        <f>IF(AD337&lt;-20000000.0/100,1,0)</f>
        <v>0</v>
      </c>
      <c r="AH337" s="1">
        <f>IF(AF337&gt;20000000.0/100,1,0)</f>
        <v>0</v>
      </c>
      <c r="AI337" s="1">
        <f>IF(U337&lt;0,1,0)</f>
        <v>0</v>
      </c>
      <c r="AJ337" s="1">
        <f>IF(AI337=1,U337,0)</f>
        <v>0</v>
      </c>
      <c r="AK337" s="1">
        <f>IF(U337&gt;0,1,0)</f>
        <v>0</v>
      </c>
      <c r="AL337" s="1">
        <f>IF(AK337=1,U337,0)</f>
        <v>0</v>
      </c>
      <c r="AM337" s="1">
        <f>IF(AJ337&lt;-20000000.0/100,1,0)</f>
        <v>0</v>
      </c>
      <c r="AN337" s="1">
        <f>IF(AL337&gt;20000000.0/100,1,0)</f>
        <v>0</v>
      </c>
    </row>
    <row r="338" spans="1:40" s="1" customFormat="1">
      <c r="A338" s="3">
        <v>45792</v>
      </c>
      <c r="B338" s="2" t="s">
        <v>25</v>
      </c>
      <c r="C338" s="1">
        <f>SUM(PL!H338:J338)</f>
        <v>0</v>
      </c>
      <c r="D338" s="1">
        <f>SUM(PL!K338:M338)</f>
        <v>0</v>
      </c>
      <c r="E338" s="1">
        <f>SUM(PL!N338:P338)</f>
        <v>0</v>
      </c>
      <c r="F338" s="1">
        <f>SUM(PL!Q338:S338)</f>
        <v>0</v>
      </c>
      <c r="G338" s="1">
        <f>SUM(PL!T338:V338)</f>
        <v>0</v>
      </c>
      <c r="H338" s="1">
        <f>SUM(C338:G338)</f>
        <v>0</v>
      </c>
      <c r="I338" s="1">
        <f>IF(C338 + I337 &lt; 0, C338 + I337, 0)</f>
        <v>0</v>
      </c>
      <c r="J338" s="1">
        <f>IF(D338 + J337 &lt; 0, D338 + J337, 0)</f>
        <v>0</v>
      </c>
      <c r="K338" s="1">
        <f>IF(E338 + K337 &lt; 0, E338 + K337, 0)</f>
        <v>0</v>
      </c>
      <c r="L338" s="1">
        <f>IF(F338 + L337 &lt; 0, F338 + L337, 0)</f>
        <v>0</v>
      </c>
      <c r="M338" s="1">
        <f>IF(G338 + M337 &lt; 0, G338 + M337, 0)</f>
        <v>0</v>
      </c>
      <c r="N338" s="1">
        <f>IF(H338 + N337 &lt; 0, H338 + N337, 0)</f>
        <v>0</v>
      </c>
      <c r="O338" s="1">
        <f>IF(N338 &lt; 0, 1 + O337, 0)</f>
        <v>0</v>
      </c>
      <c r="P338" s="1">
        <f>C338-((ABS(SUM(PL!H338:J338)))*0.125)</f>
        <v>0</v>
      </c>
      <c r="Q338" s="1">
        <f>D338-((ABS(SUM(PL!K338:M338)))*0.125)</f>
        <v>0</v>
      </c>
      <c r="R338" s="1">
        <f>E338-((ABS(SUM(PL!N338:P338)))*0.125)</f>
        <v>0</v>
      </c>
      <c r="S338" s="1">
        <f>F338-((ABS(SUM(PL!Q338:S338)))*0.125)</f>
        <v>0</v>
      </c>
      <c r="T338" s="1">
        <f>G338-((ABS(SUM(PL!T338:V338)))*0.125)</f>
        <v>0</v>
      </c>
      <c r="U338" s="1">
        <f>P338 + Q338 + R338 + S338 + T338</f>
        <v>0</v>
      </c>
      <c r="V338" s="1">
        <f>IF(P338 + V337 &lt; 0, P338 + V337, 0)</f>
        <v>0</v>
      </c>
      <c r="W338" s="1">
        <f>IF(Q338 + W337 &lt; 0, Q338 + W337, 0)</f>
        <v>0</v>
      </c>
      <c r="X338" s="1">
        <f>IF(R338 + X337 &lt; 0, R338 + X337, 0)</f>
        <v>0</v>
      </c>
      <c r="Y338" s="1">
        <f>IF(S338 + Y337 &lt; 0, S338 + Y337, 0)</f>
        <v>0</v>
      </c>
      <c r="Z338" s="1">
        <f>IF(T338 + Z337 &lt; 0, T338 + Z337, 0)</f>
        <v>0</v>
      </c>
      <c r="AA338" s="1">
        <f>IF(U338 + AA337 &lt; 0, U338 + AA337, 0)</f>
        <v>0</v>
      </c>
      <c r="AB338" s="1">
        <f>IF(AA338 &lt; 0, 1 + AB337, 0)</f>
        <v>0</v>
      </c>
      <c r="AC338" s="1">
        <f>IF(H338&lt;0,1,0)</f>
        <v>0</v>
      </c>
      <c r="AD338" s="1">
        <f>IF(AC338=1,H338,0)</f>
        <v>0</v>
      </c>
      <c r="AE338" s="1">
        <f>IF(H338&gt;0,1,0)</f>
        <v>0</v>
      </c>
      <c r="AF338" s="1">
        <f>IF(AE338=1,H338,0)</f>
        <v>0</v>
      </c>
      <c r="AG338" s="1">
        <f>IF(AD338&lt;-20000000.0/100,1,0)</f>
        <v>0</v>
      </c>
      <c r="AH338" s="1">
        <f>IF(AF338&gt;20000000.0/100,1,0)</f>
        <v>0</v>
      </c>
      <c r="AI338" s="1">
        <f>IF(U338&lt;0,1,0)</f>
        <v>0</v>
      </c>
      <c r="AJ338" s="1">
        <f>IF(AI338=1,U338,0)</f>
        <v>0</v>
      </c>
      <c r="AK338" s="1">
        <f>IF(U338&gt;0,1,0)</f>
        <v>0</v>
      </c>
      <c r="AL338" s="1">
        <f>IF(AK338=1,U338,0)</f>
        <v>0</v>
      </c>
      <c r="AM338" s="1">
        <f>IF(AJ338&lt;-20000000.0/100,1,0)</f>
        <v>0</v>
      </c>
      <c r="AN338" s="1">
        <f>IF(AL338&gt;20000000.0/100,1,0)</f>
        <v>0</v>
      </c>
    </row>
    <row r="339" spans="1:40" s="1" customFormat="1">
      <c r="A339" s="3">
        <v>45793</v>
      </c>
      <c r="B339" s="2" t="s">
        <v>26</v>
      </c>
      <c r="C339" s="1">
        <f>SUM(PL!H339:J339)</f>
        <v>0</v>
      </c>
      <c r="D339" s="1">
        <f>SUM(PL!K339:M339)</f>
        <v>0</v>
      </c>
      <c r="E339" s="1">
        <f>SUM(PL!N339:P339)</f>
        <v>0</v>
      </c>
      <c r="F339" s="1">
        <f>SUM(PL!Q339:S339)</f>
        <v>0</v>
      </c>
      <c r="G339" s="1">
        <f>SUM(PL!T339:V339)</f>
        <v>0</v>
      </c>
      <c r="H339" s="1">
        <f>SUM(C339:G339)</f>
        <v>0</v>
      </c>
      <c r="I339" s="1">
        <f>IF(C339 + I338 &lt; 0, C339 + I338, 0)</f>
        <v>0</v>
      </c>
      <c r="J339" s="1">
        <f>IF(D339 + J338 &lt; 0, D339 + J338, 0)</f>
        <v>0</v>
      </c>
      <c r="K339" s="1">
        <f>IF(E339 + K338 &lt; 0, E339 + K338, 0)</f>
        <v>0</v>
      </c>
      <c r="L339" s="1">
        <f>IF(F339 + L338 &lt; 0, F339 + L338, 0)</f>
        <v>0</v>
      </c>
      <c r="M339" s="1">
        <f>IF(G339 + M338 &lt; 0, G339 + M338, 0)</f>
        <v>0</v>
      </c>
      <c r="N339" s="1">
        <f>IF(H339 + N338 &lt; 0, H339 + N338, 0)</f>
        <v>0</v>
      </c>
      <c r="O339" s="1">
        <f>IF(N339 &lt; 0, 1 + O338, 0)</f>
        <v>0</v>
      </c>
      <c r="P339" s="1">
        <f>C339-((ABS(SUM(PL!H339:J339)))*0.125)</f>
        <v>0</v>
      </c>
      <c r="Q339" s="1">
        <f>D339-((ABS(SUM(PL!K339:M339)))*0.125)</f>
        <v>0</v>
      </c>
      <c r="R339" s="1">
        <f>E339-((ABS(SUM(PL!N339:P339)))*0.125)</f>
        <v>0</v>
      </c>
      <c r="S339" s="1">
        <f>F339-((ABS(SUM(PL!Q339:S339)))*0.125)</f>
        <v>0</v>
      </c>
      <c r="T339" s="1">
        <f>G339-((ABS(SUM(PL!T339:V339)))*0.125)</f>
        <v>0</v>
      </c>
      <c r="U339" s="1">
        <f>P339 + Q339 + R339 + S339 + T339</f>
        <v>0</v>
      </c>
      <c r="V339" s="1">
        <f>IF(P339 + V338 &lt; 0, P339 + V338, 0)</f>
        <v>0</v>
      </c>
      <c r="W339" s="1">
        <f>IF(Q339 + W338 &lt; 0, Q339 + W338, 0)</f>
        <v>0</v>
      </c>
      <c r="X339" s="1">
        <f>IF(R339 + X338 &lt; 0, R339 + X338, 0)</f>
        <v>0</v>
      </c>
      <c r="Y339" s="1">
        <f>IF(S339 + Y338 &lt; 0, S339 + Y338, 0)</f>
        <v>0</v>
      </c>
      <c r="Z339" s="1">
        <f>IF(T339 + Z338 &lt; 0, T339 + Z338, 0)</f>
        <v>0</v>
      </c>
      <c r="AA339" s="1">
        <f>IF(U339 + AA338 &lt; 0, U339 + AA338, 0)</f>
        <v>0</v>
      </c>
      <c r="AB339" s="1">
        <f>IF(AA339 &lt; 0, 1 + AB338, 0)</f>
        <v>0</v>
      </c>
      <c r="AC339" s="1">
        <f>IF(H339&lt;0,1,0)</f>
        <v>0</v>
      </c>
      <c r="AD339" s="1">
        <f>IF(AC339=1,H339,0)</f>
        <v>0</v>
      </c>
      <c r="AE339" s="1">
        <f>IF(H339&gt;0,1,0)</f>
        <v>0</v>
      </c>
      <c r="AF339" s="1">
        <f>IF(AE339=1,H339,0)</f>
        <v>0</v>
      </c>
      <c r="AG339" s="1">
        <f>IF(AD339&lt;-20000000.0/100,1,0)</f>
        <v>0</v>
      </c>
      <c r="AH339" s="1">
        <f>IF(AF339&gt;20000000.0/100,1,0)</f>
        <v>0</v>
      </c>
      <c r="AI339" s="1">
        <f>IF(U339&lt;0,1,0)</f>
        <v>0</v>
      </c>
      <c r="AJ339" s="1">
        <f>IF(AI339=1,U339,0)</f>
        <v>0</v>
      </c>
      <c r="AK339" s="1">
        <f>IF(U339&gt;0,1,0)</f>
        <v>0</v>
      </c>
      <c r="AL339" s="1">
        <f>IF(AK339=1,U339,0)</f>
        <v>0</v>
      </c>
      <c r="AM339" s="1">
        <f>IF(AJ339&lt;-20000000.0/100,1,0)</f>
        <v>0</v>
      </c>
      <c r="AN339" s="1">
        <f>IF(AL339&gt;20000000.0/100,1,0)</f>
        <v>0</v>
      </c>
    </row>
    <row r="340" spans="1:40" s="1" customFormat="1">
      <c r="A340" s="3">
        <v>45796</v>
      </c>
      <c r="B340" s="2" t="s">
        <v>22</v>
      </c>
      <c r="C340" s="1">
        <f>SUM(PL!H340:J340)</f>
        <v>0</v>
      </c>
      <c r="D340" s="1">
        <f>SUM(PL!K340:M340)</f>
        <v>0</v>
      </c>
      <c r="E340" s="1">
        <f>SUM(PL!N340:P340)</f>
        <v>0</v>
      </c>
      <c r="F340" s="1">
        <f>SUM(PL!Q340:S340)</f>
        <v>0</v>
      </c>
      <c r="G340" s="1">
        <f>SUM(PL!T340:V340)</f>
        <v>0</v>
      </c>
      <c r="H340" s="1">
        <f>SUM(C340:G340)</f>
        <v>0</v>
      </c>
      <c r="I340" s="1">
        <f>IF(C340 + I339 &lt; 0, C340 + I339, 0)</f>
        <v>0</v>
      </c>
      <c r="J340" s="1">
        <f>IF(D340 + J339 &lt; 0, D340 + J339, 0)</f>
        <v>0</v>
      </c>
      <c r="K340" s="1">
        <f>IF(E340 + K339 &lt; 0, E340 + K339, 0)</f>
        <v>0</v>
      </c>
      <c r="L340" s="1">
        <f>IF(F340 + L339 &lt; 0, F340 + L339, 0)</f>
        <v>0</v>
      </c>
      <c r="M340" s="1">
        <f>IF(G340 + M339 &lt; 0, G340 + M339, 0)</f>
        <v>0</v>
      </c>
      <c r="N340" s="1">
        <f>IF(H340 + N339 &lt; 0, H340 + N339, 0)</f>
        <v>0</v>
      </c>
      <c r="O340" s="1">
        <f>IF(N340 &lt; 0, 1 + O339, 0)</f>
        <v>0</v>
      </c>
      <c r="P340" s="1">
        <f>C340-((ABS(SUM(PL!H340:J340)))*0.125)</f>
        <v>0</v>
      </c>
      <c r="Q340" s="1">
        <f>D340-((ABS(SUM(PL!K340:M340)))*0.125)</f>
        <v>0</v>
      </c>
      <c r="R340" s="1">
        <f>E340-((ABS(SUM(PL!N340:P340)))*0.125)</f>
        <v>0</v>
      </c>
      <c r="S340" s="1">
        <f>F340-((ABS(SUM(PL!Q340:S340)))*0.125)</f>
        <v>0</v>
      </c>
      <c r="T340" s="1">
        <f>G340-((ABS(SUM(PL!T340:V340)))*0.125)</f>
        <v>0</v>
      </c>
      <c r="U340" s="1">
        <f>P340 + Q340 + R340 + S340 + T340</f>
        <v>0</v>
      </c>
      <c r="V340" s="1">
        <f>IF(P340 + V339 &lt; 0, P340 + V339, 0)</f>
        <v>0</v>
      </c>
      <c r="W340" s="1">
        <f>IF(Q340 + W339 &lt; 0, Q340 + W339, 0)</f>
        <v>0</v>
      </c>
      <c r="X340" s="1">
        <f>IF(R340 + X339 &lt; 0, R340 + X339, 0)</f>
        <v>0</v>
      </c>
      <c r="Y340" s="1">
        <f>IF(S340 + Y339 &lt; 0, S340 + Y339, 0)</f>
        <v>0</v>
      </c>
      <c r="Z340" s="1">
        <f>IF(T340 + Z339 &lt; 0, T340 + Z339, 0)</f>
        <v>0</v>
      </c>
      <c r="AA340" s="1">
        <f>IF(U340 + AA339 &lt; 0, U340 + AA339, 0)</f>
        <v>0</v>
      </c>
      <c r="AB340" s="1">
        <f>IF(AA340 &lt; 0, 1 + AB339, 0)</f>
        <v>0</v>
      </c>
      <c r="AC340" s="1">
        <f>IF(H340&lt;0,1,0)</f>
        <v>0</v>
      </c>
      <c r="AD340" s="1">
        <f>IF(AC340=1,H340,0)</f>
        <v>0</v>
      </c>
      <c r="AE340" s="1">
        <f>IF(H340&gt;0,1,0)</f>
        <v>0</v>
      </c>
      <c r="AF340" s="1">
        <f>IF(AE340=1,H340,0)</f>
        <v>0</v>
      </c>
      <c r="AG340" s="1">
        <f>IF(AD340&lt;-20000000.0/100,1,0)</f>
        <v>0</v>
      </c>
      <c r="AH340" s="1">
        <f>IF(AF340&gt;20000000.0/100,1,0)</f>
        <v>0</v>
      </c>
      <c r="AI340" s="1">
        <f>IF(U340&lt;0,1,0)</f>
        <v>0</v>
      </c>
      <c r="AJ340" s="1">
        <f>IF(AI340=1,U340,0)</f>
        <v>0</v>
      </c>
      <c r="AK340" s="1">
        <f>IF(U340&gt;0,1,0)</f>
        <v>0</v>
      </c>
      <c r="AL340" s="1">
        <f>IF(AK340=1,U340,0)</f>
        <v>0</v>
      </c>
      <c r="AM340" s="1">
        <f>IF(AJ340&lt;-20000000.0/100,1,0)</f>
        <v>0</v>
      </c>
      <c r="AN340" s="1">
        <f>IF(AL340&gt;20000000.0/100,1,0)</f>
        <v>0</v>
      </c>
    </row>
    <row r="341" spans="1:40" s="1" customFormat="1">
      <c r="A341" s="3">
        <v>45797</v>
      </c>
      <c r="B341" s="2" t="s">
        <v>23</v>
      </c>
      <c r="C341" s="1">
        <f>SUM(PL!H341:J341)</f>
        <v>0</v>
      </c>
      <c r="D341" s="1">
        <f>SUM(PL!K341:M341)</f>
        <v>0</v>
      </c>
      <c r="E341" s="1">
        <f>SUM(PL!N341:P341)</f>
        <v>0</v>
      </c>
      <c r="F341" s="1">
        <f>SUM(PL!Q341:S341)</f>
        <v>0</v>
      </c>
      <c r="G341" s="1">
        <f>SUM(PL!T341:V341)</f>
        <v>0</v>
      </c>
      <c r="H341" s="1">
        <f>SUM(C341:G341)</f>
        <v>0</v>
      </c>
      <c r="I341" s="1">
        <f>IF(C341 + I340 &lt; 0, C341 + I340, 0)</f>
        <v>0</v>
      </c>
      <c r="J341" s="1">
        <f>IF(D341 + J340 &lt; 0, D341 + J340, 0)</f>
        <v>0</v>
      </c>
      <c r="K341" s="1">
        <f>IF(E341 + K340 &lt; 0, E341 + K340, 0)</f>
        <v>0</v>
      </c>
      <c r="L341" s="1">
        <f>IF(F341 + L340 &lt; 0, F341 + L340, 0)</f>
        <v>0</v>
      </c>
      <c r="M341" s="1">
        <f>IF(G341 + M340 &lt; 0, G341 + M340, 0)</f>
        <v>0</v>
      </c>
      <c r="N341" s="1">
        <f>IF(H341 + N340 &lt; 0, H341 + N340, 0)</f>
        <v>0</v>
      </c>
      <c r="O341" s="1">
        <f>IF(N341 &lt; 0, 1 + O340, 0)</f>
        <v>0</v>
      </c>
      <c r="P341" s="1">
        <f>C341-((ABS(SUM(PL!H341:J341)))*0.125)</f>
        <v>0</v>
      </c>
      <c r="Q341" s="1">
        <f>D341-((ABS(SUM(PL!K341:M341)))*0.125)</f>
        <v>0</v>
      </c>
      <c r="R341" s="1">
        <f>E341-((ABS(SUM(PL!N341:P341)))*0.125)</f>
        <v>0</v>
      </c>
      <c r="S341" s="1">
        <f>F341-((ABS(SUM(PL!Q341:S341)))*0.125)</f>
        <v>0</v>
      </c>
      <c r="T341" s="1">
        <f>G341-((ABS(SUM(PL!T341:V341)))*0.125)</f>
        <v>0</v>
      </c>
      <c r="U341" s="1">
        <f>P341 + Q341 + R341 + S341 + T341</f>
        <v>0</v>
      </c>
      <c r="V341" s="1">
        <f>IF(P341 + V340 &lt; 0, P341 + V340, 0)</f>
        <v>0</v>
      </c>
      <c r="W341" s="1">
        <f>IF(Q341 + W340 &lt; 0, Q341 + W340, 0)</f>
        <v>0</v>
      </c>
      <c r="X341" s="1">
        <f>IF(R341 + X340 &lt; 0, R341 + X340, 0)</f>
        <v>0</v>
      </c>
      <c r="Y341" s="1">
        <f>IF(S341 + Y340 &lt; 0, S341 + Y340, 0)</f>
        <v>0</v>
      </c>
      <c r="Z341" s="1">
        <f>IF(T341 + Z340 &lt; 0, T341 + Z340, 0)</f>
        <v>0</v>
      </c>
      <c r="AA341" s="1">
        <f>IF(U341 + AA340 &lt; 0, U341 + AA340, 0)</f>
        <v>0</v>
      </c>
      <c r="AB341" s="1">
        <f>IF(AA341 &lt; 0, 1 + AB340, 0)</f>
        <v>0</v>
      </c>
      <c r="AC341" s="1">
        <f>IF(H341&lt;0,1,0)</f>
        <v>0</v>
      </c>
      <c r="AD341" s="1">
        <f>IF(AC341=1,H341,0)</f>
        <v>0</v>
      </c>
      <c r="AE341" s="1">
        <f>IF(H341&gt;0,1,0)</f>
        <v>0</v>
      </c>
      <c r="AF341" s="1">
        <f>IF(AE341=1,H341,0)</f>
        <v>0</v>
      </c>
      <c r="AG341" s="1">
        <f>IF(AD341&lt;-20000000.0/100,1,0)</f>
        <v>0</v>
      </c>
      <c r="AH341" s="1">
        <f>IF(AF341&gt;20000000.0/100,1,0)</f>
        <v>0</v>
      </c>
      <c r="AI341" s="1">
        <f>IF(U341&lt;0,1,0)</f>
        <v>0</v>
      </c>
      <c r="AJ341" s="1">
        <f>IF(AI341=1,U341,0)</f>
        <v>0</v>
      </c>
      <c r="AK341" s="1">
        <f>IF(U341&gt;0,1,0)</f>
        <v>0</v>
      </c>
      <c r="AL341" s="1">
        <f>IF(AK341=1,U341,0)</f>
        <v>0</v>
      </c>
      <c r="AM341" s="1">
        <f>IF(AJ341&lt;-20000000.0/100,1,0)</f>
        <v>0</v>
      </c>
      <c r="AN341" s="1">
        <f>IF(AL341&gt;20000000.0/100,1,0)</f>
        <v>0</v>
      </c>
    </row>
    <row r="342" spans="1:40" s="1" customFormat="1">
      <c r="A342" s="3">
        <v>45798</v>
      </c>
      <c r="B342" s="2" t="s">
        <v>24</v>
      </c>
      <c r="C342" s="1">
        <f>SUM(PL!H342:J342)</f>
        <v>0</v>
      </c>
      <c r="D342" s="1">
        <f>SUM(PL!K342:M342)</f>
        <v>0</v>
      </c>
      <c r="E342" s="1">
        <f>SUM(PL!N342:P342)</f>
        <v>0</v>
      </c>
      <c r="F342" s="1">
        <f>SUM(PL!Q342:S342)</f>
        <v>0</v>
      </c>
      <c r="G342" s="1">
        <f>SUM(PL!T342:V342)</f>
        <v>0</v>
      </c>
      <c r="H342" s="1">
        <f>SUM(C342:G342)</f>
        <v>0</v>
      </c>
      <c r="I342" s="1">
        <f>IF(C342 + I341 &lt; 0, C342 + I341, 0)</f>
        <v>0</v>
      </c>
      <c r="J342" s="1">
        <f>IF(D342 + J341 &lt; 0, D342 + J341, 0)</f>
        <v>0</v>
      </c>
      <c r="K342" s="1">
        <f>IF(E342 + K341 &lt; 0, E342 + K341, 0)</f>
        <v>0</v>
      </c>
      <c r="L342" s="1">
        <f>IF(F342 + L341 &lt; 0, F342 + L341, 0)</f>
        <v>0</v>
      </c>
      <c r="M342" s="1">
        <f>IF(G342 + M341 &lt; 0, G342 + M341, 0)</f>
        <v>0</v>
      </c>
      <c r="N342" s="1">
        <f>IF(H342 + N341 &lt; 0, H342 + N341, 0)</f>
        <v>0</v>
      </c>
      <c r="O342" s="1">
        <f>IF(N342 &lt; 0, 1 + O341, 0)</f>
        <v>0</v>
      </c>
      <c r="P342" s="1">
        <f>C342-((ABS(SUM(PL!H342:J342)))*0.125)</f>
        <v>0</v>
      </c>
      <c r="Q342" s="1">
        <f>D342-((ABS(SUM(PL!K342:M342)))*0.125)</f>
        <v>0</v>
      </c>
      <c r="R342" s="1">
        <f>E342-((ABS(SUM(PL!N342:P342)))*0.125)</f>
        <v>0</v>
      </c>
      <c r="S342" s="1">
        <f>F342-((ABS(SUM(PL!Q342:S342)))*0.125)</f>
        <v>0</v>
      </c>
      <c r="T342" s="1">
        <f>G342-((ABS(SUM(PL!T342:V342)))*0.125)</f>
        <v>0</v>
      </c>
      <c r="U342" s="1">
        <f>P342 + Q342 + R342 + S342 + T342</f>
        <v>0</v>
      </c>
      <c r="V342" s="1">
        <f>IF(P342 + V341 &lt; 0, P342 + V341, 0)</f>
        <v>0</v>
      </c>
      <c r="W342" s="1">
        <f>IF(Q342 + W341 &lt; 0, Q342 + W341, 0)</f>
        <v>0</v>
      </c>
      <c r="X342" s="1">
        <f>IF(R342 + X341 &lt; 0, R342 + X341, 0)</f>
        <v>0</v>
      </c>
      <c r="Y342" s="1">
        <f>IF(S342 + Y341 &lt; 0, S342 + Y341, 0)</f>
        <v>0</v>
      </c>
      <c r="Z342" s="1">
        <f>IF(T342 + Z341 &lt; 0, T342 + Z341, 0)</f>
        <v>0</v>
      </c>
      <c r="AA342" s="1">
        <f>IF(U342 + AA341 &lt; 0, U342 + AA341, 0)</f>
        <v>0</v>
      </c>
      <c r="AB342" s="1">
        <f>IF(AA342 &lt; 0, 1 + AB341, 0)</f>
        <v>0</v>
      </c>
      <c r="AC342" s="1">
        <f>IF(H342&lt;0,1,0)</f>
        <v>0</v>
      </c>
      <c r="AD342" s="1">
        <f>IF(AC342=1,H342,0)</f>
        <v>0</v>
      </c>
      <c r="AE342" s="1">
        <f>IF(H342&gt;0,1,0)</f>
        <v>0</v>
      </c>
      <c r="AF342" s="1">
        <f>IF(AE342=1,H342,0)</f>
        <v>0</v>
      </c>
      <c r="AG342" s="1">
        <f>IF(AD342&lt;-20000000.0/100,1,0)</f>
        <v>0</v>
      </c>
      <c r="AH342" s="1">
        <f>IF(AF342&gt;20000000.0/100,1,0)</f>
        <v>0</v>
      </c>
      <c r="AI342" s="1">
        <f>IF(U342&lt;0,1,0)</f>
        <v>0</v>
      </c>
      <c r="AJ342" s="1">
        <f>IF(AI342=1,U342,0)</f>
        <v>0</v>
      </c>
      <c r="AK342" s="1">
        <f>IF(U342&gt;0,1,0)</f>
        <v>0</v>
      </c>
      <c r="AL342" s="1">
        <f>IF(AK342=1,U342,0)</f>
        <v>0</v>
      </c>
      <c r="AM342" s="1">
        <f>IF(AJ342&lt;-20000000.0/100,1,0)</f>
        <v>0</v>
      </c>
      <c r="AN342" s="1">
        <f>IF(AL342&gt;20000000.0/100,1,0)</f>
        <v>0</v>
      </c>
    </row>
    <row r="343" spans="1:40" s="1" customFormat="1">
      <c r="A343" s="3">
        <v>45799</v>
      </c>
      <c r="B343" s="2" t="s">
        <v>25</v>
      </c>
      <c r="C343" s="1">
        <f>SUM(PL!H343:J343)</f>
        <v>0</v>
      </c>
      <c r="D343" s="1">
        <f>SUM(PL!K343:M343)</f>
        <v>0</v>
      </c>
      <c r="E343" s="1">
        <f>SUM(PL!N343:P343)</f>
        <v>0</v>
      </c>
      <c r="F343" s="1">
        <f>SUM(PL!Q343:S343)</f>
        <v>0</v>
      </c>
      <c r="G343" s="1">
        <f>SUM(PL!T343:V343)</f>
        <v>0</v>
      </c>
      <c r="H343" s="1">
        <f>SUM(C343:G343)</f>
        <v>0</v>
      </c>
      <c r="I343" s="1">
        <f>IF(C343 + I342 &lt; 0, C343 + I342, 0)</f>
        <v>0</v>
      </c>
      <c r="J343" s="1">
        <f>IF(D343 + J342 &lt; 0, D343 + J342, 0)</f>
        <v>0</v>
      </c>
      <c r="K343" s="1">
        <f>IF(E343 + K342 &lt; 0, E343 + K342, 0)</f>
        <v>0</v>
      </c>
      <c r="L343" s="1">
        <f>IF(F343 + L342 &lt; 0, F343 + L342, 0)</f>
        <v>0</v>
      </c>
      <c r="M343" s="1">
        <f>IF(G343 + M342 &lt; 0, G343 + M342, 0)</f>
        <v>0</v>
      </c>
      <c r="N343" s="1">
        <f>IF(H343 + N342 &lt; 0, H343 + N342, 0)</f>
        <v>0</v>
      </c>
      <c r="O343" s="1">
        <f>IF(N343 &lt; 0, 1 + O342, 0)</f>
        <v>0</v>
      </c>
      <c r="P343" s="1">
        <f>C343-((ABS(SUM(PL!H343:J343)))*0.125)</f>
        <v>0</v>
      </c>
      <c r="Q343" s="1">
        <f>D343-((ABS(SUM(PL!K343:M343)))*0.125)</f>
        <v>0</v>
      </c>
      <c r="R343" s="1">
        <f>E343-((ABS(SUM(PL!N343:P343)))*0.125)</f>
        <v>0</v>
      </c>
      <c r="S343" s="1">
        <f>F343-((ABS(SUM(PL!Q343:S343)))*0.125)</f>
        <v>0</v>
      </c>
      <c r="T343" s="1">
        <f>G343-((ABS(SUM(PL!T343:V343)))*0.125)</f>
        <v>0</v>
      </c>
      <c r="U343" s="1">
        <f>P343 + Q343 + R343 + S343 + T343</f>
        <v>0</v>
      </c>
      <c r="V343" s="1">
        <f>IF(P343 + V342 &lt; 0, P343 + V342, 0)</f>
        <v>0</v>
      </c>
      <c r="W343" s="1">
        <f>IF(Q343 + W342 &lt; 0, Q343 + W342, 0)</f>
        <v>0</v>
      </c>
      <c r="X343" s="1">
        <f>IF(R343 + X342 &lt; 0, R343 + X342, 0)</f>
        <v>0</v>
      </c>
      <c r="Y343" s="1">
        <f>IF(S343 + Y342 &lt; 0, S343 + Y342, 0)</f>
        <v>0</v>
      </c>
      <c r="Z343" s="1">
        <f>IF(T343 + Z342 &lt; 0, T343 + Z342, 0)</f>
        <v>0</v>
      </c>
      <c r="AA343" s="1">
        <f>IF(U343 + AA342 &lt; 0, U343 + AA342, 0)</f>
        <v>0</v>
      </c>
      <c r="AB343" s="1">
        <f>IF(AA343 &lt; 0, 1 + AB342, 0)</f>
        <v>0</v>
      </c>
      <c r="AC343" s="1">
        <f>IF(H343&lt;0,1,0)</f>
        <v>0</v>
      </c>
      <c r="AD343" s="1">
        <f>IF(AC343=1,H343,0)</f>
        <v>0</v>
      </c>
      <c r="AE343" s="1">
        <f>IF(H343&gt;0,1,0)</f>
        <v>0</v>
      </c>
      <c r="AF343" s="1">
        <f>IF(AE343=1,H343,0)</f>
        <v>0</v>
      </c>
      <c r="AG343" s="1">
        <f>IF(AD343&lt;-20000000.0/100,1,0)</f>
        <v>0</v>
      </c>
      <c r="AH343" s="1">
        <f>IF(AF343&gt;20000000.0/100,1,0)</f>
        <v>0</v>
      </c>
      <c r="AI343" s="1">
        <f>IF(U343&lt;0,1,0)</f>
        <v>0</v>
      </c>
      <c r="AJ343" s="1">
        <f>IF(AI343=1,U343,0)</f>
        <v>0</v>
      </c>
      <c r="AK343" s="1">
        <f>IF(U343&gt;0,1,0)</f>
        <v>0</v>
      </c>
      <c r="AL343" s="1">
        <f>IF(AK343=1,U343,0)</f>
        <v>0</v>
      </c>
      <c r="AM343" s="1">
        <f>IF(AJ343&lt;-20000000.0/100,1,0)</f>
        <v>0</v>
      </c>
      <c r="AN343" s="1">
        <f>IF(AL343&gt;20000000.0/100,1,0)</f>
        <v>0</v>
      </c>
    </row>
    <row r="344" spans="1:40" s="1" customFormat="1">
      <c r="A344" s="3">
        <v>45800</v>
      </c>
      <c r="B344" s="2" t="s">
        <v>26</v>
      </c>
      <c r="C344" s="1">
        <f>SUM(PL!H344:J344)</f>
        <v>0</v>
      </c>
      <c r="D344" s="1">
        <f>SUM(PL!K344:M344)</f>
        <v>0</v>
      </c>
      <c r="E344" s="1">
        <f>SUM(PL!N344:P344)</f>
        <v>0</v>
      </c>
      <c r="F344" s="1">
        <f>SUM(PL!Q344:S344)</f>
        <v>0</v>
      </c>
      <c r="G344" s="1">
        <f>SUM(PL!T344:V344)</f>
        <v>0</v>
      </c>
      <c r="H344" s="1">
        <f>SUM(C344:G344)</f>
        <v>0</v>
      </c>
      <c r="I344" s="1">
        <f>IF(C344 + I343 &lt; 0, C344 + I343, 0)</f>
        <v>0</v>
      </c>
      <c r="J344" s="1">
        <f>IF(D344 + J343 &lt; 0, D344 + J343, 0)</f>
        <v>0</v>
      </c>
      <c r="K344" s="1">
        <f>IF(E344 + K343 &lt; 0, E344 + K343, 0)</f>
        <v>0</v>
      </c>
      <c r="L344" s="1">
        <f>IF(F344 + L343 &lt; 0, F344 + L343, 0)</f>
        <v>0</v>
      </c>
      <c r="M344" s="1">
        <f>IF(G344 + M343 &lt; 0, G344 + M343, 0)</f>
        <v>0</v>
      </c>
      <c r="N344" s="1">
        <f>IF(H344 + N343 &lt; 0, H344 + N343, 0)</f>
        <v>0</v>
      </c>
      <c r="O344" s="1">
        <f>IF(N344 &lt; 0, 1 + O343, 0)</f>
        <v>0</v>
      </c>
      <c r="P344" s="1">
        <f>C344-((ABS(SUM(PL!H344:J344)))*0.125)</f>
        <v>0</v>
      </c>
      <c r="Q344" s="1">
        <f>D344-((ABS(SUM(PL!K344:M344)))*0.125)</f>
        <v>0</v>
      </c>
      <c r="R344" s="1">
        <f>E344-((ABS(SUM(PL!N344:P344)))*0.125)</f>
        <v>0</v>
      </c>
      <c r="S344" s="1">
        <f>F344-((ABS(SUM(PL!Q344:S344)))*0.125)</f>
        <v>0</v>
      </c>
      <c r="T344" s="1">
        <f>G344-((ABS(SUM(PL!T344:V344)))*0.125)</f>
        <v>0</v>
      </c>
      <c r="U344" s="1">
        <f>P344 + Q344 + R344 + S344 + T344</f>
        <v>0</v>
      </c>
      <c r="V344" s="1">
        <f>IF(P344 + V343 &lt; 0, P344 + V343, 0)</f>
        <v>0</v>
      </c>
      <c r="W344" s="1">
        <f>IF(Q344 + W343 &lt; 0, Q344 + W343, 0)</f>
        <v>0</v>
      </c>
      <c r="X344" s="1">
        <f>IF(R344 + X343 &lt; 0, R344 + X343, 0)</f>
        <v>0</v>
      </c>
      <c r="Y344" s="1">
        <f>IF(S344 + Y343 &lt; 0, S344 + Y343, 0)</f>
        <v>0</v>
      </c>
      <c r="Z344" s="1">
        <f>IF(T344 + Z343 &lt; 0, T344 + Z343, 0)</f>
        <v>0</v>
      </c>
      <c r="AA344" s="1">
        <f>IF(U344 + AA343 &lt; 0, U344 + AA343, 0)</f>
        <v>0</v>
      </c>
      <c r="AB344" s="1">
        <f>IF(AA344 &lt; 0, 1 + AB343, 0)</f>
        <v>0</v>
      </c>
      <c r="AC344" s="1">
        <f>IF(H344&lt;0,1,0)</f>
        <v>0</v>
      </c>
      <c r="AD344" s="1">
        <f>IF(AC344=1,H344,0)</f>
        <v>0</v>
      </c>
      <c r="AE344" s="1">
        <f>IF(H344&gt;0,1,0)</f>
        <v>0</v>
      </c>
      <c r="AF344" s="1">
        <f>IF(AE344=1,H344,0)</f>
        <v>0</v>
      </c>
      <c r="AG344" s="1">
        <f>IF(AD344&lt;-20000000.0/100,1,0)</f>
        <v>0</v>
      </c>
      <c r="AH344" s="1">
        <f>IF(AF344&gt;20000000.0/100,1,0)</f>
        <v>0</v>
      </c>
      <c r="AI344" s="1">
        <f>IF(U344&lt;0,1,0)</f>
        <v>0</v>
      </c>
      <c r="AJ344" s="1">
        <f>IF(AI344=1,U344,0)</f>
        <v>0</v>
      </c>
      <c r="AK344" s="1">
        <f>IF(U344&gt;0,1,0)</f>
        <v>0</v>
      </c>
      <c r="AL344" s="1">
        <f>IF(AK344=1,U344,0)</f>
        <v>0</v>
      </c>
      <c r="AM344" s="1">
        <f>IF(AJ344&lt;-20000000.0/100,1,0)</f>
        <v>0</v>
      </c>
      <c r="AN344" s="1">
        <f>IF(AL344&gt;20000000.0/100,1,0)</f>
        <v>0</v>
      </c>
    </row>
    <row r="345" spans="1:40" s="1" customFormat="1">
      <c r="A345" s="3">
        <v>45803</v>
      </c>
      <c r="B345" s="2" t="s">
        <v>22</v>
      </c>
      <c r="C345" s="1">
        <f>SUM(PL!H345:J345)</f>
        <v>0</v>
      </c>
      <c r="D345" s="1">
        <f>SUM(PL!K345:M345)</f>
        <v>0</v>
      </c>
      <c r="E345" s="1">
        <f>SUM(PL!N345:P345)</f>
        <v>0</v>
      </c>
      <c r="F345" s="1">
        <f>SUM(PL!Q345:S345)</f>
        <v>0</v>
      </c>
      <c r="G345" s="1">
        <f>SUM(PL!T345:V345)</f>
        <v>0</v>
      </c>
      <c r="H345" s="1">
        <f>SUM(C345:G345)</f>
        <v>0</v>
      </c>
      <c r="I345" s="1">
        <f>IF(C345 + I344 &lt; 0, C345 + I344, 0)</f>
        <v>0</v>
      </c>
      <c r="J345" s="1">
        <f>IF(D345 + J344 &lt; 0, D345 + J344, 0)</f>
        <v>0</v>
      </c>
      <c r="K345" s="1">
        <f>IF(E345 + K344 &lt; 0, E345 + K344, 0)</f>
        <v>0</v>
      </c>
      <c r="L345" s="1">
        <f>IF(F345 + L344 &lt; 0, F345 + L344, 0)</f>
        <v>0</v>
      </c>
      <c r="M345" s="1">
        <f>IF(G345 + M344 &lt; 0, G345 + M344, 0)</f>
        <v>0</v>
      </c>
      <c r="N345" s="1">
        <f>IF(H345 + N344 &lt; 0, H345 + N344, 0)</f>
        <v>0</v>
      </c>
      <c r="O345" s="1">
        <f>IF(N345 &lt; 0, 1 + O344, 0)</f>
        <v>0</v>
      </c>
      <c r="P345" s="1">
        <f>C345-((ABS(SUM(PL!H345:J345)))*0.125)</f>
        <v>0</v>
      </c>
      <c r="Q345" s="1">
        <f>D345-((ABS(SUM(PL!K345:M345)))*0.125)</f>
        <v>0</v>
      </c>
      <c r="R345" s="1">
        <f>E345-((ABS(SUM(PL!N345:P345)))*0.125)</f>
        <v>0</v>
      </c>
      <c r="S345" s="1">
        <f>F345-((ABS(SUM(PL!Q345:S345)))*0.125)</f>
        <v>0</v>
      </c>
      <c r="T345" s="1">
        <f>G345-((ABS(SUM(PL!T345:V345)))*0.125)</f>
        <v>0</v>
      </c>
      <c r="U345" s="1">
        <f>P345 + Q345 + R345 + S345 + T345</f>
        <v>0</v>
      </c>
      <c r="V345" s="1">
        <f>IF(P345 + V344 &lt; 0, P345 + V344, 0)</f>
        <v>0</v>
      </c>
      <c r="W345" s="1">
        <f>IF(Q345 + W344 &lt; 0, Q345 + W344, 0)</f>
        <v>0</v>
      </c>
      <c r="X345" s="1">
        <f>IF(R345 + X344 &lt; 0, R345 + X344, 0)</f>
        <v>0</v>
      </c>
      <c r="Y345" s="1">
        <f>IF(S345 + Y344 &lt; 0, S345 + Y344, 0)</f>
        <v>0</v>
      </c>
      <c r="Z345" s="1">
        <f>IF(T345 + Z344 &lt; 0, T345 + Z344, 0)</f>
        <v>0</v>
      </c>
      <c r="AA345" s="1">
        <f>IF(U345 + AA344 &lt; 0, U345 + AA344, 0)</f>
        <v>0</v>
      </c>
      <c r="AB345" s="1">
        <f>IF(AA345 &lt; 0, 1 + AB344, 0)</f>
        <v>0</v>
      </c>
      <c r="AC345" s="1">
        <f>IF(H345&lt;0,1,0)</f>
        <v>0</v>
      </c>
      <c r="AD345" s="1">
        <f>IF(AC345=1,H345,0)</f>
        <v>0</v>
      </c>
      <c r="AE345" s="1">
        <f>IF(H345&gt;0,1,0)</f>
        <v>0</v>
      </c>
      <c r="AF345" s="1">
        <f>IF(AE345=1,H345,0)</f>
        <v>0</v>
      </c>
      <c r="AG345" s="1">
        <f>IF(AD345&lt;-20000000.0/100,1,0)</f>
        <v>0</v>
      </c>
      <c r="AH345" s="1">
        <f>IF(AF345&gt;20000000.0/100,1,0)</f>
        <v>0</v>
      </c>
      <c r="AI345" s="1">
        <f>IF(U345&lt;0,1,0)</f>
        <v>0</v>
      </c>
      <c r="AJ345" s="1">
        <f>IF(AI345=1,U345,0)</f>
        <v>0</v>
      </c>
      <c r="AK345" s="1">
        <f>IF(U345&gt;0,1,0)</f>
        <v>0</v>
      </c>
      <c r="AL345" s="1">
        <f>IF(AK345=1,U345,0)</f>
        <v>0</v>
      </c>
      <c r="AM345" s="1">
        <f>IF(AJ345&lt;-20000000.0/100,1,0)</f>
        <v>0</v>
      </c>
      <c r="AN345" s="1">
        <f>IF(AL345&gt;20000000.0/100,1,0)</f>
        <v>0</v>
      </c>
    </row>
    <row r="346" spans="1:40" s="1" customFormat="1">
      <c r="A346" s="3">
        <v>45804</v>
      </c>
      <c r="B346" s="2" t="s">
        <v>23</v>
      </c>
      <c r="C346" s="1">
        <f>SUM(PL!H346:J346)</f>
        <v>0</v>
      </c>
      <c r="D346" s="1">
        <f>SUM(PL!K346:M346)</f>
        <v>0</v>
      </c>
      <c r="E346" s="1">
        <f>SUM(PL!N346:P346)</f>
        <v>0</v>
      </c>
      <c r="F346" s="1">
        <f>SUM(PL!Q346:S346)</f>
        <v>0</v>
      </c>
      <c r="G346" s="1">
        <f>SUM(PL!T346:V346)</f>
        <v>0</v>
      </c>
      <c r="H346" s="1">
        <f>SUM(C346:G346)</f>
        <v>0</v>
      </c>
      <c r="I346" s="1">
        <f>IF(C346 + I345 &lt; 0, C346 + I345, 0)</f>
        <v>0</v>
      </c>
      <c r="J346" s="1">
        <f>IF(D346 + J345 &lt; 0, D346 + J345, 0)</f>
        <v>0</v>
      </c>
      <c r="K346" s="1">
        <f>IF(E346 + K345 &lt; 0, E346 + K345, 0)</f>
        <v>0</v>
      </c>
      <c r="L346" s="1">
        <f>IF(F346 + L345 &lt; 0, F346 + L345, 0)</f>
        <v>0</v>
      </c>
      <c r="M346" s="1">
        <f>IF(G346 + M345 &lt; 0, G346 + M345, 0)</f>
        <v>0</v>
      </c>
      <c r="N346" s="1">
        <f>IF(H346 + N345 &lt; 0, H346 + N345, 0)</f>
        <v>0</v>
      </c>
      <c r="O346" s="1">
        <f>IF(N346 &lt; 0, 1 + O345, 0)</f>
        <v>0</v>
      </c>
      <c r="P346" s="1">
        <f>C346-((ABS(SUM(PL!H346:J346)))*0.125)</f>
        <v>0</v>
      </c>
      <c r="Q346" s="1">
        <f>D346-((ABS(SUM(PL!K346:M346)))*0.125)</f>
        <v>0</v>
      </c>
      <c r="R346" s="1">
        <f>E346-((ABS(SUM(PL!N346:P346)))*0.125)</f>
        <v>0</v>
      </c>
      <c r="S346" s="1">
        <f>F346-((ABS(SUM(PL!Q346:S346)))*0.125)</f>
        <v>0</v>
      </c>
      <c r="T346" s="1">
        <f>G346-((ABS(SUM(PL!T346:V346)))*0.125)</f>
        <v>0</v>
      </c>
      <c r="U346" s="1">
        <f>P346 + Q346 + R346 + S346 + T346</f>
        <v>0</v>
      </c>
      <c r="V346" s="1">
        <f>IF(P346 + V345 &lt; 0, P346 + V345, 0)</f>
        <v>0</v>
      </c>
      <c r="W346" s="1">
        <f>IF(Q346 + W345 &lt; 0, Q346 + W345, 0)</f>
        <v>0</v>
      </c>
      <c r="X346" s="1">
        <f>IF(R346 + X345 &lt; 0, R346 + X345, 0)</f>
        <v>0</v>
      </c>
      <c r="Y346" s="1">
        <f>IF(S346 + Y345 &lt; 0, S346 + Y345, 0)</f>
        <v>0</v>
      </c>
      <c r="Z346" s="1">
        <f>IF(T346 + Z345 &lt; 0, T346 + Z345, 0)</f>
        <v>0</v>
      </c>
      <c r="AA346" s="1">
        <f>IF(U346 + AA345 &lt; 0, U346 + AA345, 0)</f>
        <v>0</v>
      </c>
      <c r="AB346" s="1">
        <f>IF(AA346 &lt; 0, 1 + AB345, 0)</f>
        <v>0</v>
      </c>
      <c r="AC346" s="1">
        <f>IF(H346&lt;0,1,0)</f>
        <v>0</v>
      </c>
      <c r="AD346" s="1">
        <f>IF(AC346=1,H346,0)</f>
        <v>0</v>
      </c>
      <c r="AE346" s="1">
        <f>IF(H346&gt;0,1,0)</f>
        <v>0</v>
      </c>
      <c r="AF346" s="1">
        <f>IF(AE346=1,H346,0)</f>
        <v>0</v>
      </c>
      <c r="AG346" s="1">
        <f>IF(AD346&lt;-20000000.0/100,1,0)</f>
        <v>0</v>
      </c>
      <c r="AH346" s="1">
        <f>IF(AF346&gt;20000000.0/100,1,0)</f>
        <v>0</v>
      </c>
      <c r="AI346" s="1">
        <f>IF(U346&lt;0,1,0)</f>
        <v>0</v>
      </c>
      <c r="AJ346" s="1">
        <f>IF(AI346=1,U346,0)</f>
        <v>0</v>
      </c>
      <c r="AK346" s="1">
        <f>IF(U346&gt;0,1,0)</f>
        <v>0</v>
      </c>
      <c r="AL346" s="1">
        <f>IF(AK346=1,U346,0)</f>
        <v>0</v>
      </c>
      <c r="AM346" s="1">
        <f>IF(AJ346&lt;-20000000.0/100,1,0)</f>
        <v>0</v>
      </c>
      <c r="AN346" s="1">
        <f>IF(AL346&gt;20000000.0/100,1,0)</f>
        <v>0</v>
      </c>
    </row>
    <row r="347" spans="1:40" s="1" customFormat="1">
      <c r="A347" s="3">
        <v>45805</v>
      </c>
      <c r="B347" s="2" t="s">
        <v>24</v>
      </c>
      <c r="C347" s="1">
        <f>SUM(PL!H347:J347)</f>
        <v>0</v>
      </c>
      <c r="D347" s="1">
        <f>SUM(PL!K347:M347)</f>
        <v>0</v>
      </c>
      <c r="E347" s="1">
        <f>SUM(PL!N347:P347)</f>
        <v>0</v>
      </c>
      <c r="F347" s="1">
        <f>SUM(PL!Q347:S347)</f>
        <v>0</v>
      </c>
      <c r="G347" s="1">
        <f>SUM(PL!T347:V347)</f>
        <v>0</v>
      </c>
      <c r="H347" s="1">
        <f>SUM(C347:G347)</f>
        <v>0</v>
      </c>
      <c r="I347" s="1">
        <f>IF(C347 + I346 &lt; 0, C347 + I346, 0)</f>
        <v>0</v>
      </c>
      <c r="J347" s="1">
        <f>IF(D347 + J346 &lt; 0, D347 + J346, 0)</f>
        <v>0</v>
      </c>
      <c r="K347" s="1">
        <f>IF(E347 + K346 &lt; 0, E347 + K346, 0)</f>
        <v>0</v>
      </c>
      <c r="L347" s="1">
        <f>IF(F347 + L346 &lt; 0, F347 + L346, 0)</f>
        <v>0</v>
      </c>
      <c r="M347" s="1">
        <f>IF(G347 + M346 &lt; 0, G347 + M346, 0)</f>
        <v>0</v>
      </c>
      <c r="N347" s="1">
        <f>IF(H347 + N346 &lt; 0, H347 + N346, 0)</f>
        <v>0</v>
      </c>
      <c r="O347" s="1">
        <f>IF(N347 &lt; 0, 1 + O346, 0)</f>
        <v>0</v>
      </c>
      <c r="P347" s="1">
        <f>C347-((ABS(SUM(PL!H347:J347)))*0.125)</f>
        <v>0</v>
      </c>
      <c r="Q347" s="1">
        <f>D347-((ABS(SUM(PL!K347:M347)))*0.125)</f>
        <v>0</v>
      </c>
      <c r="R347" s="1">
        <f>E347-((ABS(SUM(PL!N347:P347)))*0.125)</f>
        <v>0</v>
      </c>
      <c r="S347" s="1">
        <f>F347-((ABS(SUM(PL!Q347:S347)))*0.125)</f>
        <v>0</v>
      </c>
      <c r="T347" s="1">
        <f>G347-((ABS(SUM(PL!T347:V347)))*0.125)</f>
        <v>0</v>
      </c>
      <c r="U347" s="1">
        <f>P347 + Q347 + R347 + S347 + T347</f>
        <v>0</v>
      </c>
      <c r="V347" s="1">
        <f>IF(P347 + V346 &lt; 0, P347 + V346, 0)</f>
        <v>0</v>
      </c>
      <c r="W347" s="1">
        <f>IF(Q347 + W346 &lt; 0, Q347 + W346, 0)</f>
        <v>0</v>
      </c>
      <c r="X347" s="1">
        <f>IF(R347 + X346 &lt; 0, R347 + X346, 0)</f>
        <v>0</v>
      </c>
      <c r="Y347" s="1">
        <f>IF(S347 + Y346 &lt; 0, S347 + Y346, 0)</f>
        <v>0</v>
      </c>
      <c r="Z347" s="1">
        <f>IF(T347 + Z346 &lt; 0, T347 + Z346, 0)</f>
        <v>0</v>
      </c>
      <c r="AA347" s="1">
        <f>IF(U347 + AA346 &lt; 0, U347 + AA346, 0)</f>
        <v>0</v>
      </c>
      <c r="AB347" s="1">
        <f>IF(AA347 &lt; 0, 1 + AB346, 0)</f>
        <v>0</v>
      </c>
      <c r="AC347" s="1">
        <f>IF(H347&lt;0,1,0)</f>
        <v>0</v>
      </c>
      <c r="AD347" s="1">
        <f>IF(AC347=1,H347,0)</f>
        <v>0</v>
      </c>
      <c r="AE347" s="1">
        <f>IF(H347&gt;0,1,0)</f>
        <v>0</v>
      </c>
      <c r="AF347" s="1">
        <f>IF(AE347=1,H347,0)</f>
        <v>0</v>
      </c>
      <c r="AG347" s="1">
        <f>IF(AD347&lt;-20000000.0/100,1,0)</f>
        <v>0</v>
      </c>
      <c r="AH347" s="1">
        <f>IF(AF347&gt;20000000.0/100,1,0)</f>
        <v>0</v>
      </c>
      <c r="AI347" s="1">
        <f>IF(U347&lt;0,1,0)</f>
        <v>0</v>
      </c>
      <c r="AJ347" s="1">
        <f>IF(AI347=1,U347,0)</f>
        <v>0</v>
      </c>
      <c r="AK347" s="1">
        <f>IF(U347&gt;0,1,0)</f>
        <v>0</v>
      </c>
      <c r="AL347" s="1">
        <f>IF(AK347=1,U347,0)</f>
        <v>0</v>
      </c>
      <c r="AM347" s="1">
        <f>IF(AJ347&lt;-20000000.0/100,1,0)</f>
        <v>0</v>
      </c>
      <c r="AN347" s="1">
        <f>IF(AL347&gt;20000000.0/100,1,0)</f>
        <v>0</v>
      </c>
    </row>
    <row r="348" spans="1:40" s="1" customFormat="1">
      <c r="A348" s="3">
        <v>45806</v>
      </c>
      <c r="B348" s="2" t="s">
        <v>25</v>
      </c>
      <c r="C348" s="1">
        <f>SUM(PL!H348:J348)</f>
        <v>0</v>
      </c>
      <c r="D348" s="1">
        <f>SUM(PL!K348:M348)</f>
        <v>0</v>
      </c>
      <c r="E348" s="1">
        <f>SUM(PL!N348:P348)</f>
        <v>0</v>
      </c>
      <c r="F348" s="1">
        <f>SUM(PL!Q348:S348)</f>
        <v>0</v>
      </c>
      <c r="G348" s="1">
        <f>SUM(PL!T348:V348)</f>
        <v>0</v>
      </c>
      <c r="H348" s="1">
        <f>SUM(C348:G348)</f>
        <v>0</v>
      </c>
      <c r="I348" s="1">
        <f>IF(C348 + I347 &lt; 0, C348 + I347, 0)</f>
        <v>0</v>
      </c>
      <c r="J348" s="1">
        <f>IF(D348 + J347 &lt; 0, D348 + J347, 0)</f>
        <v>0</v>
      </c>
      <c r="K348" s="1">
        <f>IF(E348 + K347 &lt; 0, E348 + K347, 0)</f>
        <v>0</v>
      </c>
      <c r="L348" s="1">
        <f>IF(F348 + L347 &lt; 0, F348 + L347, 0)</f>
        <v>0</v>
      </c>
      <c r="M348" s="1">
        <f>IF(G348 + M347 &lt; 0, G348 + M347, 0)</f>
        <v>0</v>
      </c>
      <c r="N348" s="1">
        <f>IF(H348 + N347 &lt; 0, H348 + N347, 0)</f>
        <v>0</v>
      </c>
      <c r="O348" s="1">
        <f>IF(N348 &lt; 0, 1 + O347, 0)</f>
        <v>0</v>
      </c>
      <c r="P348" s="1">
        <f>C348-((ABS(SUM(PL!H348:J348)))*0.125)</f>
        <v>0</v>
      </c>
      <c r="Q348" s="1">
        <f>D348-((ABS(SUM(PL!K348:M348)))*0.125)</f>
        <v>0</v>
      </c>
      <c r="R348" s="1">
        <f>E348-((ABS(SUM(PL!N348:P348)))*0.125)</f>
        <v>0</v>
      </c>
      <c r="S348" s="1">
        <f>F348-((ABS(SUM(PL!Q348:S348)))*0.125)</f>
        <v>0</v>
      </c>
      <c r="T348" s="1">
        <f>G348-((ABS(SUM(PL!T348:V348)))*0.125)</f>
        <v>0</v>
      </c>
      <c r="U348" s="1">
        <f>P348 + Q348 + R348 + S348 + T348</f>
        <v>0</v>
      </c>
      <c r="V348" s="1">
        <f>IF(P348 + V347 &lt; 0, P348 + V347, 0)</f>
        <v>0</v>
      </c>
      <c r="W348" s="1">
        <f>IF(Q348 + W347 &lt; 0, Q348 + W347, 0)</f>
        <v>0</v>
      </c>
      <c r="X348" s="1">
        <f>IF(R348 + X347 &lt; 0, R348 + X347, 0)</f>
        <v>0</v>
      </c>
      <c r="Y348" s="1">
        <f>IF(S348 + Y347 &lt; 0, S348 + Y347, 0)</f>
        <v>0</v>
      </c>
      <c r="Z348" s="1">
        <f>IF(T348 + Z347 &lt; 0, T348 + Z347, 0)</f>
        <v>0</v>
      </c>
      <c r="AA348" s="1">
        <f>IF(U348 + AA347 &lt; 0, U348 + AA347, 0)</f>
        <v>0</v>
      </c>
      <c r="AB348" s="1">
        <f>IF(AA348 &lt; 0, 1 + AB347, 0)</f>
        <v>0</v>
      </c>
      <c r="AC348" s="1">
        <f>IF(H348&lt;0,1,0)</f>
        <v>0</v>
      </c>
      <c r="AD348" s="1">
        <f>IF(AC348=1,H348,0)</f>
        <v>0</v>
      </c>
      <c r="AE348" s="1">
        <f>IF(H348&gt;0,1,0)</f>
        <v>0</v>
      </c>
      <c r="AF348" s="1">
        <f>IF(AE348=1,H348,0)</f>
        <v>0</v>
      </c>
      <c r="AG348" s="1">
        <f>IF(AD348&lt;-20000000.0/100,1,0)</f>
        <v>0</v>
      </c>
      <c r="AH348" s="1">
        <f>IF(AF348&gt;20000000.0/100,1,0)</f>
        <v>0</v>
      </c>
      <c r="AI348" s="1">
        <f>IF(U348&lt;0,1,0)</f>
        <v>0</v>
      </c>
      <c r="AJ348" s="1">
        <f>IF(AI348=1,U348,0)</f>
        <v>0</v>
      </c>
      <c r="AK348" s="1">
        <f>IF(U348&gt;0,1,0)</f>
        <v>0</v>
      </c>
      <c r="AL348" s="1">
        <f>IF(AK348=1,U348,0)</f>
        <v>0</v>
      </c>
      <c r="AM348" s="1">
        <f>IF(AJ348&lt;-20000000.0/100,1,0)</f>
        <v>0</v>
      </c>
      <c r="AN348" s="1">
        <f>IF(AL348&gt;20000000.0/100,1,0)</f>
        <v>0</v>
      </c>
    </row>
    <row r="349" spans="1:40" s="1" customFormat="1">
      <c r="A349" s="3">
        <v>45807</v>
      </c>
      <c r="B349" s="2" t="s">
        <v>26</v>
      </c>
      <c r="C349" s="1">
        <f>SUM(PL!H349:J349)</f>
        <v>0</v>
      </c>
      <c r="D349" s="1">
        <f>SUM(PL!K349:M349)</f>
        <v>0</v>
      </c>
      <c r="E349" s="1">
        <f>SUM(PL!N349:P349)</f>
        <v>0</v>
      </c>
      <c r="F349" s="1">
        <f>SUM(PL!Q349:S349)</f>
        <v>0</v>
      </c>
      <c r="G349" s="1">
        <f>SUM(PL!T349:V349)</f>
        <v>0</v>
      </c>
      <c r="H349" s="1">
        <f>SUM(C349:G349)</f>
        <v>0</v>
      </c>
      <c r="I349" s="1">
        <f>IF(C349 + I348 &lt; 0, C349 + I348, 0)</f>
        <v>0</v>
      </c>
      <c r="J349" s="1">
        <f>IF(D349 + J348 &lt; 0, D349 + J348, 0)</f>
        <v>0</v>
      </c>
      <c r="K349" s="1">
        <f>IF(E349 + K348 &lt; 0, E349 + K348, 0)</f>
        <v>0</v>
      </c>
      <c r="L349" s="1">
        <f>IF(F349 + L348 &lt; 0, F349 + L348, 0)</f>
        <v>0</v>
      </c>
      <c r="M349" s="1">
        <f>IF(G349 + M348 &lt; 0, G349 + M348, 0)</f>
        <v>0</v>
      </c>
      <c r="N349" s="1">
        <f>IF(H349 + N348 &lt; 0, H349 + N348, 0)</f>
        <v>0</v>
      </c>
      <c r="O349" s="1">
        <f>IF(N349 &lt; 0, 1 + O348, 0)</f>
        <v>0</v>
      </c>
      <c r="P349" s="1">
        <f>C349-((ABS(SUM(PL!H349:J349)))*0.125)</f>
        <v>0</v>
      </c>
      <c r="Q349" s="1">
        <f>D349-((ABS(SUM(PL!K349:M349)))*0.125)</f>
        <v>0</v>
      </c>
      <c r="R349" s="1">
        <f>E349-((ABS(SUM(PL!N349:P349)))*0.125)</f>
        <v>0</v>
      </c>
      <c r="S349" s="1">
        <f>F349-((ABS(SUM(PL!Q349:S349)))*0.125)</f>
        <v>0</v>
      </c>
      <c r="T349" s="1">
        <f>G349-((ABS(SUM(PL!T349:V349)))*0.125)</f>
        <v>0</v>
      </c>
      <c r="U349" s="1">
        <f>P349 + Q349 + R349 + S349 + T349</f>
        <v>0</v>
      </c>
      <c r="V349" s="1">
        <f>IF(P349 + V348 &lt; 0, P349 + V348, 0)</f>
        <v>0</v>
      </c>
      <c r="W349" s="1">
        <f>IF(Q349 + W348 &lt; 0, Q349 + W348, 0)</f>
        <v>0</v>
      </c>
      <c r="X349" s="1">
        <f>IF(R349 + X348 &lt; 0, R349 + X348, 0)</f>
        <v>0</v>
      </c>
      <c r="Y349" s="1">
        <f>IF(S349 + Y348 &lt; 0, S349 + Y348, 0)</f>
        <v>0</v>
      </c>
      <c r="Z349" s="1">
        <f>IF(T349 + Z348 &lt; 0, T349 + Z348, 0)</f>
        <v>0</v>
      </c>
      <c r="AA349" s="1">
        <f>IF(U349 + AA348 &lt; 0, U349 + AA348, 0)</f>
        <v>0</v>
      </c>
      <c r="AB349" s="1">
        <f>IF(AA349 &lt; 0, 1 + AB348, 0)</f>
        <v>0</v>
      </c>
      <c r="AC349" s="1">
        <f>IF(H349&lt;0,1,0)</f>
        <v>0</v>
      </c>
      <c r="AD349" s="1">
        <f>IF(AC349=1,H349,0)</f>
        <v>0</v>
      </c>
      <c r="AE349" s="1">
        <f>IF(H349&gt;0,1,0)</f>
        <v>0</v>
      </c>
      <c r="AF349" s="1">
        <f>IF(AE349=1,H349,0)</f>
        <v>0</v>
      </c>
      <c r="AG349" s="1">
        <f>IF(AD349&lt;-20000000.0/100,1,0)</f>
        <v>0</v>
      </c>
      <c r="AH349" s="1">
        <f>IF(AF349&gt;20000000.0/100,1,0)</f>
        <v>0</v>
      </c>
      <c r="AI349" s="1">
        <f>IF(U349&lt;0,1,0)</f>
        <v>0</v>
      </c>
      <c r="AJ349" s="1">
        <f>IF(AI349=1,U349,0)</f>
        <v>0</v>
      </c>
      <c r="AK349" s="1">
        <f>IF(U349&gt;0,1,0)</f>
        <v>0</v>
      </c>
      <c r="AL349" s="1">
        <f>IF(AK349=1,U349,0)</f>
        <v>0</v>
      </c>
      <c r="AM349" s="1">
        <f>IF(AJ349&lt;-20000000.0/100,1,0)</f>
        <v>0</v>
      </c>
      <c r="AN349" s="1">
        <f>IF(AL349&gt;20000000.0/100,1,0)</f>
        <v>0</v>
      </c>
    </row>
    <row r="350" spans="1:40" s="1" customFormat="1">
      <c r="A350" s="3">
        <v>45810</v>
      </c>
      <c r="B350" s="2" t="s">
        <v>22</v>
      </c>
      <c r="C350" s="1">
        <f>SUM(PL!H350:J350)</f>
        <v>0</v>
      </c>
      <c r="D350" s="1">
        <f>SUM(PL!K350:M350)</f>
        <v>0</v>
      </c>
      <c r="E350" s="1">
        <f>SUM(PL!N350:P350)</f>
        <v>0</v>
      </c>
      <c r="F350" s="1">
        <f>SUM(PL!Q350:S350)</f>
        <v>0</v>
      </c>
      <c r="G350" s="1">
        <f>SUM(PL!T350:V350)</f>
        <v>0</v>
      </c>
      <c r="H350" s="1">
        <f>SUM(C350:G350)</f>
        <v>0</v>
      </c>
      <c r="I350" s="1">
        <f>IF(C350 + I349 &lt; 0, C350 + I349, 0)</f>
        <v>0</v>
      </c>
      <c r="J350" s="1">
        <f>IF(D350 + J349 &lt; 0, D350 + J349, 0)</f>
        <v>0</v>
      </c>
      <c r="K350" s="1">
        <f>IF(E350 + K349 &lt; 0, E350 + K349, 0)</f>
        <v>0</v>
      </c>
      <c r="L350" s="1">
        <f>IF(F350 + L349 &lt; 0, F350 + L349, 0)</f>
        <v>0</v>
      </c>
      <c r="M350" s="1">
        <f>IF(G350 + M349 &lt; 0, G350 + M349, 0)</f>
        <v>0</v>
      </c>
      <c r="N350" s="1">
        <f>IF(H350 + N349 &lt; 0, H350 + N349, 0)</f>
        <v>0</v>
      </c>
      <c r="O350" s="1">
        <f>IF(N350 &lt; 0, 1 + O349, 0)</f>
        <v>0</v>
      </c>
      <c r="P350" s="1">
        <f>C350-((ABS(SUM(PL!H350:J350)))*0.125)</f>
        <v>0</v>
      </c>
      <c r="Q350" s="1">
        <f>D350-((ABS(SUM(PL!K350:M350)))*0.125)</f>
        <v>0</v>
      </c>
      <c r="R350" s="1">
        <f>E350-((ABS(SUM(PL!N350:P350)))*0.125)</f>
        <v>0</v>
      </c>
      <c r="S350" s="1">
        <f>F350-((ABS(SUM(PL!Q350:S350)))*0.125)</f>
        <v>0</v>
      </c>
      <c r="T350" s="1">
        <f>G350-((ABS(SUM(PL!T350:V350)))*0.125)</f>
        <v>0</v>
      </c>
      <c r="U350" s="1">
        <f>P350 + Q350 + R350 + S350 + T350</f>
        <v>0</v>
      </c>
      <c r="V350" s="1">
        <f>IF(P350 + V349 &lt; 0, P350 + V349, 0)</f>
        <v>0</v>
      </c>
      <c r="W350" s="1">
        <f>IF(Q350 + W349 &lt; 0, Q350 + W349, 0)</f>
        <v>0</v>
      </c>
      <c r="X350" s="1">
        <f>IF(R350 + X349 &lt; 0, R350 + X349, 0)</f>
        <v>0</v>
      </c>
      <c r="Y350" s="1">
        <f>IF(S350 + Y349 &lt; 0, S350 + Y349, 0)</f>
        <v>0</v>
      </c>
      <c r="Z350" s="1">
        <f>IF(T350 + Z349 &lt; 0, T350 + Z349, 0)</f>
        <v>0</v>
      </c>
      <c r="AA350" s="1">
        <f>IF(U350 + AA349 &lt; 0, U350 + AA349, 0)</f>
        <v>0</v>
      </c>
      <c r="AB350" s="1">
        <f>IF(AA350 &lt; 0, 1 + AB349, 0)</f>
        <v>0</v>
      </c>
      <c r="AC350" s="1">
        <f>IF(H350&lt;0,1,0)</f>
        <v>0</v>
      </c>
      <c r="AD350" s="1">
        <f>IF(AC350=1,H350,0)</f>
        <v>0</v>
      </c>
      <c r="AE350" s="1">
        <f>IF(H350&gt;0,1,0)</f>
        <v>0</v>
      </c>
      <c r="AF350" s="1">
        <f>IF(AE350=1,H350,0)</f>
        <v>0</v>
      </c>
      <c r="AG350" s="1">
        <f>IF(AD350&lt;-20000000.0/100,1,0)</f>
        <v>0</v>
      </c>
      <c r="AH350" s="1">
        <f>IF(AF350&gt;20000000.0/100,1,0)</f>
        <v>0</v>
      </c>
      <c r="AI350" s="1">
        <f>IF(U350&lt;0,1,0)</f>
        <v>0</v>
      </c>
      <c r="AJ350" s="1">
        <f>IF(AI350=1,U350,0)</f>
        <v>0</v>
      </c>
      <c r="AK350" s="1">
        <f>IF(U350&gt;0,1,0)</f>
        <v>0</v>
      </c>
      <c r="AL350" s="1">
        <f>IF(AK350=1,U350,0)</f>
        <v>0</v>
      </c>
      <c r="AM350" s="1">
        <f>IF(AJ350&lt;-20000000.0/100,1,0)</f>
        <v>0</v>
      </c>
      <c r="AN350" s="1">
        <f>IF(AL350&gt;20000000.0/100,1,0)</f>
        <v>0</v>
      </c>
    </row>
    <row r="351" spans="1:40" s="1" customFormat="1">
      <c r="A351" s="3">
        <v>45811</v>
      </c>
      <c r="B351" s="2" t="s">
        <v>23</v>
      </c>
      <c r="C351" s="1">
        <f>SUM(PL!H351:J351)</f>
        <v>0</v>
      </c>
      <c r="D351" s="1">
        <f>SUM(PL!K351:M351)</f>
        <v>0</v>
      </c>
      <c r="E351" s="1">
        <f>SUM(PL!N351:P351)</f>
        <v>0</v>
      </c>
      <c r="F351" s="1">
        <f>SUM(PL!Q351:S351)</f>
        <v>0</v>
      </c>
      <c r="G351" s="1">
        <f>SUM(PL!T351:V351)</f>
        <v>0</v>
      </c>
      <c r="H351" s="1">
        <f>SUM(C351:G351)</f>
        <v>0</v>
      </c>
      <c r="I351" s="1">
        <f>IF(C351 + I350 &lt; 0, C351 + I350, 0)</f>
        <v>0</v>
      </c>
      <c r="J351" s="1">
        <f>IF(D351 + J350 &lt; 0, D351 + J350, 0)</f>
        <v>0</v>
      </c>
      <c r="K351" s="1">
        <f>IF(E351 + K350 &lt; 0, E351 + K350, 0)</f>
        <v>0</v>
      </c>
      <c r="L351" s="1">
        <f>IF(F351 + L350 &lt; 0, F351 + L350, 0)</f>
        <v>0</v>
      </c>
      <c r="M351" s="1">
        <f>IF(G351 + M350 &lt; 0, G351 + M350, 0)</f>
        <v>0</v>
      </c>
      <c r="N351" s="1">
        <f>IF(H351 + N350 &lt; 0, H351 + N350, 0)</f>
        <v>0</v>
      </c>
      <c r="O351" s="1">
        <f>IF(N351 &lt; 0, 1 + O350, 0)</f>
        <v>0</v>
      </c>
      <c r="P351" s="1">
        <f>C351-((ABS(SUM(PL!H351:J351)))*0.125)</f>
        <v>0</v>
      </c>
      <c r="Q351" s="1">
        <f>D351-((ABS(SUM(PL!K351:M351)))*0.125)</f>
        <v>0</v>
      </c>
      <c r="R351" s="1">
        <f>E351-((ABS(SUM(PL!N351:P351)))*0.125)</f>
        <v>0</v>
      </c>
      <c r="S351" s="1">
        <f>F351-((ABS(SUM(PL!Q351:S351)))*0.125)</f>
        <v>0</v>
      </c>
      <c r="T351" s="1">
        <f>G351-((ABS(SUM(PL!T351:V351)))*0.125)</f>
        <v>0</v>
      </c>
      <c r="U351" s="1">
        <f>P351 + Q351 + R351 + S351 + T351</f>
        <v>0</v>
      </c>
      <c r="V351" s="1">
        <f>IF(P351 + V350 &lt; 0, P351 + V350, 0)</f>
        <v>0</v>
      </c>
      <c r="W351" s="1">
        <f>IF(Q351 + W350 &lt; 0, Q351 + W350, 0)</f>
        <v>0</v>
      </c>
      <c r="X351" s="1">
        <f>IF(R351 + X350 &lt; 0, R351 + X350, 0)</f>
        <v>0</v>
      </c>
      <c r="Y351" s="1">
        <f>IF(S351 + Y350 &lt; 0, S351 + Y350, 0)</f>
        <v>0</v>
      </c>
      <c r="Z351" s="1">
        <f>IF(T351 + Z350 &lt; 0, T351 + Z350, 0)</f>
        <v>0</v>
      </c>
      <c r="AA351" s="1">
        <f>IF(U351 + AA350 &lt; 0, U351 + AA350, 0)</f>
        <v>0</v>
      </c>
      <c r="AB351" s="1">
        <f>IF(AA351 &lt; 0, 1 + AB350, 0)</f>
        <v>0</v>
      </c>
      <c r="AC351" s="1">
        <f>IF(H351&lt;0,1,0)</f>
        <v>0</v>
      </c>
      <c r="AD351" s="1">
        <f>IF(AC351=1,H351,0)</f>
        <v>0</v>
      </c>
      <c r="AE351" s="1">
        <f>IF(H351&gt;0,1,0)</f>
        <v>0</v>
      </c>
      <c r="AF351" s="1">
        <f>IF(AE351=1,H351,0)</f>
        <v>0</v>
      </c>
      <c r="AG351" s="1">
        <f>IF(AD351&lt;-20000000.0/100,1,0)</f>
        <v>0</v>
      </c>
      <c r="AH351" s="1">
        <f>IF(AF351&gt;20000000.0/100,1,0)</f>
        <v>0</v>
      </c>
      <c r="AI351" s="1">
        <f>IF(U351&lt;0,1,0)</f>
        <v>0</v>
      </c>
      <c r="AJ351" s="1">
        <f>IF(AI351=1,U351,0)</f>
        <v>0</v>
      </c>
      <c r="AK351" s="1">
        <f>IF(U351&gt;0,1,0)</f>
        <v>0</v>
      </c>
      <c r="AL351" s="1">
        <f>IF(AK351=1,U351,0)</f>
        <v>0</v>
      </c>
      <c r="AM351" s="1">
        <f>IF(AJ351&lt;-20000000.0/100,1,0)</f>
        <v>0</v>
      </c>
      <c r="AN351" s="1">
        <f>IF(AL351&gt;20000000.0/100,1,0)</f>
        <v>0</v>
      </c>
    </row>
    <row r="352" spans="1:40" s="1" customFormat="1">
      <c r="A352" s="3">
        <v>45812</v>
      </c>
      <c r="B352" s="2" t="s">
        <v>24</v>
      </c>
      <c r="C352" s="1">
        <f>SUM(PL!H352:J352)</f>
        <v>0</v>
      </c>
      <c r="D352" s="1">
        <f>SUM(PL!K352:M352)</f>
        <v>0</v>
      </c>
      <c r="E352" s="1">
        <f>SUM(PL!N352:P352)</f>
        <v>0</v>
      </c>
      <c r="F352" s="1">
        <f>SUM(PL!Q352:S352)</f>
        <v>0</v>
      </c>
      <c r="G352" s="1">
        <f>SUM(PL!T352:V352)</f>
        <v>0</v>
      </c>
      <c r="H352" s="1">
        <f>SUM(C352:G352)</f>
        <v>0</v>
      </c>
      <c r="I352" s="1">
        <f>IF(C352 + I351 &lt; 0, C352 + I351, 0)</f>
        <v>0</v>
      </c>
      <c r="J352" s="1">
        <f>IF(D352 + J351 &lt; 0, D352 + J351, 0)</f>
        <v>0</v>
      </c>
      <c r="K352" s="1">
        <f>IF(E352 + K351 &lt; 0, E352 + K351, 0)</f>
        <v>0</v>
      </c>
      <c r="L352" s="1">
        <f>IF(F352 + L351 &lt; 0, F352 + L351, 0)</f>
        <v>0</v>
      </c>
      <c r="M352" s="1">
        <f>IF(G352 + M351 &lt; 0, G352 + M351, 0)</f>
        <v>0</v>
      </c>
      <c r="N352" s="1">
        <f>IF(H352 + N351 &lt; 0, H352 + N351, 0)</f>
        <v>0</v>
      </c>
      <c r="O352" s="1">
        <f>IF(N352 &lt; 0, 1 + O351, 0)</f>
        <v>0</v>
      </c>
      <c r="P352" s="1">
        <f>C352-((ABS(SUM(PL!H352:J352)))*0.125)</f>
        <v>0</v>
      </c>
      <c r="Q352" s="1">
        <f>D352-((ABS(SUM(PL!K352:M352)))*0.125)</f>
        <v>0</v>
      </c>
      <c r="R352" s="1">
        <f>E352-((ABS(SUM(PL!N352:P352)))*0.125)</f>
        <v>0</v>
      </c>
      <c r="S352" s="1">
        <f>F352-((ABS(SUM(PL!Q352:S352)))*0.125)</f>
        <v>0</v>
      </c>
      <c r="T352" s="1">
        <f>G352-((ABS(SUM(PL!T352:V352)))*0.125)</f>
        <v>0</v>
      </c>
      <c r="U352" s="1">
        <f>P352 + Q352 + R352 + S352 + T352</f>
        <v>0</v>
      </c>
      <c r="V352" s="1">
        <f>IF(P352 + V351 &lt; 0, P352 + V351, 0)</f>
        <v>0</v>
      </c>
      <c r="W352" s="1">
        <f>IF(Q352 + W351 &lt; 0, Q352 + W351, 0)</f>
        <v>0</v>
      </c>
      <c r="X352" s="1">
        <f>IF(R352 + X351 &lt; 0, R352 + X351, 0)</f>
        <v>0</v>
      </c>
      <c r="Y352" s="1">
        <f>IF(S352 + Y351 &lt; 0, S352 + Y351, 0)</f>
        <v>0</v>
      </c>
      <c r="Z352" s="1">
        <f>IF(T352 + Z351 &lt; 0, T352 + Z351, 0)</f>
        <v>0</v>
      </c>
      <c r="AA352" s="1">
        <f>IF(U352 + AA351 &lt; 0, U352 + AA351, 0)</f>
        <v>0</v>
      </c>
      <c r="AB352" s="1">
        <f>IF(AA352 &lt; 0, 1 + AB351, 0)</f>
        <v>0</v>
      </c>
      <c r="AC352" s="1">
        <f>IF(H352&lt;0,1,0)</f>
        <v>0</v>
      </c>
      <c r="AD352" s="1">
        <f>IF(AC352=1,H352,0)</f>
        <v>0</v>
      </c>
      <c r="AE352" s="1">
        <f>IF(H352&gt;0,1,0)</f>
        <v>0</v>
      </c>
      <c r="AF352" s="1">
        <f>IF(AE352=1,H352,0)</f>
        <v>0</v>
      </c>
      <c r="AG352" s="1">
        <f>IF(AD352&lt;-20000000.0/100,1,0)</f>
        <v>0</v>
      </c>
      <c r="AH352" s="1">
        <f>IF(AF352&gt;20000000.0/100,1,0)</f>
        <v>0</v>
      </c>
      <c r="AI352" s="1">
        <f>IF(U352&lt;0,1,0)</f>
        <v>0</v>
      </c>
      <c r="AJ352" s="1">
        <f>IF(AI352=1,U352,0)</f>
        <v>0</v>
      </c>
      <c r="AK352" s="1">
        <f>IF(U352&gt;0,1,0)</f>
        <v>0</v>
      </c>
      <c r="AL352" s="1">
        <f>IF(AK352=1,U352,0)</f>
        <v>0</v>
      </c>
      <c r="AM352" s="1">
        <f>IF(AJ352&lt;-20000000.0/100,1,0)</f>
        <v>0</v>
      </c>
      <c r="AN352" s="1">
        <f>IF(AL352&gt;20000000.0/100,1,0)</f>
        <v>0</v>
      </c>
    </row>
    <row r="353" spans="1:40" s="1" customFormat="1">
      <c r="A353" s="3">
        <v>45813</v>
      </c>
      <c r="B353" s="2" t="s">
        <v>25</v>
      </c>
      <c r="C353" s="1">
        <f>SUM(PL!H353:J353)</f>
        <v>0</v>
      </c>
      <c r="D353" s="1">
        <f>SUM(PL!K353:M353)</f>
        <v>0</v>
      </c>
      <c r="E353" s="1">
        <f>SUM(PL!N353:P353)</f>
        <v>0</v>
      </c>
      <c r="F353" s="1">
        <f>SUM(PL!Q353:S353)</f>
        <v>0</v>
      </c>
      <c r="G353" s="1">
        <f>SUM(PL!T353:V353)</f>
        <v>0</v>
      </c>
      <c r="H353" s="1">
        <f>SUM(C353:G353)</f>
        <v>0</v>
      </c>
      <c r="I353" s="1">
        <f>IF(C353 + I352 &lt; 0, C353 + I352, 0)</f>
        <v>0</v>
      </c>
      <c r="J353" s="1">
        <f>IF(D353 + J352 &lt; 0, D353 + J352, 0)</f>
        <v>0</v>
      </c>
      <c r="K353" s="1">
        <f>IF(E353 + K352 &lt; 0, E353 + K352, 0)</f>
        <v>0</v>
      </c>
      <c r="L353" s="1">
        <f>IF(F353 + L352 &lt; 0, F353 + L352, 0)</f>
        <v>0</v>
      </c>
      <c r="M353" s="1">
        <f>IF(G353 + M352 &lt; 0, G353 + M352, 0)</f>
        <v>0</v>
      </c>
      <c r="N353" s="1">
        <f>IF(H353 + N352 &lt; 0, H353 + N352, 0)</f>
        <v>0</v>
      </c>
      <c r="O353" s="1">
        <f>IF(N353 &lt; 0, 1 + O352, 0)</f>
        <v>0</v>
      </c>
      <c r="P353" s="1">
        <f>C353-((ABS(SUM(PL!H353:J353)))*0.125)</f>
        <v>0</v>
      </c>
      <c r="Q353" s="1">
        <f>D353-((ABS(SUM(PL!K353:M353)))*0.125)</f>
        <v>0</v>
      </c>
      <c r="R353" s="1">
        <f>E353-((ABS(SUM(PL!N353:P353)))*0.125)</f>
        <v>0</v>
      </c>
      <c r="S353" s="1">
        <f>F353-((ABS(SUM(PL!Q353:S353)))*0.125)</f>
        <v>0</v>
      </c>
      <c r="T353" s="1">
        <f>G353-((ABS(SUM(PL!T353:V353)))*0.125)</f>
        <v>0</v>
      </c>
      <c r="U353" s="1">
        <f>P353 + Q353 + R353 + S353 + T353</f>
        <v>0</v>
      </c>
      <c r="V353" s="1">
        <f>IF(P353 + V352 &lt; 0, P353 + V352, 0)</f>
        <v>0</v>
      </c>
      <c r="W353" s="1">
        <f>IF(Q353 + W352 &lt; 0, Q353 + W352, 0)</f>
        <v>0</v>
      </c>
      <c r="X353" s="1">
        <f>IF(R353 + X352 &lt; 0, R353 + X352, 0)</f>
        <v>0</v>
      </c>
      <c r="Y353" s="1">
        <f>IF(S353 + Y352 &lt; 0, S353 + Y352, 0)</f>
        <v>0</v>
      </c>
      <c r="Z353" s="1">
        <f>IF(T353 + Z352 &lt; 0, T353 + Z352, 0)</f>
        <v>0</v>
      </c>
      <c r="AA353" s="1">
        <f>IF(U353 + AA352 &lt; 0, U353 + AA352, 0)</f>
        <v>0</v>
      </c>
      <c r="AB353" s="1">
        <f>IF(AA353 &lt; 0, 1 + AB352, 0)</f>
        <v>0</v>
      </c>
      <c r="AC353" s="1">
        <f>IF(H353&lt;0,1,0)</f>
        <v>0</v>
      </c>
      <c r="AD353" s="1">
        <f>IF(AC353=1,H353,0)</f>
        <v>0</v>
      </c>
      <c r="AE353" s="1">
        <f>IF(H353&gt;0,1,0)</f>
        <v>0</v>
      </c>
      <c r="AF353" s="1">
        <f>IF(AE353=1,H353,0)</f>
        <v>0</v>
      </c>
      <c r="AG353" s="1">
        <f>IF(AD353&lt;-20000000.0/100,1,0)</f>
        <v>0</v>
      </c>
      <c r="AH353" s="1">
        <f>IF(AF353&gt;20000000.0/100,1,0)</f>
        <v>0</v>
      </c>
      <c r="AI353" s="1">
        <f>IF(U353&lt;0,1,0)</f>
        <v>0</v>
      </c>
      <c r="AJ353" s="1">
        <f>IF(AI353=1,U353,0)</f>
        <v>0</v>
      </c>
      <c r="AK353" s="1">
        <f>IF(U353&gt;0,1,0)</f>
        <v>0</v>
      </c>
      <c r="AL353" s="1">
        <f>IF(AK353=1,U353,0)</f>
        <v>0</v>
      </c>
      <c r="AM353" s="1">
        <f>IF(AJ353&lt;-20000000.0/100,1,0)</f>
        <v>0</v>
      </c>
      <c r="AN353" s="1">
        <f>IF(AL353&gt;20000000.0/100,1,0)</f>
        <v>0</v>
      </c>
    </row>
    <row r="354" spans="1:40" s="1" customFormat="1">
      <c r="A354" s="3">
        <v>45814</v>
      </c>
      <c r="B354" s="2" t="s">
        <v>26</v>
      </c>
      <c r="C354" s="1">
        <f>SUM(PL!H354:J354)</f>
        <v>0</v>
      </c>
      <c r="D354" s="1">
        <f>SUM(PL!K354:M354)</f>
        <v>0</v>
      </c>
      <c r="E354" s="1">
        <f>SUM(PL!N354:P354)</f>
        <v>0</v>
      </c>
      <c r="F354" s="1">
        <f>SUM(PL!Q354:S354)</f>
        <v>0</v>
      </c>
      <c r="G354" s="1">
        <f>SUM(PL!T354:V354)</f>
        <v>0</v>
      </c>
      <c r="H354" s="1">
        <f>SUM(C354:G354)</f>
        <v>0</v>
      </c>
      <c r="I354" s="1">
        <f>IF(C354 + I353 &lt; 0, C354 + I353, 0)</f>
        <v>0</v>
      </c>
      <c r="J354" s="1">
        <f>IF(D354 + J353 &lt; 0, D354 + J353, 0)</f>
        <v>0</v>
      </c>
      <c r="K354" s="1">
        <f>IF(E354 + K353 &lt; 0, E354 + K353, 0)</f>
        <v>0</v>
      </c>
      <c r="L354" s="1">
        <f>IF(F354 + L353 &lt; 0, F354 + L353, 0)</f>
        <v>0</v>
      </c>
      <c r="M354" s="1">
        <f>IF(G354 + M353 &lt; 0, G354 + M353, 0)</f>
        <v>0</v>
      </c>
      <c r="N354" s="1">
        <f>IF(H354 + N353 &lt; 0, H354 + N353, 0)</f>
        <v>0</v>
      </c>
      <c r="O354" s="1">
        <f>IF(N354 &lt; 0, 1 + O353, 0)</f>
        <v>0</v>
      </c>
      <c r="P354" s="1">
        <f>C354-((ABS(SUM(PL!H354:J354)))*0.125)</f>
        <v>0</v>
      </c>
      <c r="Q354" s="1">
        <f>D354-((ABS(SUM(PL!K354:M354)))*0.125)</f>
        <v>0</v>
      </c>
      <c r="R354" s="1">
        <f>E354-((ABS(SUM(PL!N354:P354)))*0.125)</f>
        <v>0</v>
      </c>
      <c r="S354" s="1">
        <f>F354-((ABS(SUM(PL!Q354:S354)))*0.125)</f>
        <v>0</v>
      </c>
      <c r="T354" s="1">
        <f>G354-((ABS(SUM(PL!T354:V354)))*0.125)</f>
        <v>0</v>
      </c>
      <c r="U354" s="1">
        <f>P354 + Q354 + R354 + S354 + T354</f>
        <v>0</v>
      </c>
      <c r="V354" s="1">
        <f>IF(P354 + V353 &lt; 0, P354 + V353, 0)</f>
        <v>0</v>
      </c>
      <c r="W354" s="1">
        <f>IF(Q354 + W353 &lt; 0, Q354 + W353, 0)</f>
        <v>0</v>
      </c>
      <c r="X354" s="1">
        <f>IF(R354 + X353 &lt; 0, R354 + X353, 0)</f>
        <v>0</v>
      </c>
      <c r="Y354" s="1">
        <f>IF(S354 + Y353 &lt; 0, S354 + Y353, 0)</f>
        <v>0</v>
      </c>
      <c r="Z354" s="1">
        <f>IF(T354 + Z353 &lt; 0, T354 + Z353, 0)</f>
        <v>0</v>
      </c>
      <c r="AA354" s="1">
        <f>IF(U354 + AA353 &lt; 0, U354 + AA353, 0)</f>
        <v>0</v>
      </c>
      <c r="AB354" s="1">
        <f>IF(AA354 &lt; 0, 1 + AB353, 0)</f>
        <v>0</v>
      </c>
      <c r="AC354" s="1">
        <f>IF(H354&lt;0,1,0)</f>
        <v>0</v>
      </c>
      <c r="AD354" s="1">
        <f>IF(AC354=1,H354,0)</f>
        <v>0</v>
      </c>
      <c r="AE354" s="1">
        <f>IF(H354&gt;0,1,0)</f>
        <v>0</v>
      </c>
      <c r="AF354" s="1">
        <f>IF(AE354=1,H354,0)</f>
        <v>0</v>
      </c>
      <c r="AG354" s="1">
        <f>IF(AD354&lt;-20000000.0/100,1,0)</f>
        <v>0</v>
      </c>
      <c r="AH354" s="1">
        <f>IF(AF354&gt;20000000.0/100,1,0)</f>
        <v>0</v>
      </c>
      <c r="AI354" s="1">
        <f>IF(U354&lt;0,1,0)</f>
        <v>0</v>
      </c>
      <c r="AJ354" s="1">
        <f>IF(AI354=1,U354,0)</f>
        <v>0</v>
      </c>
      <c r="AK354" s="1">
        <f>IF(U354&gt;0,1,0)</f>
        <v>0</v>
      </c>
      <c r="AL354" s="1">
        <f>IF(AK354=1,U354,0)</f>
        <v>0</v>
      </c>
      <c r="AM354" s="1">
        <f>IF(AJ354&lt;-20000000.0/100,1,0)</f>
        <v>0</v>
      </c>
      <c r="AN354" s="1">
        <f>IF(AL354&gt;20000000.0/100,1,0)</f>
        <v>0</v>
      </c>
    </row>
    <row r="355" spans="1:40" s="1" customFormat="1">
      <c r="A355" s="3">
        <v>45817</v>
      </c>
      <c r="B355" s="2" t="s">
        <v>22</v>
      </c>
      <c r="C355" s="1">
        <f>SUM(PL!H355:J355)</f>
        <v>0</v>
      </c>
      <c r="D355" s="1">
        <f>SUM(PL!K355:M355)</f>
        <v>0</v>
      </c>
      <c r="E355" s="1">
        <f>SUM(PL!N355:P355)</f>
        <v>0</v>
      </c>
      <c r="F355" s="1">
        <f>SUM(PL!Q355:S355)</f>
        <v>0</v>
      </c>
      <c r="G355" s="1">
        <f>SUM(PL!T355:V355)</f>
        <v>0</v>
      </c>
      <c r="H355" s="1">
        <f>SUM(C355:G355)</f>
        <v>0</v>
      </c>
      <c r="I355" s="1">
        <f>IF(C355 + I354 &lt; 0, C355 + I354, 0)</f>
        <v>0</v>
      </c>
      <c r="J355" s="1">
        <f>IF(D355 + J354 &lt; 0, D355 + J354, 0)</f>
        <v>0</v>
      </c>
      <c r="K355" s="1">
        <f>IF(E355 + K354 &lt; 0, E355 + K354, 0)</f>
        <v>0</v>
      </c>
      <c r="L355" s="1">
        <f>IF(F355 + L354 &lt; 0, F355 + L354, 0)</f>
        <v>0</v>
      </c>
      <c r="M355" s="1">
        <f>IF(G355 + M354 &lt; 0, G355 + M354, 0)</f>
        <v>0</v>
      </c>
      <c r="N355" s="1">
        <f>IF(H355 + N354 &lt; 0, H355 + N354, 0)</f>
        <v>0</v>
      </c>
      <c r="O355" s="1">
        <f>IF(N355 &lt; 0, 1 + O354, 0)</f>
        <v>0</v>
      </c>
      <c r="P355" s="1">
        <f>C355-((ABS(SUM(PL!H355:J355)))*0.125)</f>
        <v>0</v>
      </c>
      <c r="Q355" s="1">
        <f>D355-((ABS(SUM(PL!K355:M355)))*0.125)</f>
        <v>0</v>
      </c>
      <c r="R355" s="1">
        <f>E355-((ABS(SUM(PL!N355:P355)))*0.125)</f>
        <v>0</v>
      </c>
      <c r="S355" s="1">
        <f>F355-((ABS(SUM(PL!Q355:S355)))*0.125)</f>
        <v>0</v>
      </c>
      <c r="T355" s="1">
        <f>G355-((ABS(SUM(PL!T355:V355)))*0.125)</f>
        <v>0</v>
      </c>
      <c r="U355" s="1">
        <f>P355 + Q355 + R355 + S355 + T355</f>
        <v>0</v>
      </c>
      <c r="V355" s="1">
        <f>IF(P355 + V354 &lt; 0, P355 + V354, 0)</f>
        <v>0</v>
      </c>
      <c r="W355" s="1">
        <f>IF(Q355 + W354 &lt; 0, Q355 + W354, 0)</f>
        <v>0</v>
      </c>
      <c r="X355" s="1">
        <f>IF(R355 + X354 &lt; 0, R355 + X354, 0)</f>
        <v>0</v>
      </c>
      <c r="Y355" s="1">
        <f>IF(S355 + Y354 &lt; 0, S355 + Y354, 0)</f>
        <v>0</v>
      </c>
      <c r="Z355" s="1">
        <f>IF(T355 + Z354 &lt; 0, T355 + Z354, 0)</f>
        <v>0</v>
      </c>
      <c r="AA355" s="1">
        <f>IF(U355 + AA354 &lt; 0, U355 + AA354, 0)</f>
        <v>0</v>
      </c>
      <c r="AB355" s="1">
        <f>IF(AA355 &lt; 0, 1 + AB354, 0)</f>
        <v>0</v>
      </c>
      <c r="AC355" s="1">
        <f>IF(H355&lt;0,1,0)</f>
        <v>0</v>
      </c>
      <c r="AD355" s="1">
        <f>IF(AC355=1,H355,0)</f>
        <v>0</v>
      </c>
      <c r="AE355" s="1">
        <f>IF(H355&gt;0,1,0)</f>
        <v>0</v>
      </c>
      <c r="AF355" s="1">
        <f>IF(AE355=1,H355,0)</f>
        <v>0</v>
      </c>
      <c r="AG355" s="1">
        <f>IF(AD355&lt;-20000000.0/100,1,0)</f>
        <v>0</v>
      </c>
      <c r="AH355" s="1">
        <f>IF(AF355&gt;20000000.0/100,1,0)</f>
        <v>0</v>
      </c>
      <c r="AI355" s="1">
        <f>IF(U355&lt;0,1,0)</f>
        <v>0</v>
      </c>
      <c r="AJ355" s="1">
        <f>IF(AI355=1,U355,0)</f>
        <v>0</v>
      </c>
      <c r="AK355" s="1">
        <f>IF(U355&gt;0,1,0)</f>
        <v>0</v>
      </c>
      <c r="AL355" s="1">
        <f>IF(AK355=1,U355,0)</f>
        <v>0</v>
      </c>
      <c r="AM355" s="1">
        <f>IF(AJ355&lt;-20000000.0/100,1,0)</f>
        <v>0</v>
      </c>
      <c r="AN355" s="1">
        <f>IF(AL355&gt;20000000.0/100,1,0)</f>
        <v>0</v>
      </c>
    </row>
    <row r="356" spans="1:40" s="1" customFormat="1">
      <c r="A356" s="3">
        <v>45818</v>
      </c>
      <c r="B356" s="2" t="s">
        <v>23</v>
      </c>
      <c r="C356" s="1">
        <f>SUM(PL!H356:J356)</f>
        <v>0</v>
      </c>
      <c r="D356" s="1">
        <f>SUM(PL!K356:M356)</f>
        <v>0</v>
      </c>
      <c r="E356" s="1">
        <f>SUM(PL!N356:P356)</f>
        <v>0</v>
      </c>
      <c r="F356" s="1">
        <f>SUM(PL!Q356:S356)</f>
        <v>0</v>
      </c>
      <c r="G356" s="1">
        <f>SUM(PL!T356:V356)</f>
        <v>0</v>
      </c>
      <c r="H356" s="1">
        <f>SUM(C356:G356)</f>
        <v>0</v>
      </c>
      <c r="I356" s="1">
        <f>IF(C356 + I355 &lt; 0, C356 + I355, 0)</f>
        <v>0</v>
      </c>
      <c r="J356" s="1">
        <f>IF(D356 + J355 &lt; 0, D356 + J355, 0)</f>
        <v>0</v>
      </c>
      <c r="K356" s="1">
        <f>IF(E356 + K355 &lt; 0, E356 + K355, 0)</f>
        <v>0</v>
      </c>
      <c r="L356" s="1">
        <f>IF(F356 + L355 &lt; 0, F356 + L355, 0)</f>
        <v>0</v>
      </c>
      <c r="M356" s="1">
        <f>IF(G356 + M355 &lt; 0, G356 + M355, 0)</f>
        <v>0</v>
      </c>
      <c r="N356" s="1">
        <f>IF(H356 + N355 &lt; 0, H356 + N355, 0)</f>
        <v>0</v>
      </c>
      <c r="O356" s="1">
        <f>IF(N356 &lt; 0, 1 + O355, 0)</f>
        <v>0</v>
      </c>
      <c r="P356" s="1">
        <f>C356-((ABS(SUM(PL!H356:J356)))*0.125)</f>
        <v>0</v>
      </c>
      <c r="Q356" s="1">
        <f>D356-((ABS(SUM(PL!K356:M356)))*0.125)</f>
        <v>0</v>
      </c>
      <c r="R356" s="1">
        <f>E356-((ABS(SUM(PL!N356:P356)))*0.125)</f>
        <v>0</v>
      </c>
      <c r="S356" s="1">
        <f>F356-((ABS(SUM(PL!Q356:S356)))*0.125)</f>
        <v>0</v>
      </c>
      <c r="T356" s="1">
        <f>G356-((ABS(SUM(PL!T356:V356)))*0.125)</f>
        <v>0</v>
      </c>
      <c r="U356" s="1">
        <f>P356 + Q356 + R356 + S356 + T356</f>
        <v>0</v>
      </c>
      <c r="V356" s="1">
        <f>IF(P356 + V355 &lt; 0, P356 + V355, 0)</f>
        <v>0</v>
      </c>
      <c r="W356" s="1">
        <f>IF(Q356 + W355 &lt; 0, Q356 + W355, 0)</f>
        <v>0</v>
      </c>
      <c r="X356" s="1">
        <f>IF(R356 + X355 &lt; 0, R356 + X355, 0)</f>
        <v>0</v>
      </c>
      <c r="Y356" s="1">
        <f>IF(S356 + Y355 &lt; 0, S356 + Y355, 0)</f>
        <v>0</v>
      </c>
      <c r="Z356" s="1">
        <f>IF(T356 + Z355 &lt; 0, T356 + Z355, 0)</f>
        <v>0</v>
      </c>
      <c r="AA356" s="1">
        <f>IF(U356 + AA355 &lt; 0, U356 + AA355, 0)</f>
        <v>0</v>
      </c>
      <c r="AB356" s="1">
        <f>IF(AA356 &lt; 0, 1 + AB355, 0)</f>
        <v>0</v>
      </c>
      <c r="AC356" s="1">
        <f>IF(H356&lt;0,1,0)</f>
        <v>0</v>
      </c>
      <c r="AD356" s="1">
        <f>IF(AC356=1,H356,0)</f>
        <v>0</v>
      </c>
      <c r="AE356" s="1">
        <f>IF(H356&gt;0,1,0)</f>
        <v>0</v>
      </c>
      <c r="AF356" s="1">
        <f>IF(AE356=1,H356,0)</f>
        <v>0</v>
      </c>
      <c r="AG356" s="1">
        <f>IF(AD356&lt;-20000000.0/100,1,0)</f>
        <v>0</v>
      </c>
      <c r="AH356" s="1">
        <f>IF(AF356&gt;20000000.0/100,1,0)</f>
        <v>0</v>
      </c>
      <c r="AI356" s="1">
        <f>IF(U356&lt;0,1,0)</f>
        <v>0</v>
      </c>
      <c r="AJ356" s="1">
        <f>IF(AI356=1,U356,0)</f>
        <v>0</v>
      </c>
      <c r="AK356" s="1">
        <f>IF(U356&gt;0,1,0)</f>
        <v>0</v>
      </c>
      <c r="AL356" s="1">
        <f>IF(AK356=1,U356,0)</f>
        <v>0</v>
      </c>
      <c r="AM356" s="1">
        <f>IF(AJ356&lt;-20000000.0/100,1,0)</f>
        <v>0</v>
      </c>
      <c r="AN356" s="1">
        <f>IF(AL356&gt;20000000.0/100,1,0)</f>
        <v>0</v>
      </c>
    </row>
    <row r="357" spans="1:40" s="1" customFormat="1">
      <c r="A357" s="3">
        <v>45819</v>
      </c>
      <c r="B357" s="2" t="s">
        <v>24</v>
      </c>
      <c r="C357" s="1">
        <f>SUM(PL!H357:J357)</f>
        <v>0</v>
      </c>
      <c r="D357" s="1">
        <f>SUM(PL!K357:M357)</f>
        <v>0</v>
      </c>
      <c r="E357" s="1">
        <f>SUM(PL!N357:P357)</f>
        <v>0</v>
      </c>
      <c r="F357" s="1">
        <f>SUM(PL!Q357:S357)</f>
        <v>0</v>
      </c>
      <c r="G357" s="1">
        <f>SUM(PL!T357:V357)</f>
        <v>0</v>
      </c>
      <c r="H357" s="1">
        <f>SUM(C357:G357)</f>
        <v>0</v>
      </c>
      <c r="I357" s="1">
        <f>IF(C357 + I356 &lt; 0, C357 + I356, 0)</f>
        <v>0</v>
      </c>
      <c r="J357" s="1">
        <f>IF(D357 + J356 &lt; 0, D357 + J356, 0)</f>
        <v>0</v>
      </c>
      <c r="K357" s="1">
        <f>IF(E357 + K356 &lt; 0, E357 + K356, 0)</f>
        <v>0</v>
      </c>
      <c r="L357" s="1">
        <f>IF(F357 + L356 &lt; 0, F357 + L356, 0)</f>
        <v>0</v>
      </c>
      <c r="M357" s="1">
        <f>IF(G357 + M356 &lt; 0, G357 + M356, 0)</f>
        <v>0</v>
      </c>
      <c r="N357" s="1">
        <f>IF(H357 + N356 &lt; 0, H357 + N356, 0)</f>
        <v>0</v>
      </c>
      <c r="O357" s="1">
        <f>IF(N357 &lt; 0, 1 + O356, 0)</f>
        <v>0</v>
      </c>
      <c r="P357" s="1">
        <f>C357-((ABS(SUM(PL!H357:J357)))*0.125)</f>
        <v>0</v>
      </c>
      <c r="Q357" s="1">
        <f>D357-((ABS(SUM(PL!K357:M357)))*0.125)</f>
        <v>0</v>
      </c>
      <c r="R357" s="1">
        <f>E357-((ABS(SUM(PL!N357:P357)))*0.125)</f>
        <v>0</v>
      </c>
      <c r="S357" s="1">
        <f>F357-((ABS(SUM(PL!Q357:S357)))*0.125)</f>
        <v>0</v>
      </c>
      <c r="T357" s="1">
        <f>G357-((ABS(SUM(PL!T357:V357)))*0.125)</f>
        <v>0</v>
      </c>
      <c r="U357" s="1">
        <f>P357 + Q357 + R357 + S357 + T357</f>
        <v>0</v>
      </c>
      <c r="V357" s="1">
        <f>IF(P357 + V356 &lt; 0, P357 + V356, 0)</f>
        <v>0</v>
      </c>
      <c r="W357" s="1">
        <f>IF(Q357 + W356 &lt; 0, Q357 + W356, 0)</f>
        <v>0</v>
      </c>
      <c r="X357" s="1">
        <f>IF(R357 + X356 &lt; 0, R357 + X356, 0)</f>
        <v>0</v>
      </c>
      <c r="Y357" s="1">
        <f>IF(S357 + Y356 &lt; 0, S357 + Y356, 0)</f>
        <v>0</v>
      </c>
      <c r="Z357" s="1">
        <f>IF(T357 + Z356 &lt; 0, T357 + Z356, 0)</f>
        <v>0</v>
      </c>
      <c r="AA357" s="1">
        <f>IF(U357 + AA356 &lt; 0, U357 + AA356, 0)</f>
        <v>0</v>
      </c>
      <c r="AB357" s="1">
        <f>IF(AA357 &lt; 0, 1 + AB356, 0)</f>
        <v>0</v>
      </c>
      <c r="AC357" s="1">
        <f>IF(H357&lt;0,1,0)</f>
        <v>0</v>
      </c>
      <c r="AD357" s="1">
        <f>IF(AC357=1,H357,0)</f>
        <v>0</v>
      </c>
      <c r="AE357" s="1">
        <f>IF(H357&gt;0,1,0)</f>
        <v>0</v>
      </c>
      <c r="AF357" s="1">
        <f>IF(AE357=1,H357,0)</f>
        <v>0</v>
      </c>
      <c r="AG357" s="1">
        <f>IF(AD357&lt;-20000000.0/100,1,0)</f>
        <v>0</v>
      </c>
      <c r="AH357" s="1">
        <f>IF(AF357&gt;20000000.0/100,1,0)</f>
        <v>0</v>
      </c>
      <c r="AI357" s="1">
        <f>IF(U357&lt;0,1,0)</f>
        <v>0</v>
      </c>
      <c r="AJ357" s="1">
        <f>IF(AI357=1,U357,0)</f>
        <v>0</v>
      </c>
      <c r="AK357" s="1">
        <f>IF(U357&gt;0,1,0)</f>
        <v>0</v>
      </c>
      <c r="AL357" s="1">
        <f>IF(AK357=1,U357,0)</f>
        <v>0</v>
      </c>
      <c r="AM357" s="1">
        <f>IF(AJ357&lt;-20000000.0/100,1,0)</f>
        <v>0</v>
      </c>
      <c r="AN357" s="1">
        <f>IF(AL357&gt;20000000.0/100,1,0)</f>
        <v>0</v>
      </c>
    </row>
    <row r="358" spans="1:40" s="1" customFormat="1">
      <c r="A358" s="3">
        <v>45820</v>
      </c>
      <c r="B358" s="2" t="s">
        <v>25</v>
      </c>
      <c r="C358" s="1">
        <f>SUM(PL!H358:J358)</f>
        <v>0</v>
      </c>
      <c r="D358" s="1">
        <f>SUM(PL!K358:M358)</f>
        <v>0</v>
      </c>
      <c r="E358" s="1">
        <f>SUM(PL!N358:P358)</f>
        <v>0</v>
      </c>
      <c r="F358" s="1">
        <f>SUM(PL!Q358:S358)</f>
        <v>0</v>
      </c>
      <c r="G358" s="1">
        <f>SUM(PL!T358:V358)</f>
        <v>0</v>
      </c>
      <c r="H358" s="1">
        <f>SUM(C358:G358)</f>
        <v>0</v>
      </c>
      <c r="I358" s="1">
        <f>IF(C358 + I357 &lt; 0, C358 + I357, 0)</f>
        <v>0</v>
      </c>
      <c r="J358" s="1">
        <f>IF(D358 + J357 &lt; 0, D358 + J357, 0)</f>
        <v>0</v>
      </c>
      <c r="K358" s="1">
        <f>IF(E358 + K357 &lt; 0, E358 + K357, 0)</f>
        <v>0</v>
      </c>
      <c r="L358" s="1">
        <f>IF(F358 + L357 &lt; 0, F358 + L357, 0)</f>
        <v>0</v>
      </c>
      <c r="M358" s="1">
        <f>IF(G358 + M357 &lt; 0, G358 + M357, 0)</f>
        <v>0</v>
      </c>
      <c r="N358" s="1">
        <f>IF(H358 + N357 &lt; 0, H358 + N357, 0)</f>
        <v>0</v>
      </c>
      <c r="O358" s="1">
        <f>IF(N358 &lt; 0, 1 + O357, 0)</f>
        <v>0</v>
      </c>
      <c r="P358" s="1">
        <f>C358-((ABS(SUM(PL!H358:J358)))*0.125)</f>
        <v>0</v>
      </c>
      <c r="Q358" s="1">
        <f>D358-((ABS(SUM(PL!K358:M358)))*0.125)</f>
        <v>0</v>
      </c>
      <c r="R358" s="1">
        <f>E358-((ABS(SUM(PL!N358:P358)))*0.125)</f>
        <v>0</v>
      </c>
      <c r="S358" s="1">
        <f>F358-((ABS(SUM(PL!Q358:S358)))*0.125)</f>
        <v>0</v>
      </c>
      <c r="T358" s="1">
        <f>G358-((ABS(SUM(PL!T358:V358)))*0.125)</f>
        <v>0</v>
      </c>
      <c r="U358" s="1">
        <f>P358 + Q358 + R358 + S358 + T358</f>
        <v>0</v>
      </c>
      <c r="V358" s="1">
        <f>IF(P358 + V357 &lt; 0, P358 + V357, 0)</f>
        <v>0</v>
      </c>
      <c r="W358" s="1">
        <f>IF(Q358 + W357 &lt; 0, Q358 + W357, 0)</f>
        <v>0</v>
      </c>
      <c r="X358" s="1">
        <f>IF(R358 + X357 &lt; 0, R358 + X357, 0)</f>
        <v>0</v>
      </c>
      <c r="Y358" s="1">
        <f>IF(S358 + Y357 &lt; 0, S358 + Y357, 0)</f>
        <v>0</v>
      </c>
      <c r="Z358" s="1">
        <f>IF(T358 + Z357 &lt; 0, T358 + Z357, 0)</f>
        <v>0</v>
      </c>
      <c r="AA358" s="1">
        <f>IF(U358 + AA357 &lt; 0, U358 + AA357, 0)</f>
        <v>0</v>
      </c>
      <c r="AB358" s="1">
        <f>IF(AA358 &lt; 0, 1 + AB357, 0)</f>
        <v>0</v>
      </c>
      <c r="AC358" s="1">
        <f>IF(H358&lt;0,1,0)</f>
        <v>0</v>
      </c>
      <c r="AD358" s="1">
        <f>IF(AC358=1,H358,0)</f>
        <v>0</v>
      </c>
      <c r="AE358" s="1">
        <f>IF(H358&gt;0,1,0)</f>
        <v>0</v>
      </c>
      <c r="AF358" s="1">
        <f>IF(AE358=1,H358,0)</f>
        <v>0</v>
      </c>
      <c r="AG358" s="1">
        <f>IF(AD358&lt;-20000000.0/100,1,0)</f>
        <v>0</v>
      </c>
      <c r="AH358" s="1">
        <f>IF(AF358&gt;20000000.0/100,1,0)</f>
        <v>0</v>
      </c>
      <c r="AI358" s="1">
        <f>IF(U358&lt;0,1,0)</f>
        <v>0</v>
      </c>
      <c r="AJ358" s="1">
        <f>IF(AI358=1,U358,0)</f>
        <v>0</v>
      </c>
      <c r="AK358" s="1">
        <f>IF(U358&gt;0,1,0)</f>
        <v>0</v>
      </c>
      <c r="AL358" s="1">
        <f>IF(AK358=1,U358,0)</f>
        <v>0</v>
      </c>
      <c r="AM358" s="1">
        <f>IF(AJ358&lt;-20000000.0/100,1,0)</f>
        <v>0</v>
      </c>
      <c r="AN358" s="1">
        <f>IF(AL358&gt;20000000.0/100,1,0)</f>
        <v>0</v>
      </c>
    </row>
    <row r="359" spans="1:40" s="1" customFormat="1">
      <c r="A359" s="3">
        <v>45821</v>
      </c>
      <c r="B359" s="2" t="s">
        <v>26</v>
      </c>
      <c r="C359" s="1">
        <f>SUM(PL!H359:J359)</f>
        <v>0</v>
      </c>
      <c r="D359" s="1">
        <f>SUM(PL!K359:M359)</f>
        <v>0</v>
      </c>
      <c r="E359" s="1">
        <f>SUM(PL!N359:P359)</f>
        <v>0</v>
      </c>
      <c r="F359" s="1">
        <f>SUM(PL!Q359:S359)</f>
        <v>0</v>
      </c>
      <c r="G359" s="1">
        <f>SUM(PL!T359:V359)</f>
        <v>0</v>
      </c>
      <c r="H359" s="1">
        <f>SUM(C359:G359)</f>
        <v>0</v>
      </c>
      <c r="I359" s="1">
        <f>IF(C359 + I358 &lt; 0, C359 + I358, 0)</f>
        <v>0</v>
      </c>
      <c r="J359" s="1">
        <f>IF(D359 + J358 &lt; 0, D359 + J358, 0)</f>
        <v>0</v>
      </c>
      <c r="K359" s="1">
        <f>IF(E359 + K358 &lt; 0, E359 + K358, 0)</f>
        <v>0</v>
      </c>
      <c r="L359" s="1">
        <f>IF(F359 + L358 &lt; 0, F359 + L358, 0)</f>
        <v>0</v>
      </c>
      <c r="M359" s="1">
        <f>IF(G359 + M358 &lt; 0, G359 + M358, 0)</f>
        <v>0</v>
      </c>
      <c r="N359" s="1">
        <f>IF(H359 + N358 &lt; 0, H359 + N358, 0)</f>
        <v>0</v>
      </c>
      <c r="O359" s="1">
        <f>IF(N359 &lt; 0, 1 + O358, 0)</f>
        <v>0</v>
      </c>
      <c r="P359" s="1">
        <f>C359-((ABS(SUM(PL!H359:J359)))*0.125)</f>
        <v>0</v>
      </c>
      <c r="Q359" s="1">
        <f>D359-((ABS(SUM(PL!K359:M359)))*0.125)</f>
        <v>0</v>
      </c>
      <c r="R359" s="1">
        <f>E359-((ABS(SUM(PL!N359:P359)))*0.125)</f>
        <v>0</v>
      </c>
      <c r="S359" s="1">
        <f>F359-((ABS(SUM(PL!Q359:S359)))*0.125)</f>
        <v>0</v>
      </c>
      <c r="T359" s="1">
        <f>G359-((ABS(SUM(PL!T359:V359)))*0.125)</f>
        <v>0</v>
      </c>
      <c r="U359" s="1">
        <f>P359 + Q359 + R359 + S359 + T359</f>
        <v>0</v>
      </c>
      <c r="V359" s="1">
        <f>IF(P359 + V358 &lt; 0, P359 + V358, 0)</f>
        <v>0</v>
      </c>
      <c r="W359" s="1">
        <f>IF(Q359 + W358 &lt; 0, Q359 + W358, 0)</f>
        <v>0</v>
      </c>
      <c r="X359" s="1">
        <f>IF(R359 + X358 &lt; 0, R359 + X358, 0)</f>
        <v>0</v>
      </c>
      <c r="Y359" s="1">
        <f>IF(S359 + Y358 &lt; 0, S359 + Y358, 0)</f>
        <v>0</v>
      </c>
      <c r="Z359" s="1">
        <f>IF(T359 + Z358 &lt; 0, T359 + Z358, 0)</f>
        <v>0</v>
      </c>
      <c r="AA359" s="1">
        <f>IF(U359 + AA358 &lt; 0, U359 + AA358, 0)</f>
        <v>0</v>
      </c>
      <c r="AB359" s="1">
        <f>IF(AA359 &lt; 0, 1 + AB358, 0)</f>
        <v>0</v>
      </c>
      <c r="AC359" s="1">
        <f>IF(H359&lt;0,1,0)</f>
        <v>0</v>
      </c>
      <c r="AD359" s="1">
        <f>IF(AC359=1,H359,0)</f>
        <v>0</v>
      </c>
      <c r="AE359" s="1">
        <f>IF(H359&gt;0,1,0)</f>
        <v>0</v>
      </c>
      <c r="AF359" s="1">
        <f>IF(AE359=1,H359,0)</f>
        <v>0</v>
      </c>
      <c r="AG359" s="1">
        <f>IF(AD359&lt;-20000000.0/100,1,0)</f>
        <v>0</v>
      </c>
      <c r="AH359" s="1">
        <f>IF(AF359&gt;20000000.0/100,1,0)</f>
        <v>0</v>
      </c>
      <c r="AI359" s="1">
        <f>IF(U359&lt;0,1,0)</f>
        <v>0</v>
      </c>
      <c r="AJ359" s="1">
        <f>IF(AI359=1,U359,0)</f>
        <v>0</v>
      </c>
      <c r="AK359" s="1">
        <f>IF(U359&gt;0,1,0)</f>
        <v>0</v>
      </c>
      <c r="AL359" s="1">
        <f>IF(AK359=1,U359,0)</f>
        <v>0</v>
      </c>
      <c r="AM359" s="1">
        <f>IF(AJ359&lt;-20000000.0/100,1,0)</f>
        <v>0</v>
      </c>
      <c r="AN359" s="1">
        <f>IF(AL359&gt;20000000.0/100,1,0)</f>
        <v>0</v>
      </c>
    </row>
    <row r="360" spans="1:40" s="1" customFormat="1">
      <c r="A360" s="3">
        <v>45824</v>
      </c>
      <c r="B360" s="2" t="s">
        <v>22</v>
      </c>
      <c r="C360" s="1">
        <f>SUM(PL!H360:J360)</f>
        <v>0</v>
      </c>
      <c r="D360" s="1">
        <f>SUM(PL!K360:M360)</f>
        <v>0</v>
      </c>
      <c r="E360" s="1">
        <f>SUM(PL!N360:P360)</f>
        <v>0</v>
      </c>
      <c r="F360" s="1">
        <f>SUM(PL!Q360:S360)</f>
        <v>0</v>
      </c>
      <c r="G360" s="1">
        <f>SUM(PL!T360:V360)</f>
        <v>0</v>
      </c>
      <c r="H360" s="1">
        <f>SUM(C360:G360)</f>
        <v>0</v>
      </c>
      <c r="I360" s="1">
        <f>IF(C360 + I359 &lt; 0, C360 + I359, 0)</f>
        <v>0</v>
      </c>
      <c r="J360" s="1">
        <f>IF(D360 + J359 &lt; 0, D360 + J359, 0)</f>
        <v>0</v>
      </c>
      <c r="K360" s="1">
        <f>IF(E360 + K359 &lt; 0, E360 + K359, 0)</f>
        <v>0</v>
      </c>
      <c r="L360" s="1">
        <f>IF(F360 + L359 &lt; 0, F360 + L359, 0)</f>
        <v>0</v>
      </c>
      <c r="M360" s="1">
        <f>IF(G360 + M359 &lt; 0, G360 + M359, 0)</f>
        <v>0</v>
      </c>
      <c r="N360" s="1">
        <f>IF(H360 + N359 &lt; 0, H360 + N359, 0)</f>
        <v>0</v>
      </c>
      <c r="O360" s="1">
        <f>IF(N360 &lt; 0, 1 + O359, 0)</f>
        <v>0</v>
      </c>
      <c r="P360" s="1">
        <f>C360-((ABS(SUM(PL!H360:J360)))*0.125)</f>
        <v>0</v>
      </c>
      <c r="Q360" s="1">
        <f>D360-((ABS(SUM(PL!K360:M360)))*0.125)</f>
        <v>0</v>
      </c>
      <c r="R360" s="1">
        <f>E360-((ABS(SUM(PL!N360:P360)))*0.125)</f>
        <v>0</v>
      </c>
      <c r="S360" s="1">
        <f>F360-((ABS(SUM(PL!Q360:S360)))*0.125)</f>
        <v>0</v>
      </c>
      <c r="T360" s="1">
        <f>G360-((ABS(SUM(PL!T360:V360)))*0.125)</f>
        <v>0</v>
      </c>
      <c r="U360" s="1">
        <f>P360 + Q360 + R360 + S360 + T360</f>
        <v>0</v>
      </c>
      <c r="V360" s="1">
        <f>IF(P360 + V359 &lt; 0, P360 + V359, 0)</f>
        <v>0</v>
      </c>
      <c r="W360" s="1">
        <f>IF(Q360 + W359 &lt; 0, Q360 + W359, 0)</f>
        <v>0</v>
      </c>
      <c r="X360" s="1">
        <f>IF(R360 + X359 &lt; 0, R360 + X359, 0)</f>
        <v>0</v>
      </c>
      <c r="Y360" s="1">
        <f>IF(S360 + Y359 &lt; 0, S360 + Y359, 0)</f>
        <v>0</v>
      </c>
      <c r="Z360" s="1">
        <f>IF(T360 + Z359 &lt; 0, T360 + Z359, 0)</f>
        <v>0</v>
      </c>
      <c r="AA360" s="1">
        <f>IF(U360 + AA359 &lt; 0, U360 + AA359, 0)</f>
        <v>0</v>
      </c>
      <c r="AB360" s="1">
        <f>IF(AA360 &lt; 0, 1 + AB359, 0)</f>
        <v>0</v>
      </c>
      <c r="AC360" s="1">
        <f>IF(H360&lt;0,1,0)</f>
        <v>0</v>
      </c>
      <c r="AD360" s="1">
        <f>IF(AC360=1,H360,0)</f>
        <v>0</v>
      </c>
      <c r="AE360" s="1">
        <f>IF(H360&gt;0,1,0)</f>
        <v>0</v>
      </c>
      <c r="AF360" s="1">
        <f>IF(AE360=1,H360,0)</f>
        <v>0</v>
      </c>
      <c r="AG360" s="1">
        <f>IF(AD360&lt;-20000000.0/100,1,0)</f>
        <v>0</v>
      </c>
      <c r="AH360" s="1">
        <f>IF(AF360&gt;20000000.0/100,1,0)</f>
        <v>0</v>
      </c>
      <c r="AI360" s="1">
        <f>IF(U360&lt;0,1,0)</f>
        <v>0</v>
      </c>
      <c r="AJ360" s="1">
        <f>IF(AI360=1,U360,0)</f>
        <v>0</v>
      </c>
      <c r="AK360" s="1">
        <f>IF(U360&gt;0,1,0)</f>
        <v>0</v>
      </c>
      <c r="AL360" s="1">
        <f>IF(AK360=1,U360,0)</f>
        <v>0</v>
      </c>
      <c r="AM360" s="1">
        <f>IF(AJ360&lt;-20000000.0/100,1,0)</f>
        <v>0</v>
      </c>
      <c r="AN360" s="1">
        <f>IF(AL360&gt;20000000.0/100,1,0)</f>
        <v>0</v>
      </c>
    </row>
    <row r="361" spans="1:40" s="1" customFormat="1">
      <c r="A361" s="3">
        <v>45825</v>
      </c>
      <c r="B361" s="2" t="s">
        <v>23</v>
      </c>
      <c r="C361" s="1">
        <f>SUM(PL!H361:J361)</f>
        <v>0</v>
      </c>
      <c r="D361" s="1">
        <f>SUM(PL!K361:M361)</f>
        <v>0</v>
      </c>
      <c r="E361" s="1">
        <f>SUM(PL!N361:P361)</f>
        <v>0</v>
      </c>
      <c r="F361" s="1">
        <f>SUM(PL!Q361:S361)</f>
        <v>0</v>
      </c>
      <c r="G361" s="1">
        <f>SUM(PL!T361:V361)</f>
        <v>0</v>
      </c>
      <c r="H361" s="1">
        <f>SUM(C361:G361)</f>
        <v>0</v>
      </c>
      <c r="I361" s="1">
        <f>IF(C361 + I360 &lt; 0, C361 + I360, 0)</f>
        <v>0</v>
      </c>
      <c r="J361" s="1">
        <f>IF(D361 + J360 &lt; 0, D361 + J360, 0)</f>
        <v>0</v>
      </c>
      <c r="K361" s="1">
        <f>IF(E361 + K360 &lt; 0, E361 + K360, 0)</f>
        <v>0</v>
      </c>
      <c r="L361" s="1">
        <f>IF(F361 + L360 &lt; 0, F361 + L360, 0)</f>
        <v>0</v>
      </c>
      <c r="M361" s="1">
        <f>IF(G361 + M360 &lt; 0, G361 + M360, 0)</f>
        <v>0</v>
      </c>
      <c r="N361" s="1">
        <f>IF(H361 + N360 &lt; 0, H361 + N360, 0)</f>
        <v>0</v>
      </c>
      <c r="O361" s="1">
        <f>IF(N361 &lt; 0, 1 + O360, 0)</f>
        <v>0</v>
      </c>
      <c r="P361" s="1">
        <f>C361-((ABS(SUM(PL!H361:J361)))*0.125)</f>
        <v>0</v>
      </c>
      <c r="Q361" s="1">
        <f>D361-((ABS(SUM(PL!K361:M361)))*0.125)</f>
        <v>0</v>
      </c>
      <c r="R361" s="1">
        <f>E361-((ABS(SUM(PL!N361:P361)))*0.125)</f>
        <v>0</v>
      </c>
      <c r="S361" s="1">
        <f>F361-((ABS(SUM(PL!Q361:S361)))*0.125)</f>
        <v>0</v>
      </c>
      <c r="T361" s="1">
        <f>G361-((ABS(SUM(PL!T361:V361)))*0.125)</f>
        <v>0</v>
      </c>
      <c r="U361" s="1">
        <f>P361 + Q361 + R361 + S361 + T361</f>
        <v>0</v>
      </c>
      <c r="V361" s="1">
        <f>IF(P361 + V360 &lt; 0, P361 + V360, 0)</f>
        <v>0</v>
      </c>
      <c r="W361" s="1">
        <f>IF(Q361 + W360 &lt; 0, Q361 + W360, 0)</f>
        <v>0</v>
      </c>
      <c r="X361" s="1">
        <f>IF(R361 + X360 &lt; 0, R361 + X360, 0)</f>
        <v>0</v>
      </c>
      <c r="Y361" s="1">
        <f>IF(S361 + Y360 &lt; 0, S361 + Y360, 0)</f>
        <v>0</v>
      </c>
      <c r="Z361" s="1">
        <f>IF(T361 + Z360 &lt; 0, T361 + Z360, 0)</f>
        <v>0</v>
      </c>
      <c r="AA361" s="1">
        <f>IF(U361 + AA360 &lt; 0, U361 + AA360, 0)</f>
        <v>0</v>
      </c>
      <c r="AB361" s="1">
        <f>IF(AA361 &lt; 0, 1 + AB360, 0)</f>
        <v>0</v>
      </c>
      <c r="AC361" s="1">
        <f>IF(H361&lt;0,1,0)</f>
        <v>0</v>
      </c>
      <c r="AD361" s="1">
        <f>IF(AC361=1,H361,0)</f>
        <v>0</v>
      </c>
      <c r="AE361" s="1">
        <f>IF(H361&gt;0,1,0)</f>
        <v>0</v>
      </c>
      <c r="AF361" s="1">
        <f>IF(AE361=1,H361,0)</f>
        <v>0</v>
      </c>
      <c r="AG361" s="1">
        <f>IF(AD361&lt;-20000000.0/100,1,0)</f>
        <v>0</v>
      </c>
      <c r="AH361" s="1">
        <f>IF(AF361&gt;20000000.0/100,1,0)</f>
        <v>0</v>
      </c>
      <c r="AI361" s="1">
        <f>IF(U361&lt;0,1,0)</f>
        <v>0</v>
      </c>
      <c r="AJ361" s="1">
        <f>IF(AI361=1,U361,0)</f>
        <v>0</v>
      </c>
      <c r="AK361" s="1">
        <f>IF(U361&gt;0,1,0)</f>
        <v>0</v>
      </c>
      <c r="AL361" s="1">
        <f>IF(AK361=1,U361,0)</f>
        <v>0</v>
      </c>
      <c r="AM361" s="1">
        <f>IF(AJ361&lt;-20000000.0/100,1,0)</f>
        <v>0</v>
      </c>
      <c r="AN361" s="1">
        <f>IF(AL361&gt;20000000.0/100,1,0)</f>
        <v>0</v>
      </c>
    </row>
    <row r="362" spans="1:40" s="1" customFormat="1">
      <c r="A362" s="3">
        <v>45826</v>
      </c>
      <c r="B362" s="2" t="s">
        <v>24</v>
      </c>
      <c r="C362" s="1">
        <f>SUM(PL!H362:J362)</f>
        <v>0</v>
      </c>
      <c r="D362" s="1">
        <f>SUM(PL!K362:M362)</f>
        <v>0</v>
      </c>
      <c r="E362" s="1">
        <f>SUM(PL!N362:P362)</f>
        <v>0</v>
      </c>
      <c r="F362" s="1">
        <f>SUM(PL!Q362:S362)</f>
        <v>0</v>
      </c>
      <c r="G362" s="1">
        <f>SUM(PL!T362:V362)</f>
        <v>0</v>
      </c>
      <c r="H362" s="1">
        <f>SUM(C362:G362)</f>
        <v>0</v>
      </c>
      <c r="I362" s="1">
        <f>IF(C362 + I361 &lt; 0, C362 + I361, 0)</f>
        <v>0</v>
      </c>
      <c r="J362" s="1">
        <f>IF(D362 + J361 &lt; 0, D362 + J361, 0)</f>
        <v>0</v>
      </c>
      <c r="K362" s="1">
        <f>IF(E362 + K361 &lt; 0, E362 + K361, 0)</f>
        <v>0</v>
      </c>
      <c r="L362" s="1">
        <f>IF(F362 + L361 &lt; 0, F362 + L361, 0)</f>
        <v>0</v>
      </c>
      <c r="M362" s="1">
        <f>IF(G362 + M361 &lt; 0, G362 + M361, 0)</f>
        <v>0</v>
      </c>
      <c r="N362" s="1">
        <f>IF(H362 + N361 &lt; 0, H362 + N361, 0)</f>
        <v>0</v>
      </c>
      <c r="O362" s="1">
        <f>IF(N362 &lt; 0, 1 + O361, 0)</f>
        <v>0</v>
      </c>
      <c r="P362" s="1">
        <f>C362-((ABS(SUM(PL!H362:J362)))*0.125)</f>
        <v>0</v>
      </c>
      <c r="Q362" s="1">
        <f>D362-((ABS(SUM(PL!K362:M362)))*0.125)</f>
        <v>0</v>
      </c>
      <c r="R362" s="1">
        <f>E362-((ABS(SUM(PL!N362:P362)))*0.125)</f>
        <v>0</v>
      </c>
      <c r="S362" s="1">
        <f>F362-((ABS(SUM(PL!Q362:S362)))*0.125)</f>
        <v>0</v>
      </c>
      <c r="T362" s="1">
        <f>G362-((ABS(SUM(PL!T362:V362)))*0.125)</f>
        <v>0</v>
      </c>
      <c r="U362" s="1">
        <f>P362 + Q362 + R362 + S362 + T362</f>
        <v>0</v>
      </c>
      <c r="V362" s="1">
        <f>IF(P362 + V361 &lt; 0, P362 + V361, 0)</f>
        <v>0</v>
      </c>
      <c r="W362" s="1">
        <f>IF(Q362 + W361 &lt; 0, Q362 + W361, 0)</f>
        <v>0</v>
      </c>
      <c r="X362" s="1">
        <f>IF(R362 + X361 &lt; 0, R362 + X361, 0)</f>
        <v>0</v>
      </c>
      <c r="Y362" s="1">
        <f>IF(S362 + Y361 &lt; 0, S362 + Y361, 0)</f>
        <v>0</v>
      </c>
      <c r="Z362" s="1">
        <f>IF(T362 + Z361 &lt; 0, T362 + Z361, 0)</f>
        <v>0</v>
      </c>
      <c r="AA362" s="1">
        <f>IF(U362 + AA361 &lt; 0, U362 + AA361, 0)</f>
        <v>0</v>
      </c>
      <c r="AB362" s="1">
        <f>IF(AA362 &lt; 0, 1 + AB361, 0)</f>
        <v>0</v>
      </c>
      <c r="AC362" s="1">
        <f>IF(H362&lt;0,1,0)</f>
        <v>0</v>
      </c>
      <c r="AD362" s="1">
        <f>IF(AC362=1,H362,0)</f>
        <v>0</v>
      </c>
      <c r="AE362" s="1">
        <f>IF(H362&gt;0,1,0)</f>
        <v>0</v>
      </c>
      <c r="AF362" s="1">
        <f>IF(AE362=1,H362,0)</f>
        <v>0</v>
      </c>
      <c r="AG362" s="1">
        <f>IF(AD362&lt;-20000000.0/100,1,0)</f>
        <v>0</v>
      </c>
      <c r="AH362" s="1">
        <f>IF(AF362&gt;20000000.0/100,1,0)</f>
        <v>0</v>
      </c>
      <c r="AI362" s="1">
        <f>IF(U362&lt;0,1,0)</f>
        <v>0</v>
      </c>
      <c r="AJ362" s="1">
        <f>IF(AI362=1,U362,0)</f>
        <v>0</v>
      </c>
      <c r="AK362" s="1">
        <f>IF(U362&gt;0,1,0)</f>
        <v>0</v>
      </c>
      <c r="AL362" s="1">
        <f>IF(AK362=1,U362,0)</f>
        <v>0</v>
      </c>
      <c r="AM362" s="1">
        <f>IF(AJ362&lt;-20000000.0/100,1,0)</f>
        <v>0</v>
      </c>
      <c r="AN362" s="1">
        <f>IF(AL362&gt;20000000.0/100,1,0)</f>
        <v>0</v>
      </c>
    </row>
    <row r="363" spans="1:40" s="1" customFormat="1">
      <c r="A363" s="3">
        <v>45827</v>
      </c>
      <c r="B363" s="2" t="s">
        <v>25</v>
      </c>
      <c r="C363" s="1">
        <f>SUM(PL!H363:J363)</f>
        <v>0</v>
      </c>
      <c r="D363" s="1">
        <f>SUM(PL!K363:M363)</f>
        <v>0</v>
      </c>
      <c r="E363" s="1">
        <f>SUM(PL!N363:P363)</f>
        <v>0</v>
      </c>
      <c r="F363" s="1">
        <f>SUM(PL!Q363:S363)</f>
        <v>0</v>
      </c>
      <c r="G363" s="1">
        <f>SUM(PL!T363:V363)</f>
        <v>0</v>
      </c>
      <c r="H363" s="1">
        <f>SUM(C363:G363)</f>
        <v>0</v>
      </c>
      <c r="I363" s="1">
        <f>IF(C363 + I362 &lt; 0, C363 + I362, 0)</f>
        <v>0</v>
      </c>
      <c r="J363" s="1">
        <f>IF(D363 + J362 &lt; 0, D363 + J362, 0)</f>
        <v>0</v>
      </c>
      <c r="K363" s="1">
        <f>IF(E363 + K362 &lt; 0, E363 + K362, 0)</f>
        <v>0</v>
      </c>
      <c r="L363" s="1">
        <f>IF(F363 + L362 &lt; 0, F363 + L362, 0)</f>
        <v>0</v>
      </c>
      <c r="M363" s="1">
        <f>IF(G363 + M362 &lt; 0, G363 + M362, 0)</f>
        <v>0</v>
      </c>
      <c r="N363" s="1">
        <f>IF(H363 + N362 &lt; 0, H363 + N362, 0)</f>
        <v>0</v>
      </c>
      <c r="O363" s="1">
        <f>IF(N363 &lt; 0, 1 + O362, 0)</f>
        <v>0</v>
      </c>
      <c r="P363" s="1">
        <f>C363-((ABS(SUM(PL!H363:J363)))*0.125)</f>
        <v>0</v>
      </c>
      <c r="Q363" s="1">
        <f>D363-((ABS(SUM(PL!K363:M363)))*0.125)</f>
        <v>0</v>
      </c>
      <c r="R363" s="1">
        <f>E363-((ABS(SUM(PL!N363:P363)))*0.125)</f>
        <v>0</v>
      </c>
      <c r="S363" s="1">
        <f>F363-((ABS(SUM(PL!Q363:S363)))*0.125)</f>
        <v>0</v>
      </c>
      <c r="T363" s="1">
        <f>G363-((ABS(SUM(PL!T363:V363)))*0.125)</f>
        <v>0</v>
      </c>
      <c r="U363" s="1">
        <f>P363 + Q363 + R363 + S363 + T363</f>
        <v>0</v>
      </c>
      <c r="V363" s="1">
        <f>IF(P363 + V362 &lt; 0, P363 + V362, 0)</f>
        <v>0</v>
      </c>
      <c r="W363" s="1">
        <f>IF(Q363 + W362 &lt; 0, Q363 + W362, 0)</f>
        <v>0</v>
      </c>
      <c r="X363" s="1">
        <f>IF(R363 + X362 &lt; 0, R363 + X362, 0)</f>
        <v>0</v>
      </c>
      <c r="Y363" s="1">
        <f>IF(S363 + Y362 &lt; 0, S363 + Y362, 0)</f>
        <v>0</v>
      </c>
      <c r="Z363" s="1">
        <f>IF(T363 + Z362 &lt; 0, T363 + Z362, 0)</f>
        <v>0</v>
      </c>
      <c r="AA363" s="1">
        <f>IF(U363 + AA362 &lt; 0, U363 + AA362, 0)</f>
        <v>0</v>
      </c>
      <c r="AB363" s="1">
        <f>IF(AA363 &lt; 0, 1 + AB362, 0)</f>
        <v>0</v>
      </c>
      <c r="AC363" s="1">
        <f>IF(H363&lt;0,1,0)</f>
        <v>0</v>
      </c>
      <c r="AD363" s="1">
        <f>IF(AC363=1,H363,0)</f>
        <v>0</v>
      </c>
      <c r="AE363" s="1">
        <f>IF(H363&gt;0,1,0)</f>
        <v>0</v>
      </c>
      <c r="AF363" s="1">
        <f>IF(AE363=1,H363,0)</f>
        <v>0</v>
      </c>
      <c r="AG363" s="1">
        <f>IF(AD363&lt;-20000000.0/100,1,0)</f>
        <v>0</v>
      </c>
      <c r="AH363" s="1">
        <f>IF(AF363&gt;20000000.0/100,1,0)</f>
        <v>0</v>
      </c>
      <c r="AI363" s="1">
        <f>IF(U363&lt;0,1,0)</f>
        <v>0</v>
      </c>
      <c r="AJ363" s="1">
        <f>IF(AI363=1,U363,0)</f>
        <v>0</v>
      </c>
      <c r="AK363" s="1">
        <f>IF(U363&gt;0,1,0)</f>
        <v>0</v>
      </c>
      <c r="AL363" s="1">
        <f>IF(AK363=1,U363,0)</f>
        <v>0</v>
      </c>
      <c r="AM363" s="1">
        <f>IF(AJ363&lt;-20000000.0/100,1,0)</f>
        <v>0</v>
      </c>
      <c r="AN363" s="1">
        <f>IF(AL363&gt;20000000.0/100,1,0)</f>
        <v>0</v>
      </c>
    </row>
    <row r="364" spans="1:40" s="1" customFormat="1">
      <c r="A364" s="3">
        <v>45828</v>
      </c>
      <c r="B364" s="2" t="s">
        <v>26</v>
      </c>
      <c r="C364" s="1">
        <f>SUM(PL!H364:J364)</f>
        <v>0</v>
      </c>
      <c r="D364" s="1">
        <f>SUM(PL!K364:M364)</f>
        <v>0</v>
      </c>
      <c r="E364" s="1">
        <f>SUM(PL!N364:P364)</f>
        <v>0</v>
      </c>
      <c r="F364" s="1">
        <f>SUM(PL!Q364:S364)</f>
        <v>0</v>
      </c>
      <c r="G364" s="1">
        <f>SUM(PL!T364:V364)</f>
        <v>0</v>
      </c>
      <c r="H364" s="1">
        <f>SUM(C364:G364)</f>
        <v>0</v>
      </c>
      <c r="I364" s="1">
        <f>IF(C364 + I363 &lt; 0, C364 + I363, 0)</f>
        <v>0</v>
      </c>
      <c r="J364" s="1">
        <f>IF(D364 + J363 &lt; 0, D364 + J363, 0)</f>
        <v>0</v>
      </c>
      <c r="K364" s="1">
        <f>IF(E364 + K363 &lt; 0, E364 + K363, 0)</f>
        <v>0</v>
      </c>
      <c r="L364" s="1">
        <f>IF(F364 + L363 &lt; 0, F364 + L363, 0)</f>
        <v>0</v>
      </c>
      <c r="M364" s="1">
        <f>IF(G364 + M363 &lt; 0, G364 + M363, 0)</f>
        <v>0</v>
      </c>
      <c r="N364" s="1">
        <f>IF(H364 + N363 &lt; 0, H364 + N363, 0)</f>
        <v>0</v>
      </c>
      <c r="O364" s="1">
        <f>IF(N364 &lt; 0, 1 + O363, 0)</f>
        <v>0</v>
      </c>
      <c r="P364" s="1">
        <f>C364-((ABS(SUM(PL!H364:J364)))*0.125)</f>
        <v>0</v>
      </c>
      <c r="Q364" s="1">
        <f>D364-((ABS(SUM(PL!K364:M364)))*0.125)</f>
        <v>0</v>
      </c>
      <c r="R364" s="1">
        <f>E364-((ABS(SUM(PL!N364:P364)))*0.125)</f>
        <v>0</v>
      </c>
      <c r="S364" s="1">
        <f>F364-((ABS(SUM(PL!Q364:S364)))*0.125)</f>
        <v>0</v>
      </c>
      <c r="T364" s="1">
        <f>G364-((ABS(SUM(PL!T364:V364)))*0.125)</f>
        <v>0</v>
      </c>
      <c r="U364" s="1">
        <f>P364 + Q364 + R364 + S364 + T364</f>
        <v>0</v>
      </c>
      <c r="V364" s="1">
        <f>IF(P364 + V363 &lt; 0, P364 + V363, 0)</f>
        <v>0</v>
      </c>
      <c r="W364" s="1">
        <f>IF(Q364 + W363 &lt; 0, Q364 + W363, 0)</f>
        <v>0</v>
      </c>
      <c r="X364" s="1">
        <f>IF(R364 + X363 &lt; 0, R364 + X363, 0)</f>
        <v>0</v>
      </c>
      <c r="Y364" s="1">
        <f>IF(S364 + Y363 &lt; 0, S364 + Y363, 0)</f>
        <v>0</v>
      </c>
      <c r="Z364" s="1">
        <f>IF(T364 + Z363 &lt; 0, T364 + Z363, 0)</f>
        <v>0</v>
      </c>
      <c r="AA364" s="1">
        <f>IF(U364 + AA363 &lt; 0, U364 + AA363, 0)</f>
        <v>0</v>
      </c>
      <c r="AB364" s="1">
        <f>IF(AA364 &lt; 0, 1 + AB363, 0)</f>
        <v>0</v>
      </c>
      <c r="AC364" s="1">
        <f>IF(H364&lt;0,1,0)</f>
        <v>0</v>
      </c>
      <c r="AD364" s="1">
        <f>IF(AC364=1,H364,0)</f>
        <v>0</v>
      </c>
      <c r="AE364" s="1">
        <f>IF(H364&gt;0,1,0)</f>
        <v>0</v>
      </c>
      <c r="AF364" s="1">
        <f>IF(AE364=1,H364,0)</f>
        <v>0</v>
      </c>
      <c r="AG364" s="1">
        <f>IF(AD364&lt;-20000000.0/100,1,0)</f>
        <v>0</v>
      </c>
      <c r="AH364" s="1">
        <f>IF(AF364&gt;20000000.0/100,1,0)</f>
        <v>0</v>
      </c>
      <c r="AI364" s="1">
        <f>IF(U364&lt;0,1,0)</f>
        <v>0</v>
      </c>
      <c r="AJ364" s="1">
        <f>IF(AI364=1,U364,0)</f>
        <v>0</v>
      </c>
      <c r="AK364" s="1">
        <f>IF(U364&gt;0,1,0)</f>
        <v>0</v>
      </c>
      <c r="AL364" s="1">
        <f>IF(AK364=1,U364,0)</f>
        <v>0</v>
      </c>
      <c r="AM364" s="1">
        <f>IF(AJ364&lt;-20000000.0/100,1,0)</f>
        <v>0</v>
      </c>
      <c r="AN364" s="1">
        <f>IF(AL364&gt;20000000.0/100,1,0)</f>
        <v>0</v>
      </c>
    </row>
    <row r="365" spans="1:40" s="1" customFormat="1">
      <c r="A365" s="3">
        <v>45831</v>
      </c>
      <c r="B365" s="2" t="s">
        <v>22</v>
      </c>
      <c r="C365" s="1">
        <f>SUM(PL!H365:J365)</f>
        <v>0</v>
      </c>
      <c r="D365" s="1">
        <f>SUM(PL!K365:M365)</f>
        <v>0</v>
      </c>
      <c r="E365" s="1">
        <f>SUM(PL!N365:P365)</f>
        <v>0</v>
      </c>
      <c r="F365" s="1">
        <f>SUM(PL!Q365:S365)</f>
        <v>0</v>
      </c>
      <c r="G365" s="1">
        <f>SUM(PL!T365:V365)</f>
        <v>0</v>
      </c>
      <c r="H365" s="1">
        <f>SUM(C365:G365)</f>
        <v>0</v>
      </c>
      <c r="I365" s="1">
        <f>IF(C365 + I364 &lt; 0, C365 + I364, 0)</f>
        <v>0</v>
      </c>
      <c r="J365" s="1">
        <f>IF(D365 + J364 &lt; 0, D365 + J364, 0)</f>
        <v>0</v>
      </c>
      <c r="K365" s="1">
        <f>IF(E365 + K364 &lt; 0, E365 + K364, 0)</f>
        <v>0</v>
      </c>
      <c r="L365" s="1">
        <f>IF(F365 + L364 &lt; 0, F365 + L364, 0)</f>
        <v>0</v>
      </c>
      <c r="M365" s="1">
        <f>IF(G365 + M364 &lt; 0, G365 + M364, 0)</f>
        <v>0</v>
      </c>
      <c r="N365" s="1">
        <f>IF(H365 + N364 &lt; 0, H365 + N364, 0)</f>
        <v>0</v>
      </c>
      <c r="O365" s="1">
        <f>IF(N365 &lt; 0, 1 + O364, 0)</f>
        <v>0</v>
      </c>
      <c r="P365" s="1">
        <f>C365-((ABS(SUM(PL!H365:J365)))*0.125)</f>
        <v>0</v>
      </c>
      <c r="Q365" s="1">
        <f>D365-((ABS(SUM(PL!K365:M365)))*0.125)</f>
        <v>0</v>
      </c>
      <c r="R365" s="1">
        <f>E365-((ABS(SUM(PL!N365:P365)))*0.125)</f>
        <v>0</v>
      </c>
      <c r="S365" s="1">
        <f>F365-((ABS(SUM(PL!Q365:S365)))*0.125)</f>
        <v>0</v>
      </c>
      <c r="T365" s="1">
        <f>G365-((ABS(SUM(PL!T365:V365)))*0.125)</f>
        <v>0</v>
      </c>
      <c r="U365" s="1">
        <f>P365 + Q365 + R365 + S365 + T365</f>
        <v>0</v>
      </c>
      <c r="V365" s="1">
        <f>IF(P365 + V364 &lt; 0, P365 + V364, 0)</f>
        <v>0</v>
      </c>
      <c r="W365" s="1">
        <f>IF(Q365 + W364 &lt; 0, Q365 + W364, 0)</f>
        <v>0</v>
      </c>
      <c r="X365" s="1">
        <f>IF(R365 + X364 &lt; 0, R365 + X364, 0)</f>
        <v>0</v>
      </c>
      <c r="Y365" s="1">
        <f>IF(S365 + Y364 &lt; 0, S365 + Y364, 0)</f>
        <v>0</v>
      </c>
      <c r="Z365" s="1">
        <f>IF(T365 + Z364 &lt; 0, T365 + Z364, 0)</f>
        <v>0</v>
      </c>
      <c r="AA365" s="1">
        <f>IF(U365 + AA364 &lt; 0, U365 + AA364, 0)</f>
        <v>0</v>
      </c>
      <c r="AB365" s="1">
        <f>IF(AA365 &lt; 0, 1 + AB364, 0)</f>
        <v>0</v>
      </c>
      <c r="AC365" s="1">
        <f>IF(H365&lt;0,1,0)</f>
        <v>0</v>
      </c>
      <c r="AD365" s="1">
        <f>IF(AC365=1,H365,0)</f>
        <v>0</v>
      </c>
      <c r="AE365" s="1">
        <f>IF(H365&gt;0,1,0)</f>
        <v>0</v>
      </c>
      <c r="AF365" s="1">
        <f>IF(AE365=1,H365,0)</f>
        <v>0</v>
      </c>
      <c r="AG365" s="1">
        <f>IF(AD365&lt;-20000000.0/100,1,0)</f>
        <v>0</v>
      </c>
      <c r="AH365" s="1">
        <f>IF(AF365&gt;20000000.0/100,1,0)</f>
        <v>0</v>
      </c>
      <c r="AI365" s="1">
        <f>IF(U365&lt;0,1,0)</f>
        <v>0</v>
      </c>
      <c r="AJ365" s="1">
        <f>IF(AI365=1,U365,0)</f>
        <v>0</v>
      </c>
      <c r="AK365" s="1">
        <f>IF(U365&gt;0,1,0)</f>
        <v>0</v>
      </c>
      <c r="AL365" s="1">
        <f>IF(AK365=1,U365,0)</f>
        <v>0</v>
      </c>
      <c r="AM365" s="1">
        <f>IF(AJ365&lt;-20000000.0/100,1,0)</f>
        <v>0</v>
      </c>
      <c r="AN365" s="1">
        <f>IF(AL365&gt;20000000.0/100,1,0)</f>
        <v>0</v>
      </c>
    </row>
    <row r="366" spans="1:40" s="1" customFormat="1">
      <c r="A366" s="3">
        <v>45832</v>
      </c>
      <c r="B366" s="2" t="s">
        <v>23</v>
      </c>
      <c r="C366" s="1">
        <f>SUM(PL!H366:J366)</f>
        <v>0</v>
      </c>
      <c r="D366" s="1">
        <f>SUM(PL!K366:M366)</f>
        <v>0</v>
      </c>
      <c r="E366" s="1">
        <f>SUM(PL!N366:P366)</f>
        <v>0</v>
      </c>
      <c r="F366" s="1">
        <f>SUM(PL!Q366:S366)</f>
        <v>0</v>
      </c>
      <c r="G366" s="1">
        <f>SUM(PL!T366:V366)</f>
        <v>0</v>
      </c>
      <c r="H366" s="1">
        <f>SUM(C366:G366)</f>
        <v>0</v>
      </c>
      <c r="I366" s="1">
        <f>IF(C366 + I365 &lt; 0, C366 + I365, 0)</f>
        <v>0</v>
      </c>
      <c r="J366" s="1">
        <f>IF(D366 + J365 &lt; 0, D366 + J365, 0)</f>
        <v>0</v>
      </c>
      <c r="K366" s="1">
        <f>IF(E366 + K365 &lt; 0, E366 + K365, 0)</f>
        <v>0</v>
      </c>
      <c r="L366" s="1">
        <f>IF(F366 + L365 &lt; 0, F366 + L365, 0)</f>
        <v>0</v>
      </c>
      <c r="M366" s="1">
        <f>IF(G366 + M365 &lt; 0, G366 + M365, 0)</f>
        <v>0</v>
      </c>
      <c r="N366" s="1">
        <f>IF(H366 + N365 &lt; 0, H366 + N365, 0)</f>
        <v>0</v>
      </c>
      <c r="O366" s="1">
        <f>IF(N366 &lt; 0, 1 + O365, 0)</f>
        <v>0</v>
      </c>
      <c r="P366" s="1">
        <f>C366-((ABS(SUM(PL!H366:J366)))*0.125)</f>
        <v>0</v>
      </c>
      <c r="Q366" s="1">
        <f>D366-((ABS(SUM(PL!K366:M366)))*0.125)</f>
        <v>0</v>
      </c>
      <c r="R366" s="1">
        <f>E366-((ABS(SUM(PL!N366:P366)))*0.125)</f>
        <v>0</v>
      </c>
      <c r="S366" s="1">
        <f>F366-((ABS(SUM(PL!Q366:S366)))*0.125)</f>
        <v>0</v>
      </c>
      <c r="T366" s="1">
        <f>G366-((ABS(SUM(PL!T366:V366)))*0.125)</f>
        <v>0</v>
      </c>
      <c r="U366" s="1">
        <f>P366 + Q366 + R366 + S366 + T366</f>
        <v>0</v>
      </c>
      <c r="V366" s="1">
        <f>IF(P366 + V365 &lt; 0, P366 + V365, 0)</f>
        <v>0</v>
      </c>
      <c r="W366" s="1">
        <f>IF(Q366 + W365 &lt; 0, Q366 + W365, 0)</f>
        <v>0</v>
      </c>
      <c r="X366" s="1">
        <f>IF(R366 + X365 &lt; 0, R366 + X365, 0)</f>
        <v>0</v>
      </c>
      <c r="Y366" s="1">
        <f>IF(S366 + Y365 &lt; 0, S366 + Y365, 0)</f>
        <v>0</v>
      </c>
      <c r="Z366" s="1">
        <f>IF(T366 + Z365 &lt; 0, T366 + Z365, 0)</f>
        <v>0</v>
      </c>
      <c r="AA366" s="1">
        <f>IF(U366 + AA365 &lt; 0, U366 + AA365, 0)</f>
        <v>0</v>
      </c>
      <c r="AB366" s="1">
        <f>IF(AA366 &lt; 0, 1 + AB365, 0)</f>
        <v>0</v>
      </c>
      <c r="AC366" s="1">
        <f>IF(H366&lt;0,1,0)</f>
        <v>0</v>
      </c>
      <c r="AD366" s="1">
        <f>IF(AC366=1,H366,0)</f>
        <v>0</v>
      </c>
      <c r="AE366" s="1">
        <f>IF(H366&gt;0,1,0)</f>
        <v>0</v>
      </c>
      <c r="AF366" s="1">
        <f>IF(AE366=1,H366,0)</f>
        <v>0</v>
      </c>
      <c r="AG366" s="1">
        <f>IF(AD366&lt;-20000000.0/100,1,0)</f>
        <v>0</v>
      </c>
      <c r="AH366" s="1">
        <f>IF(AF366&gt;20000000.0/100,1,0)</f>
        <v>0</v>
      </c>
      <c r="AI366" s="1">
        <f>IF(U366&lt;0,1,0)</f>
        <v>0</v>
      </c>
      <c r="AJ366" s="1">
        <f>IF(AI366=1,U366,0)</f>
        <v>0</v>
      </c>
      <c r="AK366" s="1">
        <f>IF(U366&gt;0,1,0)</f>
        <v>0</v>
      </c>
      <c r="AL366" s="1">
        <f>IF(AK366=1,U366,0)</f>
        <v>0</v>
      </c>
      <c r="AM366" s="1">
        <f>IF(AJ366&lt;-20000000.0/100,1,0)</f>
        <v>0</v>
      </c>
      <c r="AN366" s="1">
        <f>IF(AL366&gt;20000000.0/100,1,0)</f>
        <v>0</v>
      </c>
    </row>
    <row r="367" spans="1:40" s="1" customFormat="1">
      <c r="A367" s="3">
        <v>45833</v>
      </c>
      <c r="B367" s="2" t="s">
        <v>24</v>
      </c>
      <c r="C367" s="1">
        <f>SUM(PL!H367:J367)</f>
        <v>0</v>
      </c>
      <c r="D367" s="1">
        <f>SUM(PL!K367:M367)</f>
        <v>0</v>
      </c>
      <c r="E367" s="1">
        <f>SUM(PL!N367:P367)</f>
        <v>0</v>
      </c>
      <c r="F367" s="1">
        <f>SUM(PL!Q367:S367)</f>
        <v>0</v>
      </c>
      <c r="G367" s="1">
        <f>SUM(PL!T367:V367)</f>
        <v>0</v>
      </c>
      <c r="H367" s="1">
        <f>SUM(C367:G367)</f>
        <v>0</v>
      </c>
      <c r="I367" s="1">
        <f>IF(C367 + I366 &lt; 0, C367 + I366, 0)</f>
        <v>0</v>
      </c>
      <c r="J367" s="1">
        <f>IF(D367 + J366 &lt; 0, D367 + J366, 0)</f>
        <v>0</v>
      </c>
      <c r="K367" s="1">
        <f>IF(E367 + K366 &lt; 0, E367 + K366, 0)</f>
        <v>0</v>
      </c>
      <c r="L367" s="1">
        <f>IF(F367 + L366 &lt; 0, F367 + L366, 0)</f>
        <v>0</v>
      </c>
      <c r="M367" s="1">
        <f>IF(G367 + M366 &lt; 0, G367 + M366, 0)</f>
        <v>0</v>
      </c>
      <c r="N367" s="1">
        <f>IF(H367 + N366 &lt; 0, H367 + N366, 0)</f>
        <v>0</v>
      </c>
      <c r="O367" s="1">
        <f>IF(N367 &lt; 0, 1 + O366, 0)</f>
        <v>0</v>
      </c>
      <c r="P367" s="1">
        <f>C367-((ABS(SUM(PL!H367:J367)))*0.125)</f>
        <v>0</v>
      </c>
      <c r="Q367" s="1">
        <f>D367-((ABS(SUM(PL!K367:M367)))*0.125)</f>
        <v>0</v>
      </c>
      <c r="R367" s="1">
        <f>E367-((ABS(SUM(PL!N367:P367)))*0.125)</f>
        <v>0</v>
      </c>
      <c r="S367" s="1">
        <f>F367-((ABS(SUM(PL!Q367:S367)))*0.125)</f>
        <v>0</v>
      </c>
      <c r="T367" s="1">
        <f>G367-((ABS(SUM(PL!T367:V367)))*0.125)</f>
        <v>0</v>
      </c>
      <c r="U367" s="1">
        <f>P367 + Q367 + R367 + S367 + T367</f>
        <v>0</v>
      </c>
      <c r="V367" s="1">
        <f>IF(P367 + V366 &lt; 0, P367 + V366, 0)</f>
        <v>0</v>
      </c>
      <c r="W367" s="1">
        <f>IF(Q367 + W366 &lt; 0, Q367 + W366, 0)</f>
        <v>0</v>
      </c>
      <c r="X367" s="1">
        <f>IF(R367 + X366 &lt; 0, R367 + X366, 0)</f>
        <v>0</v>
      </c>
      <c r="Y367" s="1">
        <f>IF(S367 + Y366 &lt; 0, S367 + Y366, 0)</f>
        <v>0</v>
      </c>
      <c r="Z367" s="1">
        <f>IF(T367 + Z366 &lt; 0, T367 + Z366, 0)</f>
        <v>0</v>
      </c>
      <c r="AA367" s="1">
        <f>IF(U367 + AA366 &lt; 0, U367 + AA366, 0)</f>
        <v>0</v>
      </c>
      <c r="AB367" s="1">
        <f>IF(AA367 &lt; 0, 1 + AB366, 0)</f>
        <v>0</v>
      </c>
      <c r="AC367" s="1">
        <f>IF(H367&lt;0,1,0)</f>
        <v>0</v>
      </c>
      <c r="AD367" s="1">
        <f>IF(AC367=1,H367,0)</f>
        <v>0</v>
      </c>
      <c r="AE367" s="1">
        <f>IF(H367&gt;0,1,0)</f>
        <v>0</v>
      </c>
      <c r="AF367" s="1">
        <f>IF(AE367=1,H367,0)</f>
        <v>0</v>
      </c>
      <c r="AG367" s="1">
        <f>IF(AD367&lt;-20000000.0/100,1,0)</f>
        <v>0</v>
      </c>
      <c r="AH367" s="1">
        <f>IF(AF367&gt;20000000.0/100,1,0)</f>
        <v>0</v>
      </c>
      <c r="AI367" s="1">
        <f>IF(U367&lt;0,1,0)</f>
        <v>0</v>
      </c>
      <c r="AJ367" s="1">
        <f>IF(AI367=1,U367,0)</f>
        <v>0</v>
      </c>
      <c r="AK367" s="1">
        <f>IF(U367&gt;0,1,0)</f>
        <v>0</v>
      </c>
      <c r="AL367" s="1">
        <f>IF(AK367=1,U367,0)</f>
        <v>0</v>
      </c>
      <c r="AM367" s="1">
        <f>IF(AJ367&lt;-20000000.0/100,1,0)</f>
        <v>0</v>
      </c>
      <c r="AN367" s="1">
        <f>IF(AL367&gt;20000000.0/100,1,0)</f>
        <v>0</v>
      </c>
    </row>
    <row r="368" spans="1:40" s="1" customFormat="1">
      <c r="A368" s="3">
        <v>45834</v>
      </c>
      <c r="B368" s="2" t="s">
        <v>25</v>
      </c>
      <c r="C368" s="1">
        <f>SUM(PL!H368:J368)</f>
        <v>0</v>
      </c>
      <c r="D368" s="1">
        <f>SUM(PL!K368:M368)</f>
        <v>0</v>
      </c>
      <c r="E368" s="1">
        <f>SUM(PL!N368:P368)</f>
        <v>0</v>
      </c>
      <c r="F368" s="1">
        <f>SUM(PL!Q368:S368)</f>
        <v>0</v>
      </c>
      <c r="G368" s="1">
        <f>SUM(PL!T368:V368)</f>
        <v>0</v>
      </c>
      <c r="H368" s="1">
        <f>SUM(C368:G368)</f>
        <v>0</v>
      </c>
      <c r="I368" s="1">
        <f>IF(C368 + I367 &lt; 0, C368 + I367, 0)</f>
        <v>0</v>
      </c>
      <c r="J368" s="1">
        <f>IF(D368 + J367 &lt; 0, D368 + J367, 0)</f>
        <v>0</v>
      </c>
      <c r="K368" s="1">
        <f>IF(E368 + K367 &lt; 0, E368 + K367, 0)</f>
        <v>0</v>
      </c>
      <c r="L368" s="1">
        <f>IF(F368 + L367 &lt; 0, F368 + L367, 0)</f>
        <v>0</v>
      </c>
      <c r="M368" s="1">
        <f>IF(G368 + M367 &lt; 0, G368 + M367, 0)</f>
        <v>0</v>
      </c>
      <c r="N368" s="1">
        <f>IF(H368 + N367 &lt; 0, H368 + N367, 0)</f>
        <v>0</v>
      </c>
      <c r="O368" s="1">
        <f>IF(N368 &lt; 0, 1 + O367, 0)</f>
        <v>0</v>
      </c>
      <c r="P368" s="1">
        <f>C368-((ABS(SUM(PL!H368:J368)))*0.125)</f>
        <v>0</v>
      </c>
      <c r="Q368" s="1">
        <f>D368-((ABS(SUM(PL!K368:M368)))*0.125)</f>
        <v>0</v>
      </c>
      <c r="R368" s="1">
        <f>E368-((ABS(SUM(PL!N368:P368)))*0.125)</f>
        <v>0</v>
      </c>
      <c r="S368" s="1">
        <f>F368-((ABS(SUM(PL!Q368:S368)))*0.125)</f>
        <v>0</v>
      </c>
      <c r="T368" s="1">
        <f>G368-((ABS(SUM(PL!T368:V368)))*0.125)</f>
        <v>0</v>
      </c>
      <c r="U368" s="1">
        <f>P368 + Q368 + R368 + S368 + T368</f>
        <v>0</v>
      </c>
      <c r="V368" s="1">
        <f>IF(P368 + V367 &lt; 0, P368 + V367, 0)</f>
        <v>0</v>
      </c>
      <c r="W368" s="1">
        <f>IF(Q368 + W367 &lt; 0, Q368 + W367, 0)</f>
        <v>0</v>
      </c>
      <c r="X368" s="1">
        <f>IF(R368 + X367 &lt; 0, R368 + X367, 0)</f>
        <v>0</v>
      </c>
      <c r="Y368" s="1">
        <f>IF(S368 + Y367 &lt; 0, S368 + Y367, 0)</f>
        <v>0</v>
      </c>
      <c r="Z368" s="1">
        <f>IF(T368 + Z367 &lt; 0, T368 + Z367, 0)</f>
        <v>0</v>
      </c>
      <c r="AA368" s="1">
        <f>IF(U368 + AA367 &lt; 0, U368 + AA367, 0)</f>
        <v>0</v>
      </c>
      <c r="AB368" s="1">
        <f>IF(AA368 &lt; 0, 1 + AB367, 0)</f>
        <v>0</v>
      </c>
      <c r="AC368" s="1">
        <f>IF(H368&lt;0,1,0)</f>
        <v>0</v>
      </c>
      <c r="AD368" s="1">
        <f>IF(AC368=1,H368,0)</f>
        <v>0</v>
      </c>
      <c r="AE368" s="1">
        <f>IF(H368&gt;0,1,0)</f>
        <v>0</v>
      </c>
      <c r="AF368" s="1">
        <f>IF(AE368=1,H368,0)</f>
        <v>0</v>
      </c>
      <c r="AG368" s="1">
        <f>IF(AD368&lt;-20000000.0/100,1,0)</f>
        <v>0</v>
      </c>
      <c r="AH368" s="1">
        <f>IF(AF368&gt;20000000.0/100,1,0)</f>
        <v>0</v>
      </c>
      <c r="AI368" s="1">
        <f>IF(U368&lt;0,1,0)</f>
        <v>0</v>
      </c>
      <c r="AJ368" s="1">
        <f>IF(AI368=1,U368,0)</f>
        <v>0</v>
      </c>
      <c r="AK368" s="1">
        <f>IF(U368&gt;0,1,0)</f>
        <v>0</v>
      </c>
      <c r="AL368" s="1">
        <f>IF(AK368=1,U368,0)</f>
        <v>0</v>
      </c>
      <c r="AM368" s="1">
        <f>IF(AJ368&lt;-20000000.0/100,1,0)</f>
        <v>0</v>
      </c>
      <c r="AN368" s="1">
        <f>IF(AL368&gt;20000000.0/100,1,0)</f>
        <v>0</v>
      </c>
    </row>
    <row r="369" spans="1:40" s="1" customFormat="1">
      <c r="A369" s="3">
        <v>45835</v>
      </c>
      <c r="B369" s="2" t="s">
        <v>26</v>
      </c>
      <c r="C369" s="1">
        <f>SUM(PL!H369:J369)</f>
        <v>0</v>
      </c>
      <c r="D369" s="1">
        <f>SUM(PL!K369:M369)</f>
        <v>0</v>
      </c>
      <c r="E369" s="1">
        <f>SUM(PL!N369:P369)</f>
        <v>0</v>
      </c>
      <c r="F369" s="1">
        <f>SUM(PL!Q369:S369)</f>
        <v>0</v>
      </c>
      <c r="G369" s="1">
        <f>SUM(PL!T369:V369)</f>
        <v>0</v>
      </c>
      <c r="H369" s="1">
        <f>SUM(C369:G369)</f>
        <v>0</v>
      </c>
      <c r="I369" s="1">
        <f>IF(C369 + I368 &lt; 0, C369 + I368, 0)</f>
        <v>0</v>
      </c>
      <c r="J369" s="1">
        <f>IF(D369 + J368 &lt; 0, D369 + J368, 0)</f>
        <v>0</v>
      </c>
      <c r="K369" s="1">
        <f>IF(E369 + K368 &lt; 0, E369 + K368, 0)</f>
        <v>0</v>
      </c>
      <c r="L369" s="1">
        <f>IF(F369 + L368 &lt; 0, F369 + L368, 0)</f>
        <v>0</v>
      </c>
      <c r="M369" s="1">
        <f>IF(G369 + M368 &lt; 0, G369 + M368, 0)</f>
        <v>0</v>
      </c>
      <c r="N369" s="1">
        <f>IF(H369 + N368 &lt; 0, H369 + N368, 0)</f>
        <v>0</v>
      </c>
      <c r="O369" s="1">
        <f>IF(N369 &lt; 0, 1 + O368, 0)</f>
        <v>0</v>
      </c>
      <c r="P369" s="1">
        <f>C369-((ABS(SUM(PL!H369:J369)))*0.125)</f>
        <v>0</v>
      </c>
      <c r="Q369" s="1">
        <f>D369-((ABS(SUM(PL!K369:M369)))*0.125)</f>
        <v>0</v>
      </c>
      <c r="R369" s="1">
        <f>E369-((ABS(SUM(PL!N369:P369)))*0.125)</f>
        <v>0</v>
      </c>
      <c r="S369" s="1">
        <f>F369-((ABS(SUM(PL!Q369:S369)))*0.125)</f>
        <v>0</v>
      </c>
      <c r="T369" s="1">
        <f>G369-((ABS(SUM(PL!T369:V369)))*0.125)</f>
        <v>0</v>
      </c>
      <c r="U369" s="1">
        <f>P369 + Q369 + R369 + S369 + T369</f>
        <v>0</v>
      </c>
      <c r="V369" s="1">
        <f>IF(P369 + V368 &lt; 0, P369 + V368, 0)</f>
        <v>0</v>
      </c>
      <c r="W369" s="1">
        <f>IF(Q369 + W368 &lt; 0, Q369 + W368, 0)</f>
        <v>0</v>
      </c>
      <c r="X369" s="1">
        <f>IF(R369 + X368 &lt; 0, R369 + X368, 0)</f>
        <v>0</v>
      </c>
      <c r="Y369" s="1">
        <f>IF(S369 + Y368 &lt; 0, S369 + Y368, 0)</f>
        <v>0</v>
      </c>
      <c r="Z369" s="1">
        <f>IF(T369 + Z368 &lt; 0, T369 + Z368, 0)</f>
        <v>0</v>
      </c>
      <c r="AA369" s="1">
        <f>IF(U369 + AA368 &lt; 0, U369 + AA368, 0)</f>
        <v>0</v>
      </c>
      <c r="AB369" s="1">
        <f>IF(AA369 &lt; 0, 1 + AB368, 0)</f>
        <v>0</v>
      </c>
      <c r="AC369" s="1">
        <f>IF(H369&lt;0,1,0)</f>
        <v>0</v>
      </c>
      <c r="AD369" s="1">
        <f>IF(AC369=1,H369,0)</f>
        <v>0</v>
      </c>
      <c r="AE369" s="1">
        <f>IF(H369&gt;0,1,0)</f>
        <v>0</v>
      </c>
      <c r="AF369" s="1">
        <f>IF(AE369=1,H369,0)</f>
        <v>0</v>
      </c>
      <c r="AG369" s="1">
        <f>IF(AD369&lt;-20000000.0/100,1,0)</f>
        <v>0</v>
      </c>
      <c r="AH369" s="1">
        <f>IF(AF369&gt;20000000.0/100,1,0)</f>
        <v>0</v>
      </c>
      <c r="AI369" s="1">
        <f>IF(U369&lt;0,1,0)</f>
        <v>0</v>
      </c>
      <c r="AJ369" s="1">
        <f>IF(AI369=1,U369,0)</f>
        <v>0</v>
      </c>
      <c r="AK369" s="1">
        <f>IF(U369&gt;0,1,0)</f>
        <v>0</v>
      </c>
      <c r="AL369" s="1">
        <f>IF(AK369=1,U369,0)</f>
        <v>0</v>
      </c>
      <c r="AM369" s="1">
        <f>IF(AJ369&lt;-20000000.0/100,1,0)</f>
        <v>0</v>
      </c>
      <c r="AN369" s="1">
        <f>IF(AL369&gt;20000000.0/100,1,0)</f>
        <v>0</v>
      </c>
    </row>
    <row r="370" spans="1:40" s="1" customFormat="1">
      <c r="A370" s="3">
        <v>45838</v>
      </c>
      <c r="B370" s="2" t="s">
        <v>22</v>
      </c>
      <c r="C370" s="1">
        <f>SUM(PL!H370:J370)</f>
        <v>0</v>
      </c>
      <c r="D370" s="1">
        <f>SUM(PL!K370:M370)</f>
        <v>0</v>
      </c>
      <c r="E370" s="1">
        <f>SUM(PL!N370:P370)</f>
        <v>0</v>
      </c>
      <c r="F370" s="1">
        <f>SUM(PL!Q370:S370)</f>
        <v>0</v>
      </c>
      <c r="G370" s="1">
        <f>SUM(PL!T370:V370)</f>
        <v>0</v>
      </c>
      <c r="H370" s="1">
        <f>SUM(C370:G370)</f>
        <v>0</v>
      </c>
      <c r="I370" s="1">
        <f>IF(C370 + I369 &lt; 0, C370 + I369, 0)</f>
        <v>0</v>
      </c>
      <c r="J370" s="1">
        <f>IF(D370 + J369 &lt; 0, D370 + J369, 0)</f>
        <v>0</v>
      </c>
      <c r="K370" s="1">
        <f>IF(E370 + K369 &lt; 0, E370 + K369, 0)</f>
        <v>0</v>
      </c>
      <c r="L370" s="1">
        <f>IF(F370 + L369 &lt; 0, F370 + L369, 0)</f>
        <v>0</v>
      </c>
      <c r="M370" s="1">
        <f>IF(G370 + M369 &lt; 0, G370 + M369, 0)</f>
        <v>0</v>
      </c>
      <c r="N370" s="1">
        <f>IF(H370 + N369 &lt; 0, H370 + N369, 0)</f>
        <v>0</v>
      </c>
      <c r="O370" s="1">
        <f>IF(N370 &lt; 0, 1 + O369, 0)</f>
        <v>0</v>
      </c>
      <c r="P370" s="1">
        <f>C370-((ABS(SUM(PL!H370:J370)))*0.125)</f>
        <v>0</v>
      </c>
      <c r="Q370" s="1">
        <f>D370-((ABS(SUM(PL!K370:M370)))*0.125)</f>
        <v>0</v>
      </c>
      <c r="R370" s="1">
        <f>E370-((ABS(SUM(PL!N370:P370)))*0.125)</f>
        <v>0</v>
      </c>
      <c r="S370" s="1">
        <f>F370-((ABS(SUM(PL!Q370:S370)))*0.125)</f>
        <v>0</v>
      </c>
      <c r="T370" s="1">
        <f>G370-((ABS(SUM(PL!T370:V370)))*0.125)</f>
        <v>0</v>
      </c>
      <c r="U370" s="1">
        <f>P370 + Q370 + R370 + S370 + T370</f>
        <v>0</v>
      </c>
      <c r="V370" s="1">
        <f>IF(P370 + V369 &lt; 0, P370 + V369, 0)</f>
        <v>0</v>
      </c>
      <c r="W370" s="1">
        <f>IF(Q370 + W369 &lt; 0, Q370 + W369, 0)</f>
        <v>0</v>
      </c>
      <c r="X370" s="1">
        <f>IF(R370 + X369 &lt; 0, R370 + X369, 0)</f>
        <v>0</v>
      </c>
      <c r="Y370" s="1">
        <f>IF(S370 + Y369 &lt; 0, S370 + Y369, 0)</f>
        <v>0</v>
      </c>
      <c r="Z370" s="1">
        <f>IF(T370 + Z369 &lt; 0, T370 + Z369, 0)</f>
        <v>0</v>
      </c>
      <c r="AA370" s="1">
        <f>IF(U370 + AA369 &lt; 0, U370 + AA369, 0)</f>
        <v>0</v>
      </c>
      <c r="AB370" s="1">
        <f>IF(AA370 &lt; 0, 1 + AB369, 0)</f>
        <v>0</v>
      </c>
      <c r="AC370" s="1">
        <f>IF(H370&lt;0,1,0)</f>
        <v>0</v>
      </c>
      <c r="AD370" s="1">
        <f>IF(AC370=1,H370,0)</f>
        <v>0</v>
      </c>
      <c r="AE370" s="1">
        <f>IF(H370&gt;0,1,0)</f>
        <v>0</v>
      </c>
      <c r="AF370" s="1">
        <f>IF(AE370=1,H370,0)</f>
        <v>0</v>
      </c>
      <c r="AG370" s="1">
        <f>IF(AD370&lt;-20000000.0/100,1,0)</f>
        <v>0</v>
      </c>
      <c r="AH370" s="1">
        <f>IF(AF370&gt;20000000.0/100,1,0)</f>
        <v>0</v>
      </c>
      <c r="AI370" s="1">
        <f>IF(U370&lt;0,1,0)</f>
        <v>0</v>
      </c>
      <c r="AJ370" s="1">
        <f>IF(AI370=1,U370,0)</f>
        <v>0</v>
      </c>
      <c r="AK370" s="1">
        <f>IF(U370&gt;0,1,0)</f>
        <v>0</v>
      </c>
      <c r="AL370" s="1">
        <f>IF(AK370=1,U370,0)</f>
        <v>0</v>
      </c>
      <c r="AM370" s="1">
        <f>IF(AJ370&lt;-20000000.0/100,1,0)</f>
        <v>0</v>
      </c>
      <c r="AN370" s="1">
        <f>IF(AL370&gt;20000000.0/100,1,0)</f>
        <v>0</v>
      </c>
    </row>
    <row r="371" spans="1:40" s="1" customFormat="1">
      <c r="A371" s="3">
        <v>45839</v>
      </c>
      <c r="B371" s="2" t="s">
        <v>23</v>
      </c>
      <c r="C371" s="1">
        <f>SUM(PL!H371:J371)</f>
        <v>0</v>
      </c>
      <c r="D371" s="1">
        <f>SUM(PL!K371:M371)</f>
        <v>0</v>
      </c>
      <c r="E371" s="1">
        <f>SUM(PL!N371:P371)</f>
        <v>0</v>
      </c>
      <c r="F371" s="1">
        <f>SUM(PL!Q371:S371)</f>
        <v>0</v>
      </c>
      <c r="G371" s="1">
        <f>SUM(PL!T371:V371)</f>
        <v>0</v>
      </c>
      <c r="H371" s="1">
        <f>SUM(C371:G371)</f>
        <v>0</v>
      </c>
      <c r="I371" s="1">
        <f>IF(C371 + I370 &lt; 0, C371 + I370, 0)</f>
        <v>0</v>
      </c>
      <c r="J371" s="1">
        <f>IF(D371 + J370 &lt; 0, D371 + J370, 0)</f>
        <v>0</v>
      </c>
      <c r="K371" s="1">
        <f>IF(E371 + K370 &lt; 0, E371 + K370, 0)</f>
        <v>0</v>
      </c>
      <c r="L371" s="1">
        <f>IF(F371 + L370 &lt; 0, F371 + L370, 0)</f>
        <v>0</v>
      </c>
      <c r="M371" s="1">
        <f>IF(G371 + M370 &lt; 0, G371 + M370, 0)</f>
        <v>0</v>
      </c>
      <c r="N371" s="1">
        <f>IF(H371 + N370 &lt; 0, H371 + N370, 0)</f>
        <v>0</v>
      </c>
      <c r="O371" s="1">
        <f>IF(N371 &lt; 0, 1 + O370, 0)</f>
        <v>0</v>
      </c>
      <c r="P371" s="1">
        <f>C371-((ABS(SUM(PL!H371:J371)))*0.125)</f>
        <v>0</v>
      </c>
      <c r="Q371" s="1">
        <f>D371-((ABS(SUM(PL!K371:M371)))*0.125)</f>
        <v>0</v>
      </c>
      <c r="R371" s="1">
        <f>E371-((ABS(SUM(PL!N371:P371)))*0.125)</f>
        <v>0</v>
      </c>
      <c r="S371" s="1">
        <f>F371-((ABS(SUM(PL!Q371:S371)))*0.125)</f>
        <v>0</v>
      </c>
      <c r="T371" s="1">
        <f>G371-((ABS(SUM(PL!T371:V371)))*0.125)</f>
        <v>0</v>
      </c>
      <c r="U371" s="1">
        <f>P371 + Q371 + R371 + S371 + T371</f>
        <v>0</v>
      </c>
      <c r="V371" s="1">
        <f>IF(P371 + V370 &lt; 0, P371 + V370, 0)</f>
        <v>0</v>
      </c>
      <c r="W371" s="1">
        <f>IF(Q371 + W370 &lt; 0, Q371 + W370, 0)</f>
        <v>0</v>
      </c>
      <c r="X371" s="1">
        <f>IF(R371 + X370 &lt; 0, R371 + X370, 0)</f>
        <v>0</v>
      </c>
      <c r="Y371" s="1">
        <f>IF(S371 + Y370 &lt; 0, S371 + Y370, 0)</f>
        <v>0</v>
      </c>
      <c r="Z371" s="1">
        <f>IF(T371 + Z370 &lt; 0, T371 + Z370, 0)</f>
        <v>0</v>
      </c>
      <c r="AA371" s="1">
        <f>IF(U371 + AA370 &lt; 0, U371 + AA370, 0)</f>
        <v>0</v>
      </c>
      <c r="AB371" s="1">
        <f>IF(AA371 &lt; 0, 1 + AB370, 0)</f>
        <v>0</v>
      </c>
      <c r="AC371" s="1">
        <f>IF(H371&lt;0,1,0)</f>
        <v>0</v>
      </c>
      <c r="AD371" s="1">
        <f>IF(AC371=1,H371,0)</f>
        <v>0</v>
      </c>
      <c r="AE371" s="1">
        <f>IF(H371&gt;0,1,0)</f>
        <v>0</v>
      </c>
      <c r="AF371" s="1">
        <f>IF(AE371=1,H371,0)</f>
        <v>0</v>
      </c>
      <c r="AG371" s="1">
        <f>IF(AD371&lt;-20000000.0/100,1,0)</f>
        <v>0</v>
      </c>
      <c r="AH371" s="1">
        <f>IF(AF371&gt;20000000.0/100,1,0)</f>
        <v>0</v>
      </c>
      <c r="AI371" s="1">
        <f>IF(U371&lt;0,1,0)</f>
        <v>0</v>
      </c>
      <c r="AJ371" s="1">
        <f>IF(AI371=1,U371,0)</f>
        <v>0</v>
      </c>
      <c r="AK371" s="1">
        <f>IF(U371&gt;0,1,0)</f>
        <v>0</v>
      </c>
      <c r="AL371" s="1">
        <f>IF(AK371=1,U371,0)</f>
        <v>0</v>
      </c>
      <c r="AM371" s="1">
        <f>IF(AJ371&lt;-20000000.0/100,1,0)</f>
        <v>0</v>
      </c>
      <c r="AN371" s="1">
        <f>IF(AL371&gt;20000000.0/100,1,0)</f>
        <v>0</v>
      </c>
    </row>
    <row r="372" spans="1:40" s="1" customFormat="1">
      <c r="A372" s="3">
        <v>45840</v>
      </c>
      <c r="B372" s="2" t="s">
        <v>24</v>
      </c>
      <c r="C372" s="1">
        <f>SUM(PL!H372:J372)</f>
        <v>0</v>
      </c>
      <c r="D372" s="1">
        <f>SUM(PL!K372:M372)</f>
        <v>0</v>
      </c>
      <c r="E372" s="1">
        <f>SUM(PL!N372:P372)</f>
        <v>0</v>
      </c>
      <c r="F372" s="1">
        <f>SUM(PL!Q372:S372)</f>
        <v>0</v>
      </c>
      <c r="G372" s="1">
        <f>SUM(PL!T372:V372)</f>
        <v>0</v>
      </c>
      <c r="H372" s="1">
        <f>SUM(C372:G372)</f>
        <v>0</v>
      </c>
      <c r="I372" s="1">
        <f>IF(C372 + I371 &lt; 0, C372 + I371, 0)</f>
        <v>0</v>
      </c>
      <c r="J372" s="1">
        <f>IF(D372 + J371 &lt; 0, D372 + J371, 0)</f>
        <v>0</v>
      </c>
      <c r="K372" s="1">
        <f>IF(E372 + K371 &lt; 0, E372 + K371, 0)</f>
        <v>0</v>
      </c>
      <c r="L372" s="1">
        <f>IF(F372 + L371 &lt; 0, F372 + L371, 0)</f>
        <v>0</v>
      </c>
      <c r="M372" s="1">
        <f>IF(G372 + M371 &lt; 0, G372 + M371, 0)</f>
        <v>0</v>
      </c>
      <c r="N372" s="1">
        <f>IF(H372 + N371 &lt; 0, H372 + N371, 0)</f>
        <v>0</v>
      </c>
      <c r="O372" s="1">
        <f>IF(N372 &lt; 0, 1 + O371, 0)</f>
        <v>0</v>
      </c>
      <c r="P372" s="1">
        <f>C372-((ABS(SUM(PL!H372:J372)))*0.125)</f>
        <v>0</v>
      </c>
      <c r="Q372" s="1">
        <f>D372-((ABS(SUM(PL!K372:M372)))*0.125)</f>
        <v>0</v>
      </c>
      <c r="R372" s="1">
        <f>E372-((ABS(SUM(PL!N372:P372)))*0.125)</f>
        <v>0</v>
      </c>
      <c r="S372" s="1">
        <f>F372-((ABS(SUM(PL!Q372:S372)))*0.125)</f>
        <v>0</v>
      </c>
      <c r="T372" s="1">
        <f>G372-((ABS(SUM(PL!T372:V372)))*0.125)</f>
        <v>0</v>
      </c>
      <c r="U372" s="1">
        <f>P372 + Q372 + R372 + S372 + T372</f>
        <v>0</v>
      </c>
      <c r="V372" s="1">
        <f>IF(P372 + V371 &lt; 0, P372 + V371, 0)</f>
        <v>0</v>
      </c>
      <c r="W372" s="1">
        <f>IF(Q372 + W371 &lt; 0, Q372 + W371, 0)</f>
        <v>0</v>
      </c>
      <c r="X372" s="1">
        <f>IF(R372 + X371 &lt; 0, R372 + X371, 0)</f>
        <v>0</v>
      </c>
      <c r="Y372" s="1">
        <f>IF(S372 + Y371 &lt; 0, S372 + Y371, 0)</f>
        <v>0</v>
      </c>
      <c r="Z372" s="1">
        <f>IF(T372 + Z371 &lt; 0, T372 + Z371, 0)</f>
        <v>0</v>
      </c>
      <c r="AA372" s="1">
        <f>IF(U372 + AA371 &lt; 0, U372 + AA371, 0)</f>
        <v>0</v>
      </c>
      <c r="AB372" s="1">
        <f>IF(AA372 &lt; 0, 1 + AB371, 0)</f>
        <v>0</v>
      </c>
      <c r="AC372" s="1">
        <f>IF(H372&lt;0,1,0)</f>
        <v>0</v>
      </c>
      <c r="AD372" s="1">
        <f>IF(AC372=1,H372,0)</f>
        <v>0</v>
      </c>
      <c r="AE372" s="1">
        <f>IF(H372&gt;0,1,0)</f>
        <v>0</v>
      </c>
      <c r="AF372" s="1">
        <f>IF(AE372=1,H372,0)</f>
        <v>0</v>
      </c>
      <c r="AG372" s="1">
        <f>IF(AD372&lt;-20000000.0/100,1,0)</f>
        <v>0</v>
      </c>
      <c r="AH372" s="1">
        <f>IF(AF372&gt;20000000.0/100,1,0)</f>
        <v>0</v>
      </c>
      <c r="AI372" s="1">
        <f>IF(U372&lt;0,1,0)</f>
        <v>0</v>
      </c>
      <c r="AJ372" s="1">
        <f>IF(AI372=1,U372,0)</f>
        <v>0</v>
      </c>
      <c r="AK372" s="1">
        <f>IF(U372&gt;0,1,0)</f>
        <v>0</v>
      </c>
      <c r="AL372" s="1">
        <f>IF(AK372=1,U372,0)</f>
        <v>0</v>
      </c>
      <c r="AM372" s="1">
        <f>IF(AJ372&lt;-20000000.0/100,1,0)</f>
        <v>0</v>
      </c>
      <c r="AN372" s="1">
        <f>IF(AL372&gt;20000000.0/100,1,0)</f>
        <v>0</v>
      </c>
    </row>
    <row r="373" spans="1:40" s="1" customFormat="1">
      <c r="A373" s="3">
        <v>45841</v>
      </c>
      <c r="B373" s="2" t="s">
        <v>25</v>
      </c>
      <c r="C373" s="1">
        <f>SUM(PL!H373:J373)</f>
        <v>0</v>
      </c>
      <c r="D373" s="1">
        <f>SUM(PL!K373:M373)</f>
        <v>0</v>
      </c>
      <c r="E373" s="1">
        <f>SUM(PL!N373:P373)</f>
        <v>0</v>
      </c>
      <c r="F373" s="1">
        <f>SUM(PL!Q373:S373)</f>
        <v>0</v>
      </c>
      <c r="G373" s="1">
        <f>SUM(PL!T373:V373)</f>
        <v>0</v>
      </c>
      <c r="H373" s="1">
        <f>SUM(C373:G373)</f>
        <v>0</v>
      </c>
      <c r="I373" s="1">
        <f>IF(C373 + I372 &lt; 0, C373 + I372, 0)</f>
        <v>0</v>
      </c>
      <c r="J373" s="1">
        <f>IF(D373 + J372 &lt; 0, D373 + J372, 0)</f>
        <v>0</v>
      </c>
      <c r="K373" s="1">
        <f>IF(E373 + K372 &lt; 0, E373 + K372, 0)</f>
        <v>0</v>
      </c>
      <c r="L373" s="1">
        <f>IF(F373 + L372 &lt; 0, F373 + L372, 0)</f>
        <v>0</v>
      </c>
      <c r="M373" s="1">
        <f>IF(G373 + M372 &lt; 0, G373 + M372, 0)</f>
        <v>0</v>
      </c>
      <c r="N373" s="1">
        <f>IF(H373 + N372 &lt; 0, H373 + N372, 0)</f>
        <v>0</v>
      </c>
      <c r="O373" s="1">
        <f>IF(N373 &lt; 0, 1 + O372, 0)</f>
        <v>0</v>
      </c>
      <c r="P373" s="1">
        <f>C373-((ABS(SUM(PL!H373:J373)))*0.125)</f>
        <v>0</v>
      </c>
      <c r="Q373" s="1">
        <f>D373-((ABS(SUM(PL!K373:M373)))*0.125)</f>
        <v>0</v>
      </c>
      <c r="R373" s="1">
        <f>E373-((ABS(SUM(PL!N373:P373)))*0.125)</f>
        <v>0</v>
      </c>
      <c r="S373" s="1">
        <f>F373-((ABS(SUM(PL!Q373:S373)))*0.125)</f>
        <v>0</v>
      </c>
      <c r="T373" s="1">
        <f>G373-((ABS(SUM(PL!T373:V373)))*0.125)</f>
        <v>0</v>
      </c>
      <c r="U373" s="1">
        <f>P373 + Q373 + R373 + S373 + T373</f>
        <v>0</v>
      </c>
      <c r="V373" s="1">
        <f>IF(P373 + V372 &lt; 0, P373 + V372, 0)</f>
        <v>0</v>
      </c>
      <c r="W373" s="1">
        <f>IF(Q373 + W372 &lt; 0, Q373 + W372, 0)</f>
        <v>0</v>
      </c>
      <c r="X373" s="1">
        <f>IF(R373 + X372 &lt; 0, R373 + X372, 0)</f>
        <v>0</v>
      </c>
      <c r="Y373" s="1">
        <f>IF(S373 + Y372 &lt; 0, S373 + Y372, 0)</f>
        <v>0</v>
      </c>
      <c r="Z373" s="1">
        <f>IF(T373 + Z372 &lt; 0, T373 + Z372, 0)</f>
        <v>0</v>
      </c>
      <c r="AA373" s="1">
        <f>IF(U373 + AA372 &lt; 0, U373 + AA372, 0)</f>
        <v>0</v>
      </c>
      <c r="AB373" s="1">
        <f>IF(AA373 &lt; 0, 1 + AB372, 0)</f>
        <v>0</v>
      </c>
      <c r="AC373" s="1">
        <f>IF(H373&lt;0,1,0)</f>
        <v>0</v>
      </c>
      <c r="AD373" s="1">
        <f>IF(AC373=1,H373,0)</f>
        <v>0</v>
      </c>
      <c r="AE373" s="1">
        <f>IF(H373&gt;0,1,0)</f>
        <v>0</v>
      </c>
      <c r="AF373" s="1">
        <f>IF(AE373=1,H373,0)</f>
        <v>0</v>
      </c>
      <c r="AG373" s="1">
        <f>IF(AD373&lt;-20000000.0/100,1,0)</f>
        <v>0</v>
      </c>
      <c r="AH373" s="1">
        <f>IF(AF373&gt;20000000.0/100,1,0)</f>
        <v>0</v>
      </c>
      <c r="AI373" s="1">
        <f>IF(U373&lt;0,1,0)</f>
        <v>0</v>
      </c>
      <c r="AJ373" s="1">
        <f>IF(AI373=1,U373,0)</f>
        <v>0</v>
      </c>
      <c r="AK373" s="1">
        <f>IF(U373&gt;0,1,0)</f>
        <v>0</v>
      </c>
      <c r="AL373" s="1">
        <f>IF(AK373=1,U373,0)</f>
        <v>0</v>
      </c>
      <c r="AM373" s="1">
        <f>IF(AJ373&lt;-20000000.0/100,1,0)</f>
        <v>0</v>
      </c>
      <c r="AN373" s="1">
        <f>IF(AL373&gt;20000000.0/100,1,0)</f>
        <v>0</v>
      </c>
    </row>
    <row r="374" spans="1:40" s="1" customFormat="1">
      <c r="A374" s="3">
        <v>45842</v>
      </c>
      <c r="B374" s="2" t="s">
        <v>26</v>
      </c>
      <c r="C374" s="1">
        <f>SUM(PL!H374:J374)</f>
        <v>0</v>
      </c>
      <c r="D374" s="1">
        <f>SUM(PL!K374:M374)</f>
        <v>0</v>
      </c>
      <c r="E374" s="1">
        <f>SUM(PL!N374:P374)</f>
        <v>0</v>
      </c>
      <c r="F374" s="1">
        <f>SUM(PL!Q374:S374)</f>
        <v>0</v>
      </c>
      <c r="G374" s="1">
        <f>SUM(PL!T374:V374)</f>
        <v>0</v>
      </c>
      <c r="H374" s="1">
        <f>SUM(C374:G374)</f>
        <v>0</v>
      </c>
      <c r="I374" s="1">
        <f>IF(C374 + I373 &lt; 0, C374 + I373, 0)</f>
        <v>0</v>
      </c>
      <c r="J374" s="1">
        <f>IF(D374 + J373 &lt; 0, D374 + J373, 0)</f>
        <v>0</v>
      </c>
      <c r="K374" s="1">
        <f>IF(E374 + K373 &lt; 0, E374 + K373, 0)</f>
        <v>0</v>
      </c>
      <c r="L374" s="1">
        <f>IF(F374 + L373 &lt; 0, F374 + L373, 0)</f>
        <v>0</v>
      </c>
      <c r="M374" s="1">
        <f>IF(G374 + M373 &lt; 0, G374 + M373, 0)</f>
        <v>0</v>
      </c>
      <c r="N374" s="1">
        <f>IF(H374 + N373 &lt; 0, H374 + N373, 0)</f>
        <v>0</v>
      </c>
      <c r="O374" s="1">
        <f>IF(N374 &lt; 0, 1 + O373, 0)</f>
        <v>0</v>
      </c>
      <c r="P374" s="1">
        <f>C374-((ABS(SUM(PL!H374:J374)))*0.125)</f>
        <v>0</v>
      </c>
      <c r="Q374" s="1">
        <f>D374-((ABS(SUM(PL!K374:M374)))*0.125)</f>
        <v>0</v>
      </c>
      <c r="R374" s="1">
        <f>E374-((ABS(SUM(PL!N374:P374)))*0.125)</f>
        <v>0</v>
      </c>
      <c r="S374" s="1">
        <f>F374-((ABS(SUM(PL!Q374:S374)))*0.125)</f>
        <v>0</v>
      </c>
      <c r="T374" s="1">
        <f>G374-((ABS(SUM(PL!T374:V374)))*0.125)</f>
        <v>0</v>
      </c>
      <c r="U374" s="1">
        <f>P374 + Q374 + R374 + S374 + T374</f>
        <v>0</v>
      </c>
      <c r="V374" s="1">
        <f>IF(P374 + V373 &lt; 0, P374 + V373, 0)</f>
        <v>0</v>
      </c>
      <c r="W374" s="1">
        <f>IF(Q374 + W373 &lt; 0, Q374 + W373, 0)</f>
        <v>0</v>
      </c>
      <c r="X374" s="1">
        <f>IF(R374 + X373 &lt; 0, R374 + X373, 0)</f>
        <v>0</v>
      </c>
      <c r="Y374" s="1">
        <f>IF(S374 + Y373 &lt; 0, S374 + Y373, 0)</f>
        <v>0</v>
      </c>
      <c r="Z374" s="1">
        <f>IF(T374 + Z373 &lt; 0, T374 + Z373, 0)</f>
        <v>0</v>
      </c>
      <c r="AA374" s="1">
        <f>IF(U374 + AA373 &lt; 0, U374 + AA373, 0)</f>
        <v>0</v>
      </c>
      <c r="AB374" s="1">
        <f>IF(AA374 &lt; 0, 1 + AB373, 0)</f>
        <v>0</v>
      </c>
      <c r="AC374" s="1">
        <f>IF(H374&lt;0,1,0)</f>
        <v>0</v>
      </c>
      <c r="AD374" s="1">
        <f>IF(AC374=1,H374,0)</f>
        <v>0</v>
      </c>
      <c r="AE374" s="1">
        <f>IF(H374&gt;0,1,0)</f>
        <v>0</v>
      </c>
      <c r="AF374" s="1">
        <f>IF(AE374=1,H374,0)</f>
        <v>0</v>
      </c>
      <c r="AG374" s="1">
        <f>IF(AD374&lt;-20000000.0/100,1,0)</f>
        <v>0</v>
      </c>
      <c r="AH374" s="1">
        <f>IF(AF374&gt;20000000.0/100,1,0)</f>
        <v>0</v>
      </c>
      <c r="AI374" s="1">
        <f>IF(U374&lt;0,1,0)</f>
        <v>0</v>
      </c>
      <c r="AJ374" s="1">
        <f>IF(AI374=1,U374,0)</f>
        <v>0</v>
      </c>
      <c r="AK374" s="1">
        <f>IF(U374&gt;0,1,0)</f>
        <v>0</v>
      </c>
      <c r="AL374" s="1">
        <f>IF(AK374=1,U374,0)</f>
        <v>0</v>
      </c>
      <c r="AM374" s="1">
        <f>IF(AJ374&lt;-20000000.0/100,1,0)</f>
        <v>0</v>
      </c>
      <c r="AN374" s="1">
        <f>IF(AL374&gt;20000000.0/100,1,0)</f>
        <v>0</v>
      </c>
    </row>
    <row r="375" spans="1:40" s="1" customFormat="1">
      <c r="A375" s="3">
        <v>45845</v>
      </c>
      <c r="B375" s="2" t="s">
        <v>22</v>
      </c>
      <c r="C375" s="1">
        <f>SUM(PL!H375:J375)</f>
        <v>0</v>
      </c>
      <c r="D375" s="1">
        <f>SUM(PL!K375:M375)</f>
        <v>0</v>
      </c>
      <c r="E375" s="1">
        <f>SUM(PL!N375:P375)</f>
        <v>0</v>
      </c>
      <c r="F375" s="1">
        <f>SUM(PL!Q375:S375)</f>
        <v>0</v>
      </c>
      <c r="G375" s="1">
        <f>SUM(PL!T375:V375)</f>
        <v>0</v>
      </c>
      <c r="H375" s="1">
        <f>SUM(C375:G375)</f>
        <v>0</v>
      </c>
      <c r="I375" s="1">
        <f>IF(C375 + I374 &lt; 0, C375 + I374, 0)</f>
        <v>0</v>
      </c>
      <c r="J375" s="1">
        <f>IF(D375 + J374 &lt; 0, D375 + J374, 0)</f>
        <v>0</v>
      </c>
      <c r="K375" s="1">
        <f>IF(E375 + K374 &lt; 0, E375 + K374, 0)</f>
        <v>0</v>
      </c>
      <c r="L375" s="1">
        <f>IF(F375 + L374 &lt; 0, F375 + L374, 0)</f>
        <v>0</v>
      </c>
      <c r="M375" s="1">
        <f>IF(G375 + M374 &lt; 0, G375 + M374, 0)</f>
        <v>0</v>
      </c>
      <c r="N375" s="1">
        <f>IF(H375 + N374 &lt; 0, H375 + N374, 0)</f>
        <v>0</v>
      </c>
      <c r="O375" s="1">
        <f>IF(N375 &lt; 0, 1 + O374, 0)</f>
        <v>0</v>
      </c>
      <c r="P375" s="1">
        <f>C375-((ABS(SUM(PL!H375:J375)))*0.125)</f>
        <v>0</v>
      </c>
      <c r="Q375" s="1">
        <f>D375-((ABS(SUM(PL!K375:M375)))*0.125)</f>
        <v>0</v>
      </c>
      <c r="R375" s="1">
        <f>E375-((ABS(SUM(PL!N375:P375)))*0.125)</f>
        <v>0</v>
      </c>
      <c r="S375" s="1">
        <f>F375-((ABS(SUM(PL!Q375:S375)))*0.125)</f>
        <v>0</v>
      </c>
      <c r="T375" s="1">
        <f>G375-((ABS(SUM(PL!T375:V375)))*0.125)</f>
        <v>0</v>
      </c>
      <c r="U375" s="1">
        <f>P375 + Q375 + R375 + S375 + T375</f>
        <v>0</v>
      </c>
      <c r="V375" s="1">
        <f>IF(P375 + V374 &lt; 0, P375 + V374, 0)</f>
        <v>0</v>
      </c>
      <c r="W375" s="1">
        <f>IF(Q375 + W374 &lt; 0, Q375 + W374, 0)</f>
        <v>0</v>
      </c>
      <c r="X375" s="1">
        <f>IF(R375 + X374 &lt; 0, R375 + X374, 0)</f>
        <v>0</v>
      </c>
      <c r="Y375" s="1">
        <f>IF(S375 + Y374 &lt; 0, S375 + Y374, 0)</f>
        <v>0</v>
      </c>
      <c r="Z375" s="1">
        <f>IF(T375 + Z374 &lt; 0, T375 + Z374, 0)</f>
        <v>0</v>
      </c>
      <c r="AA375" s="1">
        <f>IF(U375 + AA374 &lt; 0, U375 + AA374, 0)</f>
        <v>0</v>
      </c>
      <c r="AB375" s="1">
        <f>IF(AA375 &lt; 0, 1 + AB374, 0)</f>
        <v>0</v>
      </c>
      <c r="AC375" s="1">
        <f>IF(H375&lt;0,1,0)</f>
        <v>0</v>
      </c>
      <c r="AD375" s="1">
        <f>IF(AC375=1,H375,0)</f>
        <v>0</v>
      </c>
      <c r="AE375" s="1">
        <f>IF(H375&gt;0,1,0)</f>
        <v>0</v>
      </c>
      <c r="AF375" s="1">
        <f>IF(AE375=1,H375,0)</f>
        <v>0</v>
      </c>
      <c r="AG375" s="1">
        <f>IF(AD375&lt;-20000000.0/100,1,0)</f>
        <v>0</v>
      </c>
      <c r="AH375" s="1">
        <f>IF(AF375&gt;20000000.0/100,1,0)</f>
        <v>0</v>
      </c>
      <c r="AI375" s="1">
        <f>IF(U375&lt;0,1,0)</f>
        <v>0</v>
      </c>
      <c r="AJ375" s="1">
        <f>IF(AI375=1,U375,0)</f>
        <v>0</v>
      </c>
      <c r="AK375" s="1">
        <f>IF(U375&gt;0,1,0)</f>
        <v>0</v>
      </c>
      <c r="AL375" s="1">
        <f>IF(AK375=1,U375,0)</f>
        <v>0</v>
      </c>
      <c r="AM375" s="1">
        <f>IF(AJ375&lt;-20000000.0/100,1,0)</f>
        <v>0</v>
      </c>
      <c r="AN375" s="1">
        <f>IF(AL375&gt;20000000.0/100,1,0)</f>
        <v>0</v>
      </c>
    </row>
    <row r="376" spans="1:40" s="1" customFormat="1">
      <c r="A376" s="3">
        <v>45846</v>
      </c>
      <c r="B376" s="2" t="s">
        <v>23</v>
      </c>
      <c r="C376" s="1">
        <f>SUM(PL!H376:J376)</f>
        <v>0</v>
      </c>
      <c r="D376" s="1">
        <f>SUM(PL!K376:M376)</f>
        <v>0</v>
      </c>
      <c r="E376" s="1">
        <f>SUM(PL!N376:P376)</f>
        <v>0</v>
      </c>
      <c r="F376" s="1">
        <f>SUM(PL!Q376:S376)</f>
        <v>0</v>
      </c>
      <c r="G376" s="1">
        <f>SUM(PL!T376:V376)</f>
        <v>0</v>
      </c>
      <c r="H376" s="1">
        <f>SUM(C376:G376)</f>
        <v>0</v>
      </c>
      <c r="I376" s="1">
        <f>IF(C376 + I375 &lt; 0, C376 + I375, 0)</f>
        <v>0</v>
      </c>
      <c r="J376" s="1">
        <f>IF(D376 + J375 &lt; 0, D376 + J375, 0)</f>
        <v>0</v>
      </c>
      <c r="K376" s="1">
        <f>IF(E376 + K375 &lt; 0, E376 + K375, 0)</f>
        <v>0</v>
      </c>
      <c r="L376" s="1">
        <f>IF(F376 + L375 &lt; 0, F376 + L375, 0)</f>
        <v>0</v>
      </c>
      <c r="M376" s="1">
        <f>IF(G376 + M375 &lt; 0, G376 + M375, 0)</f>
        <v>0</v>
      </c>
      <c r="N376" s="1">
        <f>IF(H376 + N375 &lt; 0, H376 + N375, 0)</f>
        <v>0</v>
      </c>
      <c r="O376" s="1">
        <f>IF(N376 &lt; 0, 1 + O375, 0)</f>
        <v>0</v>
      </c>
      <c r="P376" s="1">
        <f>C376-((ABS(SUM(PL!H376:J376)))*0.125)</f>
        <v>0</v>
      </c>
      <c r="Q376" s="1">
        <f>D376-((ABS(SUM(PL!K376:M376)))*0.125)</f>
        <v>0</v>
      </c>
      <c r="R376" s="1">
        <f>E376-((ABS(SUM(PL!N376:P376)))*0.125)</f>
        <v>0</v>
      </c>
      <c r="S376" s="1">
        <f>F376-((ABS(SUM(PL!Q376:S376)))*0.125)</f>
        <v>0</v>
      </c>
      <c r="T376" s="1">
        <f>G376-((ABS(SUM(PL!T376:V376)))*0.125)</f>
        <v>0</v>
      </c>
      <c r="U376" s="1">
        <f>P376 + Q376 + R376 + S376 + T376</f>
        <v>0</v>
      </c>
      <c r="V376" s="1">
        <f>IF(P376 + V375 &lt; 0, P376 + V375, 0)</f>
        <v>0</v>
      </c>
      <c r="W376" s="1">
        <f>IF(Q376 + W375 &lt; 0, Q376 + W375, 0)</f>
        <v>0</v>
      </c>
      <c r="X376" s="1">
        <f>IF(R376 + X375 &lt; 0, R376 + X375, 0)</f>
        <v>0</v>
      </c>
      <c r="Y376" s="1">
        <f>IF(S376 + Y375 &lt; 0, S376 + Y375, 0)</f>
        <v>0</v>
      </c>
      <c r="Z376" s="1">
        <f>IF(T376 + Z375 &lt; 0, T376 + Z375, 0)</f>
        <v>0</v>
      </c>
      <c r="AA376" s="1">
        <f>IF(U376 + AA375 &lt; 0, U376 + AA375, 0)</f>
        <v>0</v>
      </c>
      <c r="AB376" s="1">
        <f>IF(AA376 &lt; 0, 1 + AB375, 0)</f>
        <v>0</v>
      </c>
      <c r="AC376" s="1">
        <f>IF(H376&lt;0,1,0)</f>
        <v>0</v>
      </c>
      <c r="AD376" s="1">
        <f>IF(AC376=1,H376,0)</f>
        <v>0</v>
      </c>
      <c r="AE376" s="1">
        <f>IF(H376&gt;0,1,0)</f>
        <v>0</v>
      </c>
      <c r="AF376" s="1">
        <f>IF(AE376=1,H376,0)</f>
        <v>0</v>
      </c>
      <c r="AG376" s="1">
        <f>IF(AD376&lt;-20000000.0/100,1,0)</f>
        <v>0</v>
      </c>
      <c r="AH376" s="1">
        <f>IF(AF376&gt;20000000.0/100,1,0)</f>
        <v>0</v>
      </c>
      <c r="AI376" s="1">
        <f>IF(U376&lt;0,1,0)</f>
        <v>0</v>
      </c>
      <c r="AJ376" s="1">
        <f>IF(AI376=1,U376,0)</f>
        <v>0</v>
      </c>
      <c r="AK376" s="1">
        <f>IF(U376&gt;0,1,0)</f>
        <v>0</v>
      </c>
      <c r="AL376" s="1">
        <f>IF(AK376=1,U376,0)</f>
        <v>0</v>
      </c>
      <c r="AM376" s="1">
        <f>IF(AJ376&lt;-20000000.0/100,1,0)</f>
        <v>0</v>
      </c>
      <c r="AN376" s="1">
        <f>IF(AL376&gt;20000000.0/100,1,0)</f>
        <v>0</v>
      </c>
    </row>
    <row r="377" spans="1:40" s="1" customFormat="1">
      <c r="A377" s="3">
        <v>45847</v>
      </c>
      <c r="B377" s="2" t="s">
        <v>24</v>
      </c>
      <c r="C377" s="1">
        <f>SUM(PL!H377:J377)</f>
        <v>0</v>
      </c>
      <c r="D377" s="1">
        <f>SUM(PL!K377:M377)</f>
        <v>0</v>
      </c>
      <c r="E377" s="1">
        <f>SUM(PL!N377:P377)</f>
        <v>0</v>
      </c>
      <c r="F377" s="1">
        <f>SUM(PL!Q377:S377)</f>
        <v>0</v>
      </c>
      <c r="G377" s="1">
        <f>SUM(PL!T377:V377)</f>
        <v>0</v>
      </c>
      <c r="H377" s="1">
        <f>SUM(C377:G377)</f>
        <v>0</v>
      </c>
      <c r="I377" s="1">
        <f>IF(C377 + I376 &lt; 0, C377 + I376, 0)</f>
        <v>0</v>
      </c>
      <c r="J377" s="1">
        <f>IF(D377 + J376 &lt; 0, D377 + J376, 0)</f>
        <v>0</v>
      </c>
      <c r="K377" s="1">
        <f>IF(E377 + K376 &lt; 0, E377 + K376, 0)</f>
        <v>0</v>
      </c>
      <c r="L377" s="1">
        <f>IF(F377 + L376 &lt; 0, F377 + L376, 0)</f>
        <v>0</v>
      </c>
      <c r="M377" s="1">
        <f>IF(G377 + M376 &lt; 0, G377 + M376, 0)</f>
        <v>0</v>
      </c>
      <c r="N377" s="1">
        <f>IF(H377 + N376 &lt; 0, H377 + N376, 0)</f>
        <v>0</v>
      </c>
      <c r="O377" s="1">
        <f>IF(N377 &lt; 0, 1 + O376, 0)</f>
        <v>0</v>
      </c>
      <c r="P377" s="1">
        <f>C377-((ABS(SUM(PL!H377:J377)))*0.125)</f>
        <v>0</v>
      </c>
      <c r="Q377" s="1">
        <f>D377-((ABS(SUM(PL!K377:M377)))*0.125)</f>
        <v>0</v>
      </c>
      <c r="R377" s="1">
        <f>E377-((ABS(SUM(PL!N377:P377)))*0.125)</f>
        <v>0</v>
      </c>
      <c r="S377" s="1">
        <f>F377-((ABS(SUM(PL!Q377:S377)))*0.125)</f>
        <v>0</v>
      </c>
      <c r="T377" s="1">
        <f>G377-((ABS(SUM(PL!T377:V377)))*0.125)</f>
        <v>0</v>
      </c>
      <c r="U377" s="1">
        <f>P377 + Q377 + R377 + S377 + T377</f>
        <v>0</v>
      </c>
      <c r="V377" s="1">
        <f>IF(P377 + V376 &lt; 0, P377 + V376, 0)</f>
        <v>0</v>
      </c>
      <c r="W377" s="1">
        <f>IF(Q377 + W376 &lt; 0, Q377 + W376, 0)</f>
        <v>0</v>
      </c>
      <c r="X377" s="1">
        <f>IF(R377 + X376 &lt; 0, R377 + X376, 0)</f>
        <v>0</v>
      </c>
      <c r="Y377" s="1">
        <f>IF(S377 + Y376 &lt; 0, S377 + Y376, 0)</f>
        <v>0</v>
      </c>
      <c r="Z377" s="1">
        <f>IF(T377 + Z376 &lt; 0, T377 + Z376, 0)</f>
        <v>0</v>
      </c>
      <c r="AA377" s="1">
        <f>IF(U377 + AA376 &lt; 0, U377 + AA376, 0)</f>
        <v>0</v>
      </c>
      <c r="AB377" s="1">
        <f>IF(AA377 &lt; 0, 1 + AB376, 0)</f>
        <v>0</v>
      </c>
      <c r="AC377" s="1">
        <f>IF(H377&lt;0,1,0)</f>
        <v>0</v>
      </c>
      <c r="AD377" s="1">
        <f>IF(AC377=1,H377,0)</f>
        <v>0</v>
      </c>
      <c r="AE377" s="1">
        <f>IF(H377&gt;0,1,0)</f>
        <v>0</v>
      </c>
      <c r="AF377" s="1">
        <f>IF(AE377=1,H377,0)</f>
        <v>0</v>
      </c>
      <c r="AG377" s="1">
        <f>IF(AD377&lt;-20000000.0/100,1,0)</f>
        <v>0</v>
      </c>
      <c r="AH377" s="1">
        <f>IF(AF377&gt;20000000.0/100,1,0)</f>
        <v>0</v>
      </c>
      <c r="AI377" s="1">
        <f>IF(U377&lt;0,1,0)</f>
        <v>0</v>
      </c>
      <c r="AJ377" s="1">
        <f>IF(AI377=1,U377,0)</f>
        <v>0</v>
      </c>
      <c r="AK377" s="1">
        <f>IF(U377&gt;0,1,0)</f>
        <v>0</v>
      </c>
      <c r="AL377" s="1">
        <f>IF(AK377=1,U377,0)</f>
        <v>0</v>
      </c>
      <c r="AM377" s="1">
        <f>IF(AJ377&lt;-20000000.0/100,1,0)</f>
        <v>0</v>
      </c>
      <c r="AN377" s="1">
        <f>IF(AL377&gt;20000000.0/100,1,0)</f>
        <v>0</v>
      </c>
    </row>
    <row r="378" spans="1:40" s="1" customFormat="1">
      <c r="A378" s="3">
        <v>45848</v>
      </c>
      <c r="B378" s="2" t="s">
        <v>25</v>
      </c>
      <c r="C378" s="1">
        <f>SUM(PL!H378:J378)</f>
        <v>0</v>
      </c>
      <c r="D378" s="1">
        <f>SUM(PL!K378:M378)</f>
        <v>0</v>
      </c>
      <c r="E378" s="1">
        <f>SUM(PL!N378:P378)</f>
        <v>0</v>
      </c>
      <c r="F378" s="1">
        <f>SUM(PL!Q378:S378)</f>
        <v>0</v>
      </c>
      <c r="G378" s="1">
        <f>SUM(PL!T378:V378)</f>
        <v>0</v>
      </c>
      <c r="H378" s="1">
        <f>SUM(C378:G378)</f>
        <v>0</v>
      </c>
      <c r="I378" s="1">
        <f>IF(C378 + I377 &lt; 0, C378 + I377, 0)</f>
        <v>0</v>
      </c>
      <c r="J378" s="1">
        <f>IF(D378 + J377 &lt; 0, D378 + J377, 0)</f>
        <v>0</v>
      </c>
      <c r="K378" s="1">
        <f>IF(E378 + K377 &lt; 0, E378 + K377, 0)</f>
        <v>0</v>
      </c>
      <c r="L378" s="1">
        <f>IF(F378 + L377 &lt; 0, F378 + L377, 0)</f>
        <v>0</v>
      </c>
      <c r="M378" s="1">
        <f>IF(G378 + M377 &lt; 0, G378 + M377, 0)</f>
        <v>0</v>
      </c>
      <c r="N378" s="1">
        <f>IF(H378 + N377 &lt; 0, H378 + N377, 0)</f>
        <v>0</v>
      </c>
      <c r="O378" s="1">
        <f>IF(N378 &lt; 0, 1 + O377, 0)</f>
        <v>0</v>
      </c>
      <c r="P378" s="1">
        <f>C378-((ABS(SUM(PL!H378:J378)))*0.125)</f>
        <v>0</v>
      </c>
      <c r="Q378" s="1">
        <f>D378-((ABS(SUM(PL!K378:M378)))*0.125)</f>
        <v>0</v>
      </c>
      <c r="R378" s="1">
        <f>E378-((ABS(SUM(PL!N378:P378)))*0.125)</f>
        <v>0</v>
      </c>
      <c r="S378" s="1">
        <f>F378-((ABS(SUM(PL!Q378:S378)))*0.125)</f>
        <v>0</v>
      </c>
      <c r="T378" s="1">
        <f>G378-((ABS(SUM(PL!T378:V378)))*0.125)</f>
        <v>0</v>
      </c>
      <c r="U378" s="1">
        <f>P378 + Q378 + R378 + S378 + T378</f>
        <v>0</v>
      </c>
      <c r="V378" s="1">
        <f>IF(P378 + V377 &lt; 0, P378 + V377, 0)</f>
        <v>0</v>
      </c>
      <c r="W378" s="1">
        <f>IF(Q378 + W377 &lt; 0, Q378 + W377, 0)</f>
        <v>0</v>
      </c>
      <c r="X378" s="1">
        <f>IF(R378 + X377 &lt; 0, R378 + X377, 0)</f>
        <v>0</v>
      </c>
      <c r="Y378" s="1">
        <f>IF(S378 + Y377 &lt; 0, S378 + Y377, 0)</f>
        <v>0</v>
      </c>
      <c r="Z378" s="1">
        <f>IF(T378 + Z377 &lt; 0, T378 + Z377, 0)</f>
        <v>0</v>
      </c>
      <c r="AA378" s="1">
        <f>IF(U378 + AA377 &lt; 0, U378 + AA377, 0)</f>
        <v>0</v>
      </c>
      <c r="AB378" s="1">
        <f>IF(AA378 &lt; 0, 1 + AB377, 0)</f>
        <v>0</v>
      </c>
      <c r="AC378" s="1">
        <f>IF(H378&lt;0,1,0)</f>
        <v>0</v>
      </c>
      <c r="AD378" s="1">
        <f>IF(AC378=1,H378,0)</f>
        <v>0</v>
      </c>
      <c r="AE378" s="1">
        <f>IF(H378&gt;0,1,0)</f>
        <v>0</v>
      </c>
      <c r="AF378" s="1">
        <f>IF(AE378=1,H378,0)</f>
        <v>0</v>
      </c>
      <c r="AG378" s="1">
        <f>IF(AD378&lt;-20000000.0/100,1,0)</f>
        <v>0</v>
      </c>
      <c r="AH378" s="1">
        <f>IF(AF378&gt;20000000.0/100,1,0)</f>
        <v>0</v>
      </c>
      <c r="AI378" s="1">
        <f>IF(U378&lt;0,1,0)</f>
        <v>0</v>
      </c>
      <c r="AJ378" s="1">
        <f>IF(AI378=1,U378,0)</f>
        <v>0</v>
      </c>
      <c r="AK378" s="1">
        <f>IF(U378&gt;0,1,0)</f>
        <v>0</v>
      </c>
      <c r="AL378" s="1">
        <f>IF(AK378=1,U378,0)</f>
        <v>0</v>
      </c>
      <c r="AM378" s="1">
        <f>IF(AJ378&lt;-20000000.0/100,1,0)</f>
        <v>0</v>
      </c>
      <c r="AN378" s="1">
        <f>IF(AL378&gt;20000000.0/100,1,0)</f>
        <v>0</v>
      </c>
    </row>
    <row r="379" spans="1:40" s="1" customFormat="1">
      <c r="A379" s="3">
        <v>45849</v>
      </c>
      <c r="B379" s="2" t="s">
        <v>26</v>
      </c>
      <c r="C379" s="1">
        <f>SUM(PL!H379:J379)</f>
        <v>0</v>
      </c>
      <c r="D379" s="1">
        <f>SUM(PL!K379:M379)</f>
        <v>0</v>
      </c>
      <c r="E379" s="1">
        <f>SUM(PL!N379:P379)</f>
        <v>0</v>
      </c>
      <c r="F379" s="1">
        <f>SUM(PL!Q379:S379)</f>
        <v>0</v>
      </c>
      <c r="G379" s="1">
        <f>SUM(PL!T379:V379)</f>
        <v>0</v>
      </c>
      <c r="H379" s="1">
        <f>SUM(C379:G379)</f>
        <v>0</v>
      </c>
      <c r="I379" s="1">
        <f>IF(C379 + I378 &lt; 0, C379 + I378, 0)</f>
        <v>0</v>
      </c>
      <c r="J379" s="1">
        <f>IF(D379 + J378 &lt; 0, D379 + J378, 0)</f>
        <v>0</v>
      </c>
      <c r="K379" s="1">
        <f>IF(E379 + K378 &lt; 0, E379 + K378, 0)</f>
        <v>0</v>
      </c>
      <c r="L379" s="1">
        <f>IF(F379 + L378 &lt; 0, F379 + L378, 0)</f>
        <v>0</v>
      </c>
      <c r="M379" s="1">
        <f>IF(G379 + M378 &lt; 0, G379 + M378, 0)</f>
        <v>0</v>
      </c>
      <c r="N379" s="1">
        <f>IF(H379 + N378 &lt; 0, H379 + N378, 0)</f>
        <v>0</v>
      </c>
      <c r="O379" s="1">
        <f>IF(N379 &lt; 0, 1 + O378, 0)</f>
        <v>0</v>
      </c>
      <c r="P379" s="1">
        <f>C379-((ABS(SUM(PL!H379:J379)))*0.125)</f>
        <v>0</v>
      </c>
      <c r="Q379" s="1">
        <f>D379-((ABS(SUM(PL!K379:M379)))*0.125)</f>
        <v>0</v>
      </c>
      <c r="R379" s="1">
        <f>E379-((ABS(SUM(PL!N379:P379)))*0.125)</f>
        <v>0</v>
      </c>
      <c r="S379" s="1">
        <f>F379-((ABS(SUM(PL!Q379:S379)))*0.125)</f>
        <v>0</v>
      </c>
      <c r="T379" s="1">
        <f>G379-((ABS(SUM(PL!T379:V379)))*0.125)</f>
        <v>0</v>
      </c>
      <c r="U379" s="1">
        <f>P379 + Q379 + R379 + S379 + T379</f>
        <v>0</v>
      </c>
      <c r="V379" s="1">
        <f>IF(P379 + V378 &lt; 0, P379 + V378, 0)</f>
        <v>0</v>
      </c>
      <c r="W379" s="1">
        <f>IF(Q379 + W378 &lt; 0, Q379 + W378, 0)</f>
        <v>0</v>
      </c>
      <c r="X379" s="1">
        <f>IF(R379 + X378 &lt; 0, R379 + X378, 0)</f>
        <v>0</v>
      </c>
      <c r="Y379" s="1">
        <f>IF(S379 + Y378 &lt; 0, S379 + Y378, 0)</f>
        <v>0</v>
      </c>
      <c r="Z379" s="1">
        <f>IF(T379 + Z378 &lt; 0, T379 + Z378, 0)</f>
        <v>0</v>
      </c>
      <c r="AA379" s="1">
        <f>IF(U379 + AA378 &lt; 0, U379 + AA378, 0)</f>
        <v>0</v>
      </c>
      <c r="AB379" s="1">
        <f>IF(AA379 &lt; 0, 1 + AB378, 0)</f>
        <v>0</v>
      </c>
      <c r="AC379" s="1">
        <f>IF(H379&lt;0,1,0)</f>
        <v>0</v>
      </c>
      <c r="AD379" s="1">
        <f>IF(AC379=1,H379,0)</f>
        <v>0</v>
      </c>
      <c r="AE379" s="1">
        <f>IF(H379&gt;0,1,0)</f>
        <v>0</v>
      </c>
      <c r="AF379" s="1">
        <f>IF(AE379=1,H379,0)</f>
        <v>0</v>
      </c>
      <c r="AG379" s="1">
        <f>IF(AD379&lt;-20000000.0/100,1,0)</f>
        <v>0</v>
      </c>
      <c r="AH379" s="1">
        <f>IF(AF379&gt;20000000.0/100,1,0)</f>
        <v>0</v>
      </c>
      <c r="AI379" s="1">
        <f>IF(U379&lt;0,1,0)</f>
        <v>0</v>
      </c>
      <c r="AJ379" s="1">
        <f>IF(AI379=1,U379,0)</f>
        <v>0</v>
      </c>
      <c r="AK379" s="1">
        <f>IF(U379&gt;0,1,0)</f>
        <v>0</v>
      </c>
      <c r="AL379" s="1">
        <f>IF(AK379=1,U379,0)</f>
        <v>0</v>
      </c>
      <c r="AM379" s="1">
        <f>IF(AJ379&lt;-20000000.0/100,1,0)</f>
        <v>0</v>
      </c>
      <c r="AN379" s="1">
        <f>IF(AL379&gt;20000000.0/100,1,0)</f>
        <v>0</v>
      </c>
    </row>
    <row r="380" spans="1:40" s="1" customFormat="1">
      <c r="A380" s="3">
        <v>45852</v>
      </c>
      <c r="B380" s="2" t="s">
        <v>22</v>
      </c>
      <c r="C380" s="1">
        <f>SUM(PL!H380:J380)</f>
        <v>0</v>
      </c>
      <c r="D380" s="1">
        <f>SUM(PL!K380:M380)</f>
        <v>0</v>
      </c>
      <c r="E380" s="1">
        <f>SUM(PL!N380:P380)</f>
        <v>0</v>
      </c>
      <c r="F380" s="1">
        <f>SUM(PL!Q380:S380)</f>
        <v>0</v>
      </c>
      <c r="G380" s="1">
        <f>SUM(PL!T380:V380)</f>
        <v>0</v>
      </c>
      <c r="H380" s="1">
        <f>SUM(C380:G380)</f>
        <v>0</v>
      </c>
      <c r="I380" s="1">
        <f>IF(C380 + I379 &lt; 0, C380 + I379, 0)</f>
        <v>0</v>
      </c>
      <c r="J380" s="1">
        <f>IF(D380 + J379 &lt; 0, D380 + J379, 0)</f>
        <v>0</v>
      </c>
      <c r="K380" s="1">
        <f>IF(E380 + K379 &lt; 0, E380 + K379, 0)</f>
        <v>0</v>
      </c>
      <c r="L380" s="1">
        <f>IF(F380 + L379 &lt; 0, F380 + L379, 0)</f>
        <v>0</v>
      </c>
      <c r="M380" s="1">
        <f>IF(G380 + M379 &lt; 0, G380 + M379, 0)</f>
        <v>0</v>
      </c>
      <c r="N380" s="1">
        <f>IF(H380 + N379 &lt; 0, H380 + N379, 0)</f>
        <v>0</v>
      </c>
      <c r="O380" s="1">
        <f>IF(N380 &lt; 0, 1 + O379, 0)</f>
        <v>0</v>
      </c>
      <c r="P380" s="1">
        <f>C380-((ABS(SUM(PL!H380:J380)))*0.125)</f>
        <v>0</v>
      </c>
      <c r="Q380" s="1">
        <f>D380-((ABS(SUM(PL!K380:M380)))*0.125)</f>
        <v>0</v>
      </c>
      <c r="R380" s="1">
        <f>E380-((ABS(SUM(PL!N380:P380)))*0.125)</f>
        <v>0</v>
      </c>
      <c r="S380" s="1">
        <f>F380-((ABS(SUM(PL!Q380:S380)))*0.125)</f>
        <v>0</v>
      </c>
      <c r="T380" s="1">
        <f>G380-((ABS(SUM(PL!T380:V380)))*0.125)</f>
        <v>0</v>
      </c>
      <c r="U380" s="1">
        <f>P380 + Q380 + R380 + S380 + T380</f>
        <v>0</v>
      </c>
      <c r="V380" s="1">
        <f>IF(P380 + V379 &lt; 0, P380 + V379, 0)</f>
        <v>0</v>
      </c>
      <c r="W380" s="1">
        <f>IF(Q380 + W379 &lt; 0, Q380 + W379, 0)</f>
        <v>0</v>
      </c>
      <c r="X380" s="1">
        <f>IF(R380 + X379 &lt; 0, R380 + X379, 0)</f>
        <v>0</v>
      </c>
      <c r="Y380" s="1">
        <f>IF(S380 + Y379 &lt; 0, S380 + Y379, 0)</f>
        <v>0</v>
      </c>
      <c r="Z380" s="1">
        <f>IF(T380 + Z379 &lt; 0, T380 + Z379, 0)</f>
        <v>0</v>
      </c>
      <c r="AA380" s="1">
        <f>IF(U380 + AA379 &lt; 0, U380 + AA379, 0)</f>
        <v>0</v>
      </c>
      <c r="AB380" s="1">
        <f>IF(AA380 &lt; 0, 1 + AB379, 0)</f>
        <v>0</v>
      </c>
      <c r="AC380" s="1">
        <f>IF(H380&lt;0,1,0)</f>
        <v>0</v>
      </c>
      <c r="AD380" s="1">
        <f>IF(AC380=1,H380,0)</f>
        <v>0</v>
      </c>
      <c r="AE380" s="1">
        <f>IF(H380&gt;0,1,0)</f>
        <v>0</v>
      </c>
      <c r="AF380" s="1">
        <f>IF(AE380=1,H380,0)</f>
        <v>0</v>
      </c>
      <c r="AG380" s="1">
        <f>IF(AD380&lt;-20000000.0/100,1,0)</f>
        <v>0</v>
      </c>
      <c r="AH380" s="1">
        <f>IF(AF380&gt;20000000.0/100,1,0)</f>
        <v>0</v>
      </c>
      <c r="AI380" s="1">
        <f>IF(U380&lt;0,1,0)</f>
        <v>0</v>
      </c>
      <c r="AJ380" s="1">
        <f>IF(AI380=1,U380,0)</f>
        <v>0</v>
      </c>
      <c r="AK380" s="1">
        <f>IF(U380&gt;0,1,0)</f>
        <v>0</v>
      </c>
      <c r="AL380" s="1">
        <f>IF(AK380=1,U380,0)</f>
        <v>0</v>
      </c>
      <c r="AM380" s="1">
        <f>IF(AJ380&lt;-20000000.0/100,1,0)</f>
        <v>0</v>
      </c>
      <c r="AN380" s="1">
        <f>IF(AL380&gt;20000000.0/100,1,0)</f>
        <v>0</v>
      </c>
    </row>
    <row r="381" spans="1:40" s="1" customFormat="1">
      <c r="A381" s="3">
        <v>45853</v>
      </c>
      <c r="B381" s="2" t="s">
        <v>23</v>
      </c>
      <c r="C381" s="1">
        <f>SUM(PL!H381:J381)</f>
        <v>0</v>
      </c>
      <c r="D381" s="1">
        <f>SUM(PL!K381:M381)</f>
        <v>0</v>
      </c>
      <c r="E381" s="1">
        <f>SUM(PL!N381:P381)</f>
        <v>0</v>
      </c>
      <c r="F381" s="1">
        <f>SUM(PL!Q381:S381)</f>
        <v>0</v>
      </c>
      <c r="G381" s="1">
        <f>SUM(PL!T381:V381)</f>
        <v>0</v>
      </c>
      <c r="H381" s="1">
        <f>SUM(C381:G381)</f>
        <v>0</v>
      </c>
      <c r="I381" s="1">
        <f>IF(C381 + I380 &lt; 0, C381 + I380, 0)</f>
        <v>0</v>
      </c>
      <c r="J381" s="1">
        <f>IF(D381 + J380 &lt; 0, D381 + J380, 0)</f>
        <v>0</v>
      </c>
      <c r="K381" s="1">
        <f>IF(E381 + K380 &lt; 0, E381 + K380, 0)</f>
        <v>0</v>
      </c>
      <c r="L381" s="1">
        <f>IF(F381 + L380 &lt; 0, F381 + L380, 0)</f>
        <v>0</v>
      </c>
      <c r="M381" s="1">
        <f>IF(G381 + M380 &lt; 0, G381 + M380, 0)</f>
        <v>0</v>
      </c>
      <c r="N381" s="1">
        <f>IF(H381 + N380 &lt; 0, H381 + N380, 0)</f>
        <v>0</v>
      </c>
      <c r="O381" s="1">
        <f>IF(N381 &lt; 0, 1 + O380, 0)</f>
        <v>0</v>
      </c>
      <c r="P381" s="1">
        <f>C381-((ABS(SUM(PL!H381:J381)))*0.125)</f>
        <v>0</v>
      </c>
      <c r="Q381" s="1">
        <f>D381-((ABS(SUM(PL!K381:M381)))*0.125)</f>
        <v>0</v>
      </c>
      <c r="R381" s="1">
        <f>E381-((ABS(SUM(PL!N381:P381)))*0.125)</f>
        <v>0</v>
      </c>
      <c r="S381" s="1">
        <f>F381-((ABS(SUM(PL!Q381:S381)))*0.125)</f>
        <v>0</v>
      </c>
      <c r="T381" s="1">
        <f>G381-((ABS(SUM(PL!T381:V381)))*0.125)</f>
        <v>0</v>
      </c>
      <c r="U381" s="1">
        <f>P381 + Q381 + R381 + S381 + T381</f>
        <v>0</v>
      </c>
      <c r="V381" s="1">
        <f>IF(P381 + V380 &lt; 0, P381 + V380, 0)</f>
        <v>0</v>
      </c>
      <c r="W381" s="1">
        <f>IF(Q381 + W380 &lt; 0, Q381 + W380, 0)</f>
        <v>0</v>
      </c>
      <c r="X381" s="1">
        <f>IF(R381 + X380 &lt; 0, R381 + X380, 0)</f>
        <v>0</v>
      </c>
      <c r="Y381" s="1">
        <f>IF(S381 + Y380 &lt; 0, S381 + Y380, 0)</f>
        <v>0</v>
      </c>
      <c r="Z381" s="1">
        <f>IF(T381 + Z380 &lt; 0, T381 + Z380, 0)</f>
        <v>0</v>
      </c>
      <c r="AA381" s="1">
        <f>IF(U381 + AA380 &lt; 0, U381 + AA380, 0)</f>
        <v>0</v>
      </c>
      <c r="AB381" s="1">
        <f>IF(AA381 &lt; 0, 1 + AB380, 0)</f>
        <v>0</v>
      </c>
      <c r="AC381" s="1">
        <f>IF(H381&lt;0,1,0)</f>
        <v>0</v>
      </c>
      <c r="AD381" s="1">
        <f>IF(AC381=1,H381,0)</f>
        <v>0</v>
      </c>
      <c r="AE381" s="1">
        <f>IF(H381&gt;0,1,0)</f>
        <v>0</v>
      </c>
      <c r="AF381" s="1">
        <f>IF(AE381=1,H381,0)</f>
        <v>0</v>
      </c>
      <c r="AG381" s="1">
        <f>IF(AD381&lt;-20000000.0/100,1,0)</f>
        <v>0</v>
      </c>
      <c r="AH381" s="1">
        <f>IF(AF381&gt;20000000.0/100,1,0)</f>
        <v>0</v>
      </c>
      <c r="AI381" s="1">
        <f>IF(U381&lt;0,1,0)</f>
        <v>0</v>
      </c>
      <c r="AJ381" s="1">
        <f>IF(AI381=1,U381,0)</f>
        <v>0</v>
      </c>
      <c r="AK381" s="1">
        <f>IF(U381&gt;0,1,0)</f>
        <v>0</v>
      </c>
      <c r="AL381" s="1">
        <f>IF(AK381=1,U381,0)</f>
        <v>0</v>
      </c>
      <c r="AM381" s="1">
        <f>IF(AJ381&lt;-20000000.0/100,1,0)</f>
        <v>0</v>
      </c>
      <c r="AN381" s="1">
        <f>IF(AL381&gt;20000000.0/100,1,0)</f>
        <v>0</v>
      </c>
    </row>
    <row r="382" spans="1:40" s="1" customFormat="1">
      <c r="A382" s="3">
        <v>45854</v>
      </c>
      <c r="B382" s="2" t="s">
        <v>24</v>
      </c>
      <c r="C382" s="1">
        <f>SUM(PL!H382:J382)</f>
        <v>0</v>
      </c>
      <c r="D382" s="1">
        <f>SUM(PL!K382:M382)</f>
        <v>0</v>
      </c>
      <c r="E382" s="1">
        <f>SUM(PL!N382:P382)</f>
        <v>0</v>
      </c>
      <c r="F382" s="1">
        <f>SUM(PL!Q382:S382)</f>
        <v>0</v>
      </c>
      <c r="G382" s="1">
        <f>SUM(PL!T382:V382)</f>
        <v>0</v>
      </c>
      <c r="H382" s="1">
        <f>SUM(C382:G382)</f>
        <v>0</v>
      </c>
      <c r="I382" s="1">
        <f>IF(C382 + I381 &lt; 0, C382 + I381, 0)</f>
        <v>0</v>
      </c>
      <c r="J382" s="1">
        <f>IF(D382 + J381 &lt; 0, D382 + J381, 0)</f>
        <v>0</v>
      </c>
      <c r="K382" s="1">
        <f>IF(E382 + K381 &lt; 0, E382 + K381, 0)</f>
        <v>0</v>
      </c>
      <c r="L382" s="1">
        <f>IF(F382 + L381 &lt; 0, F382 + L381, 0)</f>
        <v>0</v>
      </c>
      <c r="M382" s="1">
        <f>IF(G382 + M381 &lt; 0, G382 + M381, 0)</f>
        <v>0</v>
      </c>
      <c r="N382" s="1">
        <f>IF(H382 + N381 &lt; 0, H382 + N381, 0)</f>
        <v>0</v>
      </c>
      <c r="O382" s="1">
        <f>IF(N382 &lt; 0, 1 + O381, 0)</f>
        <v>0</v>
      </c>
      <c r="P382" s="1">
        <f>C382-((ABS(SUM(PL!H382:J382)))*0.125)</f>
        <v>0</v>
      </c>
      <c r="Q382" s="1">
        <f>D382-((ABS(SUM(PL!K382:M382)))*0.125)</f>
        <v>0</v>
      </c>
      <c r="R382" s="1">
        <f>E382-((ABS(SUM(PL!N382:P382)))*0.125)</f>
        <v>0</v>
      </c>
      <c r="S382" s="1">
        <f>F382-((ABS(SUM(PL!Q382:S382)))*0.125)</f>
        <v>0</v>
      </c>
      <c r="T382" s="1">
        <f>G382-((ABS(SUM(PL!T382:V382)))*0.125)</f>
        <v>0</v>
      </c>
      <c r="U382" s="1">
        <f>P382 + Q382 + R382 + S382 + T382</f>
        <v>0</v>
      </c>
      <c r="V382" s="1">
        <f>IF(P382 + V381 &lt; 0, P382 + V381, 0)</f>
        <v>0</v>
      </c>
      <c r="W382" s="1">
        <f>IF(Q382 + W381 &lt; 0, Q382 + W381, 0)</f>
        <v>0</v>
      </c>
      <c r="X382" s="1">
        <f>IF(R382 + X381 &lt; 0, R382 + X381, 0)</f>
        <v>0</v>
      </c>
      <c r="Y382" s="1">
        <f>IF(S382 + Y381 &lt; 0, S382 + Y381, 0)</f>
        <v>0</v>
      </c>
      <c r="Z382" s="1">
        <f>IF(T382 + Z381 &lt; 0, T382 + Z381, 0)</f>
        <v>0</v>
      </c>
      <c r="AA382" s="1">
        <f>IF(U382 + AA381 &lt; 0, U382 + AA381, 0)</f>
        <v>0</v>
      </c>
      <c r="AB382" s="1">
        <f>IF(AA382 &lt; 0, 1 + AB381, 0)</f>
        <v>0</v>
      </c>
      <c r="AC382" s="1">
        <f>IF(H382&lt;0,1,0)</f>
        <v>0</v>
      </c>
      <c r="AD382" s="1">
        <f>IF(AC382=1,H382,0)</f>
        <v>0</v>
      </c>
      <c r="AE382" s="1">
        <f>IF(H382&gt;0,1,0)</f>
        <v>0</v>
      </c>
      <c r="AF382" s="1">
        <f>IF(AE382=1,H382,0)</f>
        <v>0</v>
      </c>
      <c r="AG382" s="1">
        <f>IF(AD382&lt;-20000000.0/100,1,0)</f>
        <v>0</v>
      </c>
      <c r="AH382" s="1">
        <f>IF(AF382&gt;20000000.0/100,1,0)</f>
        <v>0</v>
      </c>
      <c r="AI382" s="1">
        <f>IF(U382&lt;0,1,0)</f>
        <v>0</v>
      </c>
      <c r="AJ382" s="1">
        <f>IF(AI382=1,U382,0)</f>
        <v>0</v>
      </c>
      <c r="AK382" s="1">
        <f>IF(U382&gt;0,1,0)</f>
        <v>0</v>
      </c>
      <c r="AL382" s="1">
        <f>IF(AK382=1,U382,0)</f>
        <v>0</v>
      </c>
      <c r="AM382" s="1">
        <f>IF(AJ382&lt;-20000000.0/100,1,0)</f>
        <v>0</v>
      </c>
      <c r="AN382" s="1">
        <f>IF(AL382&gt;20000000.0/100,1,0)</f>
        <v>0</v>
      </c>
    </row>
    <row r="383" spans="1:40" s="1" customFormat="1">
      <c r="A383" s="3">
        <v>45855</v>
      </c>
      <c r="B383" s="2" t="s">
        <v>25</v>
      </c>
      <c r="C383" s="1">
        <f>SUM(PL!H383:J383)</f>
        <v>0</v>
      </c>
      <c r="D383" s="1">
        <f>SUM(PL!K383:M383)</f>
        <v>0</v>
      </c>
      <c r="E383" s="1">
        <f>SUM(PL!N383:P383)</f>
        <v>0</v>
      </c>
      <c r="F383" s="1">
        <f>SUM(PL!Q383:S383)</f>
        <v>0</v>
      </c>
      <c r="G383" s="1">
        <f>SUM(PL!T383:V383)</f>
        <v>0</v>
      </c>
      <c r="H383" s="1">
        <f>SUM(C383:G383)</f>
        <v>0</v>
      </c>
      <c r="I383" s="1">
        <f>IF(C383 + I382 &lt; 0, C383 + I382, 0)</f>
        <v>0</v>
      </c>
      <c r="J383" s="1">
        <f>IF(D383 + J382 &lt; 0, D383 + J382, 0)</f>
        <v>0</v>
      </c>
      <c r="K383" s="1">
        <f>IF(E383 + K382 &lt; 0, E383 + K382, 0)</f>
        <v>0</v>
      </c>
      <c r="L383" s="1">
        <f>IF(F383 + L382 &lt; 0, F383 + L382, 0)</f>
        <v>0</v>
      </c>
      <c r="M383" s="1">
        <f>IF(G383 + M382 &lt; 0, G383 + M382, 0)</f>
        <v>0</v>
      </c>
      <c r="N383" s="1">
        <f>IF(H383 + N382 &lt; 0, H383 + N382, 0)</f>
        <v>0</v>
      </c>
      <c r="O383" s="1">
        <f>IF(N383 &lt; 0, 1 + O382, 0)</f>
        <v>0</v>
      </c>
      <c r="P383" s="1">
        <f>C383-((ABS(SUM(PL!H383:J383)))*0.125)</f>
        <v>0</v>
      </c>
      <c r="Q383" s="1">
        <f>D383-((ABS(SUM(PL!K383:M383)))*0.125)</f>
        <v>0</v>
      </c>
      <c r="R383" s="1">
        <f>E383-((ABS(SUM(PL!N383:P383)))*0.125)</f>
        <v>0</v>
      </c>
      <c r="S383" s="1">
        <f>F383-((ABS(SUM(PL!Q383:S383)))*0.125)</f>
        <v>0</v>
      </c>
      <c r="T383" s="1">
        <f>G383-((ABS(SUM(PL!T383:V383)))*0.125)</f>
        <v>0</v>
      </c>
      <c r="U383" s="1">
        <f>P383 + Q383 + R383 + S383 + T383</f>
        <v>0</v>
      </c>
      <c r="V383" s="1">
        <f>IF(P383 + V382 &lt; 0, P383 + V382, 0)</f>
        <v>0</v>
      </c>
      <c r="W383" s="1">
        <f>IF(Q383 + W382 &lt; 0, Q383 + W382, 0)</f>
        <v>0</v>
      </c>
      <c r="X383" s="1">
        <f>IF(R383 + X382 &lt; 0, R383 + X382, 0)</f>
        <v>0</v>
      </c>
      <c r="Y383" s="1">
        <f>IF(S383 + Y382 &lt; 0, S383 + Y382, 0)</f>
        <v>0</v>
      </c>
      <c r="Z383" s="1">
        <f>IF(T383 + Z382 &lt; 0, T383 + Z382, 0)</f>
        <v>0</v>
      </c>
      <c r="AA383" s="1">
        <f>IF(U383 + AA382 &lt; 0, U383 + AA382, 0)</f>
        <v>0</v>
      </c>
      <c r="AB383" s="1">
        <f>IF(AA383 &lt; 0, 1 + AB382, 0)</f>
        <v>0</v>
      </c>
      <c r="AC383" s="1">
        <f>IF(H383&lt;0,1,0)</f>
        <v>0</v>
      </c>
      <c r="AD383" s="1">
        <f>IF(AC383=1,H383,0)</f>
        <v>0</v>
      </c>
      <c r="AE383" s="1">
        <f>IF(H383&gt;0,1,0)</f>
        <v>0</v>
      </c>
      <c r="AF383" s="1">
        <f>IF(AE383=1,H383,0)</f>
        <v>0</v>
      </c>
      <c r="AG383" s="1">
        <f>IF(AD383&lt;-20000000.0/100,1,0)</f>
        <v>0</v>
      </c>
      <c r="AH383" s="1">
        <f>IF(AF383&gt;20000000.0/100,1,0)</f>
        <v>0</v>
      </c>
      <c r="AI383" s="1">
        <f>IF(U383&lt;0,1,0)</f>
        <v>0</v>
      </c>
      <c r="AJ383" s="1">
        <f>IF(AI383=1,U383,0)</f>
        <v>0</v>
      </c>
      <c r="AK383" s="1">
        <f>IF(U383&gt;0,1,0)</f>
        <v>0</v>
      </c>
      <c r="AL383" s="1">
        <f>IF(AK383=1,U383,0)</f>
        <v>0</v>
      </c>
      <c r="AM383" s="1">
        <f>IF(AJ383&lt;-20000000.0/100,1,0)</f>
        <v>0</v>
      </c>
      <c r="AN383" s="1">
        <f>IF(AL383&gt;20000000.0/100,1,0)</f>
        <v>0</v>
      </c>
    </row>
    <row r="384" spans="1:40" s="1" customFormat="1">
      <c r="A384" s="3">
        <v>45856</v>
      </c>
      <c r="B384" s="2" t="s">
        <v>26</v>
      </c>
      <c r="C384" s="1">
        <f>SUM(PL!H384:J384)</f>
        <v>0</v>
      </c>
      <c r="D384" s="1">
        <f>SUM(PL!K384:M384)</f>
        <v>0</v>
      </c>
      <c r="E384" s="1">
        <f>SUM(PL!N384:P384)</f>
        <v>0</v>
      </c>
      <c r="F384" s="1">
        <f>SUM(PL!Q384:S384)</f>
        <v>0</v>
      </c>
      <c r="G384" s="1">
        <f>SUM(PL!T384:V384)</f>
        <v>0</v>
      </c>
      <c r="H384" s="1">
        <f>SUM(C384:G384)</f>
        <v>0</v>
      </c>
      <c r="I384" s="1">
        <f>IF(C384 + I383 &lt; 0, C384 + I383, 0)</f>
        <v>0</v>
      </c>
      <c r="J384" s="1">
        <f>IF(D384 + J383 &lt; 0, D384 + J383, 0)</f>
        <v>0</v>
      </c>
      <c r="K384" s="1">
        <f>IF(E384 + K383 &lt; 0, E384 + K383, 0)</f>
        <v>0</v>
      </c>
      <c r="L384" s="1">
        <f>IF(F384 + L383 &lt; 0, F384 + L383, 0)</f>
        <v>0</v>
      </c>
      <c r="M384" s="1">
        <f>IF(G384 + M383 &lt; 0, G384 + M383, 0)</f>
        <v>0</v>
      </c>
      <c r="N384" s="1">
        <f>IF(H384 + N383 &lt; 0, H384 + N383, 0)</f>
        <v>0</v>
      </c>
      <c r="O384" s="1">
        <f>IF(N384 &lt; 0, 1 + O383, 0)</f>
        <v>0</v>
      </c>
      <c r="P384" s="1">
        <f>C384-((ABS(SUM(PL!H384:J384)))*0.125)</f>
        <v>0</v>
      </c>
      <c r="Q384" s="1">
        <f>D384-((ABS(SUM(PL!K384:M384)))*0.125)</f>
        <v>0</v>
      </c>
      <c r="R384" s="1">
        <f>E384-((ABS(SUM(PL!N384:P384)))*0.125)</f>
        <v>0</v>
      </c>
      <c r="S384" s="1">
        <f>F384-((ABS(SUM(PL!Q384:S384)))*0.125)</f>
        <v>0</v>
      </c>
      <c r="T384" s="1">
        <f>G384-((ABS(SUM(PL!T384:V384)))*0.125)</f>
        <v>0</v>
      </c>
      <c r="U384" s="1">
        <f>P384 + Q384 + R384 + S384 + T384</f>
        <v>0</v>
      </c>
      <c r="V384" s="1">
        <f>IF(P384 + V383 &lt; 0, P384 + V383, 0)</f>
        <v>0</v>
      </c>
      <c r="W384" s="1">
        <f>IF(Q384 + W383 &lt; 0, Q384 + W383, 0)</f>
        <v>0</v>
      </c>
      <c r="X384" s="1">
        <f>IF(R384 + X383 &lt; 0, R384 + X383, 0)</f>
        <v>0</v>
      </c>
      <c r="Y384" s="1">
        <f>IF(S384 + Y383 &lt; 0, S384 + Y383, 0)</f>
        <v>0</v>
      </c>
      <c r="Z384" s="1">
        <f>IF(T384 + Z383 &lt; 0, T384 + Z383, 0)</f>
        <v>0</v>
      </c>
      <c r="AA384" s="1">
        <f>IF(U384 + AA383 &lt; 0, U384 + AA383, 0)</f>
        <v>0</v>
      </c>
      <c r="AB384" s="1">
        <f>IF(AA384 &lt; 0, 1 + AB383, 0)</f>
        <v>0</v>
      </c>
      <c r="AC384" s="1">
        <f>IF(H384&lt;0,1,0)</f>
        <v>0</v>
      </c>
      <c r="AD384" s="1">
        <f>IF(AC384=1,H384,0)</f>
        <v>0</v>
      </c>
      <c r="AE384" s="1">
        <f>IF(H384&gt;0,1,0)</f>
        <v>0</v>
      </c>
      <c r="AF384" s="1">
        <f>IF(AE384=1,H384,0)</f>
        <v>0</v>
      </c>
      <c r="AG384" s="1">
        <f>IF(AD384&lt;-20000000.0/100,1,0)</f>
        <v>0</v>
      </c>
      <c r="AH384" s="1">
        <f>IF(AF384&gt;20000000.0/100,1,0)</f>
        <v>0</v>
      </c>
      <c r="AI384" s="1">
        <f>IF(U384&lt;0,1,0)</f>
        <v>0</v>
      </c>
      <c r="AJ384" s="1">
        <f>IF(AI384=1,U384,0)</f>
        <v>0</v>
      </c>
      <c r="AK384" s="1">
        <f>IF(U384&gt;0,1,0)</f>
        <v>0</v>
      </c>
      <c r="AL384" s="1">
        <f>IF(AK384=1,U384,0)</f>
        <v>0</v>
      </c>
      <c r="AM384" s="1">
        <f>IF(AJ384&lt;-20000000.0/100,1,0)</f>
        <v>0</v>
      </c>
      <c r="AN384" s="1">
        <f>IF(AL384&gt;20000000.0/100,1,0)</f>
        <v>0</v>
      </c>
    </row>
    <row r="385" spans="1:40" s="1" customFormat="1">
      <c r="A385" s="3">
        <v>45859</v>
      </c>
      <c r="B385" s="2" t="s">
        <v>22</v>
      </c>
      <c r="C385" s="1">
        <f>SUM(PL!H385:J385)</f>
        <v>0</v>
      </c>
      <c r="D385" s="1">
        <f>SUM(PL!K385:M385)</f>
        <v>0</v>
      </c>
      <c r="E385" s="1">
        <f>SUM(PL!N385:P385)</f>
        <v>0</v>
      </c>
      <c r="F385" s="1">
        <f>SUM(PL!Q385:S385)</f>
        <v>0</v>
      </c>
      <c r="G385" s="1">
        <f>SUM(PL!T385:V385)</f>
        <v>0</v>
      </c>
      <c r="H385" s="1">
        <f>SUM(C385:G385)</f>
        <v>0</v>
      </c>
      <c r="I385" s="1">
        <f>IF(C385 + I384 &lt; 0, C385 + I384, 0)</f>
        <v>0</v>
      </c>
      <c r="J385" s="1">
        <f>IF(D385 + J384 &lt; 0, D385 + J384, 0)</f>
        <v>0</v>
      </c>
      <c r="K385" s="1">
        <f>IF(E385 + K384 &lt; 0, E385 + K384, 0)</f>
        <v>0</v>
      </c>
      <c r="L385" s="1">
        <f>IF(F385 + L384 &lt; 0, F385 + L384, 0)</f>
        <v>0</v>
      </c>
      <c r="M385" s="1">
        <f>IF(G385 + M384 &lt; 0, G385 + M384, 0)</f>
        <v>0</v>
      </c>
      <c r="N385" s="1">
        <f>IF(H385 + N384 &lt; 0, H385 + N384, 0)</f>
        <v>0</v>
      </c>
      <c r="O385" s="1">
        <f>IF(N385 &lt; 0, 1 + O384, 0)</f>
        <v>0</v>
      </c>
      <c r="P385" s="1">
        <f>C385-((ABS(SUM(PL!H385:J385)))*0.125)</f>
        <v>0</v>
      </c>
      <c r="Q385" s="1">
        <f>D385-((ABS(SUM(PL!K385:M385)))*0.125)</f>
        <v>0</v>
      </c>
      <c r="R385" s="1">
        <f>E385-((ABS(SUM(PL!N385:P385)))*0.125)</f>
        <v>0</v>
      </c>
      <c r="S385" s="1">
        <f>F385-((ABS(SUM(PL!Q385:S385)))*0.125)</f>
        <v>0</v>
      </c>
      <c r="T385" s="1">
        <f>G385-((ABS(SUM(PL!T385:V385)))*0.125)</f>
        <v>0</v>
      </c>
      <c r="U385" s="1">
        <f>P385 + Q385 + R385 + S385 + T385</f>
        <v>0</v>
      </c>
      <c r="V385" s="1">
        <f>IF(P385 + V384 &lt; 0, P385 + V384, 0)</f>
        <v>0</v>
      </c>
      <c r="W385" s="1">
        <f>IF(Q385 + W384 &lt; 0, Q385 + W384, 0)</f>
        <v>0</v>
      </c>
      <c r="X385" s="1">
        <f>IF(R385 + X384 &lt; 0, R385 + X384, 0)</f>
        <v>0</v>
      </c>
      <c r="Y385" s="1">
        <f>IF(S385 + Y384 &lt; 0, S385 + Y384, 0)</f>
        <v>0</v>
      </c>
      <c r="Z385" s="1">
        <f>IF(T385 + Z384 &lt; 0, T385 + Z384, 0)</f>
        <v>0</v>
      </c>
      <c r="AA385" s="1">
        <f>IF(U385 + AA384 &lt; 0, U385 + AA384, 0)</f>
        <v>0</v>
      </c>
      <c r="AB385" s="1">
        <f>IF(AA385 &lt; 0, 1 + AB384, 0)</f>
        <v>0</v>
      </c>
      <c r="AC385" s="1">
        <f>IF(H385&lt;0,1,0)</f>
        <v>0</v>
      </c>
      <c r="AD385" s="1">
        <f>IF(AC385=1,H385,0)</f>
        <v>0</v>
      </c>
      <c r="AE385" s="1">
        <f>IF(H385&gt;0,1,0)</f>
        <v>0</v>
      </c>
      <c r="AF385" s="1">
        <f>IF(AE385=1,H385,0)</f>
        <v>0</v>
      </c>
      <c r="AG385" s="1">
        <f>IF(AD385&lt;-20000000.0/100,1,0)</f>
        <v>0</v>
      </c>
      <c r="AH385" s="1">
        <f>IF(AF385&gt;20000000.0/100,1,0)</f>
        <v>0</v>
      </c>
      <c r="AI385" s="1">
        <f>IF(U385&lt;0,1,0)</f>
        <v>0</v>
      </c>
      <c r="AJ385" s="1">
        <f>IF(AI385=1,U385,0)</f>
        <v>0</v>
      </c>
      <c r="AK385" s="1">
        <f>IF(U385&gt;0,1,0)</f>
        <v>0</v>
      </c>
      <c r="AL385" s="1">
        <f>IF(AK385=1,U385,0)</f>
        <v>0</v>
      </c>
      <c r="AM385" s="1">
        <f>IF(AJ385&lt;-20000000.0/100,1,0)</f>
        <v>0</v>
      </c>
      <c r="AN385" s="1">
        <f>IF(AL385&gt;20000000.0/100,1,0)</f>
        <v>0</v>
      </c>
    </row>
    <row r="386" spans="1:40" s="1" customFormat="1">
      <c r="A386" s="3">
        <v>45860</v>
      </c>
      <c r="B386" s="2" t="s">
        <v>23</v>
      </c>
      <c r="C386" s="1">
        <f>SUM(PL!H386:J386)</f>
        <v>0</v>
      </c>
      <c r="D386" s="1">
        <f>SUM(PL!K386:M386)</f>
        <v>0</v>
      </c>
      <c r="E386" s="1">
        <f>SUM(PL!N386:P386)</f>
        <v>0</v>
      </c>
      <c r="F386" s="1">
        <f>SUM(PL!Q386:S386)</f>
        <v>0</v>
      </c>
      <c r="G386" s="1">
        <f>SUM(PL!T386:V386)</f>
        <v>0</v>
      </c>
      <c r="H386" s="1">
        <f>SUM(C386:G386)</f>
        <v>0</v>
      </c>
      <c r="I386" s="1">
        <f>IF(C386 + I385 &lt; 0, C386 + I385, 0)</f>
        <v>0</v>
      </c>
      <c r="J386" s="1">
        <f>IF(D386 + J385 &lt; 0, D386 + J385, 0)</f>
        <v>0</v>
      </c>
      <c r="K386" s="1">
        <f>IF(E386 + K385 &lt; 0, E386 + K385, 0)</f>
        <v>0</v>
      </c>
      <c r="L386" s="1">
        <f>IF(F386 + L385 &lt; 0, F386 + L385, 0)</f>
        <v>0</v>
      </c>
      <c r="M386" s="1">
        <f>IF(G386 + M385 &lt; 0, G386 + M385, 0)</f>
        <v>0</v>
      </c>
      <c r="N386" s="1">
        <f>IF(H386 + N385 &lt; 0, H386 + N385, 0)</f>
        <v>0</v>
      </c>
      <c r="O386" s="1">
        <f>IF(N386 &lt; 0, 1 + O385, 0)</f>
        <v>0</v>
      </c>
      <c r="P386" s="1">
        <f>C386-((ABS(SUM(PL!H386:J386)))*0.125)</f>
        <v>0</v>
      </c>
      <c r="Q386" s="1">
        <f>D386-((ABS(SUM(PL!K386:M386)))*0.125)</f>
        <v>0</v>
      </c>
      <c r="R386" s="1">
        <f>E386-((ABS(SUM(PL!N386:P386)))*0.125)</f>
        <v>0</v>
      </c>
      <c r="S386" s="1">
        <f>F386-((ABS(SUM(PL!Q386:S386)))*0.125)</f>
        <v>0</v>
      </c>
      <c r="T386" s="1">
        <f>G386-((ABS(SUM(PL!T386:V386)))*0.125)</f>
        <v>0</v>
      </c>
      <c r="U386" s="1">
        <f>P386 + Q386 + R386 + S386 + T386</f>
        <v>0</v>
      </c>
      <c r="V386" s="1">
        <f>IF(P386 + V385 &lt; 0, P386 + V385, 0)</f>
        <v>0</v>
      </c>
      <c r="W386" s="1">
        <f>IF(Q386 + W385 &lt; 0, Q386 + W385, 0)</f>
        <v>0</v>
      </c>
      <c r="X386" s="1">
        <f>IF(R386 + X385 &lt; 0, R386 + X385, 0)</f>
        <v>0</v>
      </c>
      <c r="Y386" s="1">
        <f>IF(S386 + Y385 &lt; 0, S386 + Y385, 0)</f>
        <v>0</v>
      </c>
      <c r="Z386" s="1">
        <f>IF(T386 + Z385 &lt; 0, T386 + Z385, 0)</f>
        <v>0</v>
      </c>
      <c r="AA386" s="1">
        <f>IF(U386 + AA385 &lt; 0, U386 + AA385, 0)</f>
        <v>0</v>
      </c>
      <c r="AB386" s="1">
        <f>IF(AA386 &lt; 0, 1 + AB385, 0)</f>
        <v>0</v>
      </c>
      <c r="AC386" s="1">
        <f>IF(H386&lt;0,1,0)</f>
        <v>0</v>
      </c>
      <c r="AD386" s="1">
        <f>IF(AC386=1,H386,0)</f>
        <v>0</v>
      </c>
      <c r="AE386" s="1">
        <f>IF(H386&gt;0,1,0)</f>
        <v>0</v>
      </c>
      <c r="AF386" s="1">
        <f>IF(AE386=1,H386,0)</f>
        <v>0</v>
      </c>
      <c r="AG386" s="1">
        <f>IF(AD386&lt;-20000000.0/100,1,0)</f>
        <v>0</v>
      </c>
      <c r="AH386" s="1">
        <f>IF(AF386&gt;20000000.0/100,1,0)</f>
        <v>0</v>
      </c>
      <c r="AI386" s="1">
        <f>IF(U386&lt;0,1,0)</f>
        <v>0</v>
      </c>
      <c r="AJ386" s="1">
        <f>IF(AI386=1,U386,0)</f>
        <v>0</v>
      </c>
      <c r="AK386" s="1">
        <f>IF(U386&gt;0,1,0)</f>
        <v>0</v>
      </c>
      <c r="AL386" s="1">
        <f>IF(AK386=1,U386,0)</f>
        <v>0</v>
      </c>
      <c r="AM386" s="1">
        <f>IF(AJ386&lt;-20000000.0/100,1,0)</f>
        <v>0</v>
      </c>
      <c r="AN386" s="1">
        <f>IF(AL386&gt;20000000.0/100,1,0)</f>
        <v>0</v>
      </c>
    </row>
    <row r="387" spans="1:40" s="1" customFormat="1">
      <c r="A387" s="3">
        <v>45861</v>
      </c>
      <c r="B387" s="2" t="s">
        <v>24</v>
      </c>
      <c r="C387" s="1">
        <f>SUM(PL!H387:J387)</f>
        <v>0</v>
      </c>
      <c r="D387" s="1">
        <f>SUM(PL!K387:M387)</f>
        <v>0</v>
      </c>
      <c r="E387" s="1">
        <f>SUM(PL!N387:P387)</f>
        <v>0</v>
      </c>
      <c r="F387" s="1">
        <f>SUM(PL!Q387:S387)</f>
        <v>0</v>
      </c>
      <c r="G387" s="1">
        <f>SUM(PL!T387:V387)</f>
        <v>0</v>
      </c>
      <c r="H387" s="1">
        <f>SUM(C387:G387)</f>
        <v>0</v>
      </c>
      <c r="I387" s="1">
        <f>IF(C387 + I386 &lt; 0, C387 + I386, 0)</f>
        <v>0</v>
      </c>
      <c r="J387" s="1">
        <f>IF(D387 + J386 &lt; 0, D387 + J386, 0)</f>
        <v>0</v>
      </c>
      <c r="K387" s="1">
        <f>IF(E387 + K386 &lt; 0, E387 + K386, 0)</f>
        <v>0</v>
      </c>
      <c r="L387" s="1">
        <f>IF(F387 + L386 &lt; 0, F387 + L386, 0)</f>
        <v>0</v>
      </c>
      <c r="M387" s="1">
        <f>IF(G387 + M386 &lt; 0, G387 + M386, 0)</f>
        <v>0</v>
      </c>
      <c r="N387" s="1">
        <f>IF(H387 + N386 &lt; 0, H387 + N386, 0)</f>
        <v>0</v>
      </c>
      <c r="O387" s="1">
        <f>IF(N387 &lt; 0, 1 + O386, 0)</f>
        <v>0</v>
      </c>
      <c r="P387" s="1">
        <f>C387-((ABS(SUM(PL!H387:J387)))*0.125)</f>
        <v>0</v>
      </c>
      <c r="Q387" s="1">
        <f>D387-((ABS(SUM(PL!K387:M387)))*0.125)</f>
        <v>0</v>
      </c>
      <c r="R387" s="1">
        <f>E387-((ABS(SUM(PL!N387:P387)))*0.125)</f>
        <v>0</v>
      </c>
      <c r="S387" s="1">
        <f>F387-((ABS(SUM(PL!Q387:S387)))*0.125)</f>
        <v>0</v>
      </c>
      <c r="T387" s="1">
        <f>G387-((ABS(SUM(PL!T387:V387)))*0.125)</f>
        <v>0</v>
      </c>
      <c r="U387" s="1">
        <f>P387 + Q387 + R387 + S387 + T387</f>
        <v>0</v>
      </c>
      <c r="V387" s="1">
        <f>IF(P387 + V386 &lt; 0, P387 + V386, 0)</f>
        <v>0</v>
      </c>
      <c r="W387" s="1">
        <f>IF(Q387 + W386 &lt; 0, Q387 + W386, 0)</f>
        <v>0</v>
      </c>
      <c r="X387" s="1">
        <f>IF(R387 + X386 &lt; 0, R387 + X386, 0)</f>
        <v>0</v>
      </c>
      <c r="Y387" s="1">
        <f>IF(S387 + Y386 &lt; 0, S387 + Y386, 0)</f>
        <v>0</v>
      </c>
      <c r="Z387" s="1">
        <f>IF(T387 + Z386 &lt; 0, T387 + Z386, 0)</f>
        <v>0</v>
      </c>
      <c r="AA387" s="1">
        <f>IF(U387 + AA386 &lt; 0, U387 + AA386, 0)</f>
        <v>0</v>
      </c>
      <c r="AB387" s="1">
        <f>IF(AA387 &lt; 0, 1 + AB386, 0)</f>
        <v>0</v>
      </c>
      <c r="AC387" s="1">
        <f>IF(H387&lt;0,1,0)</f>
        <v>0</v>
      </c>
      <c r="AD387" s="1">
        <f>IF(AC387=1,H387,0)</f>
        <v>0</v>
      </c>
      <c r="AE387" s="1">
        <f>IF(H387&gt;0,1,0)</f>
        <v>0</v>
      </c>
      <c r="AF387" s="1">
        <f>IF(AE387=1,H387,0)</f>
        <v>0</v>
      </c>
      <c r="AG387" s="1">
        <f>IF(AD387&lt;-20000000.0/100,1,0)</f>
        <v>0</v>
      </c>
      <c r="AH387" s="1">
        <f>IF(AF387&gt;20000000.0/100,1,0)</f>
        <v>0</v>
      </c>
      <c r="AI387" s="1">
        <f>IF(U387&lt;0,1,0)</f>
        <v>0</v>
      </c>
      <c r="AJ387" s="1">
        <f>IF(AI387=1,U387,0)</f>
        <v>0</v>
      </c>
      <c r="AK387" s="1">
        <f>IF(U387&gt;0,1,0)</f>
        <v>0</v>
      </c>
      <c r="AL387" s="1">
        <f>IF(AK387=1,U387,0)</f>
        <v>0</v>
      </c>
      <c r="AM387" s="1">
        <f>IF(AJ387&lt;-20000000.0/100,1,0)</f>
        <v>0</v>
      </c>
      <c r="AN387" s="1">
        <f>IF(AL387&gt;20000000.0/100,1,0)</f>
        <v>0</v>
      </c>
    </row>
    <row r="388" spans="1:40" s="1" customFormat="1">
      <c r="A388" s="3">
        <v>45862</v>
      </c>
      <c r="B388" s="2" t="s">
        <v>25</v>
      </c>
      <c r="C388" s="1">
        <f>SUM(PL!H388:J388)</f>
        <v>0</v>
      </c>
      <c r="D388" s="1">
        <f>SUM(PL!K388:M388)</f>
        <v>0</v>
      </c>
      <c r="E388" s="1">
        <f>SUM(PL!N388:P388)</f>
        <v>0</v>
      </c>
      <c r="F388" s="1">
        <f>SUM(PL!Q388:S388)</f>
        <v>0</v>
      </c>
      <c r="G388" s="1">
        <f>SUM(PL!T388:V388)</f>
        <v>0</v>
      </c>
      <c r="H388" s="1">
        <f>SUM(C388:G388)</f>
        <v>0</v>
      </c>
      <c r="I388" s="1">
        <f>IF(C388 + I387 &lt; 0, C388 + I387, 0)</f>
        <v>0</v>
      </c>
      <c r="J388" s="1">
        <f>IF(D388 + J387 &lt; 0, D388 + J387, 0)</f>
        <v>0</v>
      </c>
      <c r="K388" s="1">
        <f>IF(E388 + K387 &lt; 0, E388 + K387, 0)</f>
        <v>0</v>
      </c>
      <c r="L388" s="1">
        <f>IF(F388 + L387 &lt; 0, F388 + L387, 0)</f>
        <v>0</v>
      </c>
      <c r="M388" s="1">
        <f>IF(G388 + M387 &lt; 0, G388 + M387, 0)</f>
        <v>0</v>
      </c>
      <c r="N388" s="1">
        <f>IF(H388 + N387 &lt; 0, H388 + N387, 0)</f>
        <v>0</v>
      </c>
      <c r="O388" s="1">
        <f>IF(N388 &lt; 0, 1 + O387, 0)</f>
        <v>0</v>
      </c>
      <c r="P388" s="1">
        <f>C388-((ABS(SUM(PL!H388:J388)))*0.125)</f>
        <v>0</v>
      </c>
      <c r="Q388" s="1">
        <f>D388-((ABS(SUM(PL!K388:M388)))*0.125)</f>
        <v>0</v>
      </c>
      <c r="R388" s="1">
        <f>E388-((ABS(SUM(PL!N388:P388)))*0.125)</f>
        <v>0</v>
      </c>
      <c r="S388" s="1">
        <f>F388-((ABS(SUM(PL!Q388:S388)))*0.125)</f>
        <v>0</v>
      </c>
      <c r="T388" s="1">
        <f>G388-((ABS(SUM(PL!T388:V388)))*0.125)</f>
        <v>0</v>
      </c>
      <c r="U388" s="1">
        <f>P388 + Q388 + R388 + S388 + T388</f>
        <v>0</v>
      </c>
      <c r="V388" s="1">
        <f>IF(P388 + V387 &lt; 0, P388 + V387, 0)</f>
        <v>0</v>
      </c>
      <c r="W388" s="1">
        <f>IF(Q388 + W387 &lt; 0, Q388 + W387, 0)</f>
        <v>0</v>
      </c>
      <c r="X388" s="1">
        <f>IF(R388 + X387 &lt; 0, R388 + X387, 0)</f>
        <v>0</v>
      </c>
      <c r="Y388" s="1">
        <f>IF(S388 + Y387 &lt; 0, S388 + Y387, 0)</f>
        <v>0</v>
      </c>
      <c r="Z388" s="1">
        <f>IF(T388 + Z387 &lt; 0, T388 + Z387, 0)</f>
        <v>0</v>
      </c>
      <c r="AA388" s="1">
        <f>IF(U388 + AA387 &lt; 0, U388 + AA387, 0)</f>
        <v>0</v>
      </c>
      <c r="AB388" s="1">
        <f>IF(AA388 &lt; 0, 1 + AB387, 0)</f>
        <v>0</v>
      </c>
      <c r="AC388" s="1">
        <f>IF(H388&lt;0,1,0)</f>
        <v>0</v>
      </c>
      <c r="AD388" s="1">
        <f>IF(AC388=1,H388,0)</f>
        <v>0</v>
      </c>
      <c r="AE388" s="1">
        <f>IF(H388&gt;0,1,0)</f>
        <v>0</v>
      </c>
      <c r="AF388" s="1">
        <f>IF(AE388=1,H388,0)</f>
        <v>0</v>
      </c>
      <c r="AG388" s="1">
        <f>IF(AD388&lt;-20000000.0/100,1,0)</f>
        <v>0</v>
      </c>
      <c r="AH388" s="1">
        <f>IF(AF388&gt;20000000.0/100,1,0)</f>
        <v>0</v>
      </c>
      <c r="AI388" s="1">
        <f>IF(U388&lt;0,1,0)</f>
        <v>0</v>
      </c>
      <c r="AJ388" s="1">
        <f>IF(AI388=1,U388,0)</f>
        <v>0</v>
      </c>
      <c r="AK388" s="1">
        <f>IF(U388&gt;0,1,0)</f>
        <v>0</v>
      </c>
      <c r="AL388" s="1">
        <f>IF(AK388=1,U388,0)</f>
        <v>0</v>
      </c>
      <c r="AM388" s="1">
        <f>IF(AJ388&lt;-20000000.0/100,1,0)</f>
        <v>0</v>
      </c>
      <c r="AN388" s="1">
        <f>IF(AL388&gt;20000000.0/100,1,0)</f>
        <v>0</v>
      </c>
    </row>
    <row r="389" spans="1:40" s="1" customFormat="1">
      <c r="A389" s="3">
        <v>45863</v>
      </c>
      <c r="B389" s="2" t="s">
        <v>26</v>
      </c>
      <c r="C389" s="1">
        <f>SUM(PL!H389:J389)</f>
        <v>0</v>
      </c>
      <c r="D389" s="1">
        <f>SUM(PL!K389:M389)</f>
        <v>0</v>
      </c>
      <c r="E389" s="1">
        <f>SUM(PL!N389:P389)</f>
        <v>0</v>
      </c>
      <c r="F389" s="1">
        <f>SUM(PL!Q389:S389)</f>
        <v>0</v>
      </c>
      <c r="G389" s="1">
        <f>SUM(PL!T389:V389)</f>
        <v>0</v>
      </c>
      <c r="H389" s="1">
        <f>SUM(C389:G389)</f>
        <v>0</v>
      </c>
      <c r="I389" s="1">
        <f>IF(C389 + I388 &lt; 0, C389 + I388, 0)</f>
        <v>0</v>
      </c>
      <c r="J389" s="1">
        <f>IF(D389 + J388 &lt; 0, D389 + J388, 0)</f>
        <v>0</v>
      </c>
      <c r="K389" s="1">
        <f>IF(E389 + K388 &lt; 0, E389 + K388, 0)</f>
        <v>0</v>
      </c>
      <c r="L389" s="1">
        <f>IF(F389 + L388 &lt; 0, F389 + L388, 0)</f>
        <v>0</v>
      </c>
      <c r="M389" s="1">
        <f>IF(G389 + M388 &lt; 0, G389 + M388, 0)</f>
        <v>0</v>
      </c>
      <c r="N389" s="1">
        <f>IF(H389 + N388 &lt; 0, H389 + N388, 0)</f>
        <v>0</v>
      </c>
      <c r="O389" s="1">
        <f>IF(N389 &lt; 0, 1 + O388, 0)</f>
        <v>0</v>
      </c>
      <c r="P389" s="1">
        <f>C389-((ABS(SUM(PL!H389:J389)))*0.125)</f>
        <v>0</v>
      </c>
      <c r="Q389" s="1">
        <f>D389-((ABS(SUM(PL!K389:M389)))*0.125)</f>
        <v>0</v>
      </c>
      <c r="R389" s="1">
        <f>E389-((ABS(SUM(PL!N389:P389)))*0.125)</f>
        <v>0</v>
      </c>
      <c r="S389" s="1">
        <f>F389-((ABS(SUM(PL!Q389:S389)))*0.125)</f>
        <v>0</v>
      </c>
      <c r="T389" s="1">
        <f>G389-((ABS(SUM(PL!T389:V389)))*0.125)</f>
        <v>0</v>
      </c>
      <c r="U389" s="1">
        <f>P389 + Q389 + R389 + S389 + T389</f>
        <v>0</v>
      </c>
      <c r="V389" s="1">
        <f>IF(P389 + V388 &lt; 0, P389 + V388, 0)</f>
        <v>0</v>
      </c>
      <c r="W389" s="1">
        <f>IF(Q389 + W388 &lt; 0, Q389 + W388, 0)</f>
        <v>0</v>
      </c>
      <c r="X389" s="1">
        <f>IF(R389 + X388 &lt; 0, R389 + X388, 0)</f>
        <v>0</v>
      </c>
      <c r="Y389" s="1">
        <f>IF(S389 + Y388 &lt; 0, S389 + Y388, 0)</f>
        <v>0</v>
      </c>
      <c r="Z389" s="1">
        <f>IF(T389 + Z388 &lt; 0, T389 + Z388, 0)</f>
        <v>0</v>
      </c>
      <c r="AA389" s="1">
        <f>IF(U389 + AA388 &lt; 0, U389 + AA388, 0)</f>
        <v>0</v>
      </c>
      <c r="AB389" s="1">
        <f>IF(AA389 &lt; 0, 1 + AB388, 0)</f>
        <v>0</v>
      </c>
      <c r="AC389" s="1">
        <f>IF(H389&lt;0,1,0)</f>
        <v>0</v>
      </c>
      <c r="AD389" s="1">
        <f>IF(AC389=1,H389,0)</f>
        <v>0</v>
      </c>
      <c r="AE389" s="1">
        <f>IF(H389&gt;0,1,0)</f>
        <v>0</v>
      </c>
      <c r="AF389" s="1">
        <f>IF(AE389=1,H389,0)</f>
        <v>0</v>
      </c>
      <c r="AG389" s="1">
        <f>IF(AD389&lt;-20000000.0/100,1,0)</f>
        <v>0</v>
      </c>
      <c r="AH389" s="1">
        <f>IF(AF389&gt;20000000.0/100,1,0)</f>
        <v>0</v>
      </c>
      <c r="AI389" s="1">
        <f>IF(U389&lt;0,1,0)</f>
        <v>0</v>
      </c>
      <c r="AJ389" s="1">
        <f>IF(AI389=1,U389,0)</f>
        <v>0</v>
      </c>
      <c r="AK389" s="1">
        <f>IF(U389&gt;0,1,0)</f>
        <v>0</v>
      </c>
      <c r="AL389" s="1">
        <f>IF(AK389=1,U389,0)</f>
        <v>0</v>
      </c>
      <c r="AM389" s="1">
        <f>IF(AJ389&lt;-20000000.0/100,1,0)</f>
        <v>0</v>
      </c>
      <c r="AN389" s="1">
        <f>IF(AL389&gt;20000000.0/100,1,0)</f>
        <v>0</v>
      </c>
    </row>
    <row r="390" spans="1:40" s="1" customFormat="1">
      <c r="A390" s="3">
        <v>45866</v>
      </c>
      <c r="B390" s="2" t="s">
        <v>22</v>
      </c>
      <c r="C390" s="1">
        <f>SUM(PL!H390:J390)</f>
        <v>0</v>
      </c>
      <c r="D390" s="1">
        <f>SUM(PL!K390:M390)</f>
        <v>0</v>
      </c>
      <c r="E390" s="1">
        <f>SUM(PL!N390:P390)</f>
        <v>0</v>
      </c>
      <c r="F390" s="1">
        <f>SUM(PL!Q390:S390)</f>
        <v>0</v>
      </c>
      <c r="G390" s="1">
        <f>SUM(PL!T390:V390)</f>
        <v>0</v>
      </c>
      <c r="H390" s="1">
        <f>SUM(C390:G390)</f>
        <v>0</v>
      </c>
      <c r="I390" s="1">
        <f>IF(C390 + I389 &lt; 0, C390 + I389, 0)</f>
        <v>0</v>
      </c>
      <c r="J390" s="1">
        <f>IF(D390 + J389 &lt; 0, D390 + J389, 0)</f>
        <v>0</v>
      </c>
      <c r="K390" s="1">
        <f>IF(E390 + K389 &lt; 0, E390 + K389, 0)</f>
        <v>0</v>
      </c>
      <c r="L390" s="1">
        <f>IF(F390 + L389 &lt; 0, F390 + L389, 0)</f>
        <v>0</v>
      </c>
      <c r="M390" s="1">
        <f>IF(G390 + M389 &lt; 0, G390 + M389, 0)</f>
        <v>0</v>
      </c>
      <c r="N390" s="1">
        <f>IF(H390 + N389 &lt; 0, H390 + N389, 0)</f>
        <v>0</v>
      </c>
      <c r="O390" s="1">
        <f>IF(N390 &lt; 0, 1 + O389, 0)</f>
        <v>0</v>
      </c>
      <c r="P390" s="1">
        <f>C390-((ABS(SUM(PL!H390:J390)))*0.125)</f>
        <v>0</v>
      </c>
      <c r="Q390" s="1">
        <f>D390-((ABS(SUM(PL!K390:M390)))*0.125)</f>
        <v>0</v>
      </c>
      <c r="R390" s="1">
        <f>E390-((ABS(SUM(PL!N390:P390)))*0.125)</f>
        <v>0</v>
      </c>
      <c r="S390" s="1">
        <f>F390-((ABS(SUM(PL!Q390:S390)))*0.125)</f>
        <v>0</v>
      </c>
      <c r="T390" s="1">
        <f>G390-((ABS(SUM(PL!T390:V390)))*0.125)</f>
        <v>0</v>
      </c>
      <c r="U390" s="1">
        <f>P390 + Q390 + R390 + S390 + T390</f>
        <v>0</v>
      </c>
      <c r="V390" s="1">
        <f>IF(P390 + V389 &lt; 0, P390 + V389, 0)</f>
        <v>0</v>
      </c>
      <c r="W390" s="1">
        <f>IF(Q390 + W389 &lt; 0, Q390 + W389, 0)</f>
        <v>0</v>
      </c>
      <c r="X390" s="1">
        <f>IF(R390 + X389 &lt; 0, R390 + X389, 0)</f>
        <v>0</v>
      </c>
      <c r="Y390" s="1">
        <f>IF(S390 + Y389 &lt; 0, S390 + Y389, 0)</f>
        <v>0</v>
      </c>
      <c r="Z390" s="1">
        <f>IF(T390 + Z389 &lt; 0, T390 + Z389, 0)</f>
        <v>0</v>
      </c>
      <c r="AA390" s="1">
        <f>IF(U390 + AA389 &lt; 0, U390 + AA389, 0)</f>
        <v>0</v>
      </c>
      <c r="AB390" s="1">
        <f>IF(AA390 &lt; 0, 1 + AB389, 0)</f>
        <v>0</v>
      </c>
      <c r="AC390" s="1">
        <f>IF(H390&lt;0,1,0)</f>
        <v>0</v>
      </c>
      <c r="AD390" s="1">
        <f>IF(AC390=1,H390,0)</f>
        <v>0</v>
      </c>
      <c r="AE390" s="1">
        <f>IF(H390&gt;0,1,0)</f>
        <v>0</v>
      </c>
      <c r="AF390" s="1">
        <f>IF(AE390=1,H390,0)</f>
        <v>0</v>
      </c>
      <c r="AG390" s="1">
        <f>IF(AD390&lt;-20000000.0/100,1,0)</f>
        <v>0</v>
      </c>
      <c r="AH390" s="1">
        <f>IF(AF390&gt;20000000.0/100,1,0)</f>
        <v>0</v>
      </c>
      <c r="AI390" s="1">
        <f>IF(U390&lt;0,1,0)</f>
        <v>0</v>
      </c>
      <c r="AJ390" s="1">
        <f>IF(AI390=1,U390,0)</f>
        <v>0</v>
      </c>
      <c r="AK390" s="1">
        <f>IF(U390&gt;0,1,0)</f>
        <v>0</v>
      </c>
      <c r="AL390" s="1">
        <f>IF(AK390=1,U390,0)</f>
        <v>0</v>
      </c>
      <c r="AM390" s="1">
        <f>IF(AJ390&lt;-20000000.0/100,1,0)</f>
        <v>0</v>
      </c>
      <c r="AN390" s="1">
        <f>IF(AL390&gt;20000000.0/100,1,0)</f>
        <v>0</v>
      </c>
    </row>
    <row r="391" spans="1:40" s="1" customFormat="1">
      <c r="A391" s="3">
        <v>45867</v>
      </c>
      <c r="B391" s="2" t="s">
        <v>23</v>
      </c>
      <c r="C391" s="1">
        <f>SUM(PL!H391:J391)</f>
        <v>0</v>
      </c>
      <c r="D391" s="1">
        <f>SUM(PL!K391:M391)</f>
        <v>0</v>
      </c>
      <c r="E391" s="1">
        <f>SUM(PL!N391:P391)</f>
        <v>0</v>
      </c>
      <c r="F391" s="1">
        <f>SUM(PL!Q391:S391)</f>
        <v>0</v>
      </c>
      <c r="G391" s="1">
        <f>SUM(PL!T391:V391)</f>
        <v>0</v>
      </c>
      <c r="H391" s="1">
        <f>SUM(C391:G391)</f>
        <v>0</v>
      </c>
      <c r="I391" s="1">
        <f>IF(C391 + I390 &lt; 0, C391 + I390, 0)</f>
        <v>0</v>
      </c>
      <c r="J391" s="1">
        <f>IF(D391 + J390 &lt; 0, D391 + J390, 0)</f>
        <v>0</v>
      </c>
      <c r="K391" s="1">
        <f>IF(E391 + K390 &lt; 0, E391 + K390, 0)</f>
        <v>0</v>
      </c>
      <c r="L391" s="1">
        <f>IF(F391 + L390 &lt; 0, F391 + L390, 0)</f>
        <v>0</v>
      </c>
      <c r="M391" s="1">
        <f>IF(G391 + M390 &lt; 0, G391 + M390, 0)</f>
        <v>0</v>
      </c>
      <c r="N391" s="1">
        <f>IF(H391 + N390 &lt; 0, H391 + N390, 0)</f>
        <v>0</v>
      </c>
      <c r="O391" s="1">
        <f>IF(N391 &lt; 0, 1 + O390, 0)</f>
        <v>0</v>
      </c>
      <c r="P391" s="1">
        <f>C391-((ABS(SUM(PL!H391:J391)))*0.125)</f>
        <v>0</v>
      </c>
      <c r="Q391" s="1">
        <f>D391-((ABS(SUM(PL!K391:M391)))*0.125)</f>
        <v>0</v>
      </c>
      <c r="R391" s="1">
        <f>E391-((ABS(SUM(PL!N391:P391)))*0.125)</f>
        <v>0</v>
      </c>
      <c r="S391" s="1">
        <f>F391-((ABS(SUM(PL!Q391:S391)))*0.125)</f>
        <v>0</v>
      </c>
      <c r="T391" s="1">
        <f>G391-((ABS(SUM(PL!T391:V391)))*0.125)</f>
        <v>0</v>
      </c>
      <c r="U391" s="1">
        <f>P391 + Q391 + R391 + S391 + T391</f>
        <v>0</v>
      </c>
      <c r="V391" s="1">
        <f>IF(P391 + V390 &lt; 0, P391 + V390, 0)</f>
        <v>0</v>
      </c>
      <c r="W391" s="1">
        <f>IF(Q391 + W390 &lt; 0, Q391 + W390, 0)</f>
        <v>0</v>
      </c>
      <c r="X391" s="1">
        <f>IF(R391 + X390 &lt; 0, R391 + X390, 0)</f>
        <v>0</v>
      </c>
      <c r="Y391" s="1">
        <f>IF(S391 + Y390 &lt; 0, S391 + Y390, 0)</f>
        <v>0</v>
      </c>
      <c r="Z391" s="1">
        <f>IF(T391 + Z390 &lt; 0, T391 + Z390, 0)</f>
        <v>0</v>
      </c>
      <c r="AA391" s="1">
        <f>IF(U391 + AA390 &lt; 0, U391 + AA390, 0)</f>
        <v>0</v>
      </c>
      <c r="AB391" s="1">
        <f>IF(AA391 &lt; 0, 1 + AB390, 0)</f>
        <v>0</v>
      </c>
      <c r="AC391" s="1">
        <f>IF(H391&lt;0,1,0)</f>
        <v>0</v>
      </c>
      <c r="AD391" s="1">
        <f>IF(AC391=1,H391,0)</f>
        <v>0</v>
      </c>
      <c r="AE391" s="1">
        <f>IF(H391&gt;0,1,0)</f>
        <v>0</v>
      </c>
      <c r="AF391" s="1">
        <f>IF(AE391=1,H391,0)</f>
        <v>0</v>
      </c>
      <c r="AG391" s="1">
        <f>IF(AD391&lt;-20000000.0/100,1,0)</f>
        <v>0</v>
      </c>
      <c r="AH391" s="1">
        <f>IF(AF391&gt;20000000.0/100,1,0)</f>
        <v>0</v>
      </c>
      <c r="AI391" s="1">
        <f>IF(U391&lt;0,1,0)</f>
        <v>0</v>
      </c>
      <c r="AJ391" s="1">
        <f>IF(AI391=1,U391,0)</f>
        <v>0</v>
      </c>
      <c r="AK391" s="1">
        <f>IF(U391&gt;0,1,0)</f>
        <v>0</v>
      </c>
      <c r="AL391" s="1">
        <f>IF(AK391=1,U391,0)</f>
        <v>0</v>
      </c>
      <c r="AM391" s="1">
        <f>IF(AJ391&lt;-20000000.0/100,1,0)</f>
        <v>0</v>
      </c>
      <c r="AN391" s="1">
        <f>IF(AL391&gt;20000000.0/100,1,0)</f>
        <v>0</v>
      </c>
    </row>
    <row r="392" spans="1:40" s="1" customFormat="1">
      <c r="A392" s="3">
        <v>45868</v>
      </c>
      <c r="B392" s="2" t="s">
        <v>24</v>
      </c>
      <c r="C392" s="1">
        <f>SUM(PL!H392:J392)</f>
        <v>0</v>
      </c>
      <c r="D392" s="1">
        <f>SUM(PL!K392:M392)</f>
        <v>0</v>
      </c>
      <c r="E392" s="1">
        <f>SUM(PL!N392:P392)</f>
        <v>0</v>
      </c>
      <c r="F392" s="1">
        <f>SUM(PL!Q392:S392)</f>
        <v>0</v>
      </c>
      <c r="G392" s="1">
        <f>SUM(PL!T392:V392)</f>
        <v>0</v>
      </c>
      <c r="H392" s="1">
        <f>SUM(C392:G392)</f>
        <v>0</v>
      </c>
      <c r="I392" s="1">
        <f>IF(C392 + I391 &lt; 0, C392 + I391, 0)</f>
        <v>0</v>
      </c>
      <c r="J392" s="1">
        <f>IF(D392 + J391 &lt; 0, D392 + J391, 0)</f>
        <v>0</v>
      </c>
      <c r="K392" s="1">
        <f>IF(E392 + K391 &lt; 0, E392 + K391, 0)</f>
        <v>0</v>
      </c>
      <c r="L392" s="1">
        <f>IF(F392 + L391 &lt; 0, F392 + L391, 0)</f>
        <v>0</v>
      </c>
      <c r="M392" s="1">
        <f>IF(G392 + M391 &lt; 0, G392 + M391, 0)</f>
        <v>0</v>
      </c>
      <c r="N392" s="1">
        <f>IF(H392 + N391 &lt; 0, H392 + N391, 0)</f>
        <v>0</v>
      </c>
      <c r="O392" s="1">
        <f>IF(N392 &lt; 0, 1 + O391, 0)</f>
        <v>0</v>
      </c>
      <c r="P392" s="1">
        <f>C392-((ABS(SUM(PL!H392:J392)))*0.125)</f>
        <v>0</v>
      </c>
      <c r="Q392" s="1">
        <f>D392-((ABS(SUM(PL!K392:M392)))*0.125)</f>
        <v>0</v>
      </c>
      <c r="R392" s="1">
        <f>E392-((ABS(SUM(PL!N392:P392)))*0.125)</f>
        <v>0</v>
      </c>
      <c r="S392" s="1">
        <f>F392-((ABS(SUM(PL!Q392:S392)))*0.125)</f>
        <v>0</v>
      </c>
      <c r="T392" s="1">
        <f>G392-((ABS(SUM(PL!T392:V392)))*0.125)</f>
        <v>0</v>
      </c>
      <c r="U392" s="1">
        <f>P392 + Q392 + R392 + S392 + T392</f>
        <v>0</v>
      </c>
      <c r="V392" s="1">
        <f>IF(P392 + V391 &lt; 0, P392 + V391, 0)</f>
        <v>0</v>
      </c>
      <c r="W392" s="1">
        <f>IF(Q392 + W391 &lt; 0, Q392 + W391, 0)</f>
        <v>0</v>
      </c>
      <c r="X392" s="1">
        <f>IF(R392 + X391 &lt; 0, R392 + X391, 0)</f>
        <v>0</v>
      </c>
      <c r="Y392" s="1">
        <f>IF(S392 + Y391 &lt; 0, S392 + Y391, 0)</f>
        <v>0</v>
      </c>
      <c r="Z392" s="1">
        <f>IF(T392 + Z391 &lt; 0, T392 + Z391, 0)</f>
        <v>0</v>
      </c>
      <c r="AA392" s="1">
        <f>IF(U392 + AA391 &lt; 0, U392 + AA391, 0)</f>
        <v>0</v>
      </c>
      <c r="AB392" s="1">
        <f>IF(AA392 &lt; 0, 1 + AB391, 0)</f>
        <v>0</v>
      </c>
      <c r="AC392" s="1">
        <f>IF(H392&lt;0,1,0)</f>
        <v>0</v>
      </c>
      <c r="AD392" s="1">
        <f>IF(AC392=1,H392,0)</f>
        <v>0</v>
      </c>
      <c r="AE392" s="1">
        <f>IF(H392&gt;0,1,0)</f>
        <v>0</v>
      </c>
      <c r="AF392" s="1">
        <f>IF(AE392=1,H392,0)</f>
        <v>0</v>
      </c>
      <c r="AG392" s="1">
        <f>IF(AD392&lt;-20000000.0/100,1,0)</f>
        <v>0</v>
      </c>
      <c r="AH392" s="1">
        <f>IF(AF392&gt;20000000.0/100,1,0)</f>
        <v>0</v>
      </c>
      <c r="AI392" s="1">
        <f>IF(U392&lt;0,1,0)</f>
        <v>0</v>
      </c>
      <c r="AJ392" s="1">
        <f>IF(AI392=1,U392,0)</f>
        <v>0</v>
      </c>
      <c r="AK392" s="1">
        <f>IF(U392&gt;0,1,0)</f>
        <v>0</v>
      </c>
      <c r="AL392" s="1">
        <f>IF(AK392=1,U392,0)</f>
        <v>0</v>
      </c>
      <c r="AM392" s="1">
        <f>IF(AJ392&lt;-20000000.0/100,1,0)</f>
        <v>0</v>
      </c>
      <c r="AN392" s="1">
        <f>IF(AL392&gt;20000000.0/100,1,0)</f>
        <v>0</v>
      </c>
    </row>
    <row r="393" spans="1:40" s="1" customFormat="1">
      <c r="A393" s="3">
        <v>45869</v>
      </c>
      <c r="B393" s="2" t="s">
        <v>25</v>
      </c>
      <c r="C393" s="1">
        <f>SUM(PL!H393:J393)</f>
        <v>0</v>
      </c>
      <c r="D393" s="1">
        <f>SUM(PL!K393:M393)</f>
        <v>0</v>
      </c>
      <c r="E393" s="1">
        <f>SUM(PL!N393:P393)</f>
        <v>0</v>
      </c>
      <c r="F393" s="1">
        <f>SUM(PL!Q393:S393)</f>
        <v>0</v>
      </c>
      <c r="G393" s="1">
        <f>SUM(PL!T393:V393)</f>
        <v>0</v>
      </c>
      <c r="H393" s="1">
        <f>SUM(C393:G393)</f>
        <v>0</v>
      </c>
      <c r="I393" s="1">
        <f>IF(C393 + I392 &lt; 0, C393 + I392, 0)</f>
        <v>0</v>
      </c>
      <c r="J393" s="1">
        <f>IF(D393 + J392 &lt; 0, D393 + J392, 0)</f>
        <v>0</v>
      </c>
      <c r="K393" s="1">
        <f>IF(E393 + K392 &lt; 0, E393 + K392, 0)</f>
        <v>0</v>
      </c>
      <c r="L393" s="1">
        <f>IF(F393 + L392 &lt; 0, F393 + L392, 0)</f>
        <v>0</v>
      </c>
      <c r="M393" s="1">
        <f>IF(G393 + M392 &lt; 0, G393 + M392, 0)</f>
        <v>0</v>
      </c>
      <c r="N393" s="1">
        <f>IF(H393 + N392 &lt; 0, H393 + N392, 0)</f>
        <v>0</v>
      </c>
      <c r="O393" s="1">
        <f>IF(N393 &lt; 0, 1 + O392, 0)</f>
        <v>0</v>
      </c>
      <c r="P393" s="1">
        <f>C393-((ABS(SUM(PL!H393:J393)))*0.125)</f>
        <v>0</v>
      </c>
      <c r="Q393" s="1">
        <f>D393-((ABS(SUM(PL!K393:M393)))*0.125)</f>
        <v>0</v>
      </c>
      <c r="R393" s="1">
        <f>E393-((ABS(SUM(PL!N393:P393)))*0.125)</f>
        <v>0</v>
      </c>
      <c r="S393" s="1">
        <f>F393-((ABS(SUM(PL!Q393:S393)))*0.125)</f>
        <v>0</v>
      </c>
      <c r="T393" s="1">
        <f>G393-((ABS(SUM(PL!T393:V393)))*0.125)</f>
        <v>0</v>
      </c>
      <c r="U393" s="1">
        <f>P393 + Q393 + R393 + S393 + T393</f>
        <v>0</v>
      </c>
      <c r="V393" s="1">
        <f>IF(P393 + V392 &lt; 0, P393 + V392, 0)</f>
        <v>0</v>
      </c>
      <c r="W393" s="1">
        <f>IF(Q393 + W392 &lt; 0, Q393 + W392, 0)</f>
        <v>0</v>
      </c>
      <c r="X393" s="1">
        <f>IF(R393 + X392 &lt; 0, R393 + X392, 0)</f>
        <v>0</v>
      </c>
      <c r="Y393" s="1">
        <f>IF(S393 + Y392 &lt; 0, S393 + Y392, 0)</f>
        <v>0</v>
      </c>
      <c r="Z393" s="1">
        <f>IF(T393 + Z392 &lt; 0, T393 + Z392, 0)</f>
        <v>0</v>
      </c>
      <c r="AA393" s="1">
        <f>IF(U393 + AA392 &lt; 0, U393 + AA392, 0)</f>
        <v>0</v>
      </c>
      <c r="AB393" s="1">
        <f>IF(AA393 &lt; 0, 1 + AB392, 0)</f>
        <v>0</v>
      </c>
      <c r="AC393" s="1">
        <f>IF(H393&lt;0,1,0)</f>
        <v>0</v>
      </c>
      <c r="AD393" s="1">
        <f>IF(AC393=1,H393,0)</f>
        <v>0</v>
      </c>
      <c r="AE393" s="1">
        <f>IF(H393&gt;0,1,0)</f>
        <v>0</v>
      </c>
      <c r="AF393" s="1">
        <f>IF(AE393=1,H393,0)</f>
        <v>0</v>
      </c>
      <c r="AG393" s="1">
        <f>IF(AD393&lt;-20000000.0/100,1,0)</f>
        <v>0</v>
      </c>
      <c r="AH393" s="1">
        <f>IF(AF393&gt;20000000.0/100,1,0)</f>
        <v>0</v>
      </c>
      <c r="AI393" s="1">
        <f>IF(U393&lt;0,1,0)</f>
        <v>0</v>
      </c>
      <c r="AJ393" s="1">
        <f>IF(AI393=1,U393,0)</f>
        <v>0</v>
      </c>
      <c r="AK393" s="1">
        <f>IF(U393&gt;0,1,0)</f>
        <v>0</v>
      </c>
      <c r="AL393" s="1">
        <f>IF(AK393=1,U393,0)</f>
        <v>0</v>
      </c>
      <c r="AM393" s="1">
        <f>IF(AJ393&lt;-20000000.0/100,1,0)</f>
        <v>0</v>
      </c>
      <c r="AN393" s="1">
        <f>IF(AL393&gt;20000000.0/100,1,0)</f>
        <v>0</v>
      </c>
    </row>
    <row r="394" spans="1:40" s="1" customFormat="1">
      <c r="A394" s="3">
        <v>45870</v>
      </c>
      <c r="B394" s="2" t="s">
        <v>26</v>
      </c>
      <c r="C394" s="1">
        <f>SUM(PL!H394:J394)</f>
        <v>0</v>
      </c>
      <c r="D394" s="1">
        <f>SUM(PL!K394:M394)</f>
        <v>0</v>
      </c>
      <c r="E394" s="1">
        <f>SUM(PL!N394:P394)</f>
        <v>0</v>
      </c>
      <c r="F394" s="1">
        <f>SUM(PL!Q394:S394)</f>
        <v>0</v>
      </c>
      <c r="G394" s="1">
        <f>SUM(PL!T394:V394)</f>
        <v>0</v>
      </c>
      <c r="H394" s="1">
        <f>SUM(C394:G394)</f>
        <v>0</v>
      </c>
      <c r="I394" s="1">
        <f>IF(C394 + I393 &lt; 0, C394 + I393, 0)</f>
        <v>0</v>
      </c>
      <c r="J394" s="1">
        <f>IF(D394 + J393 &lt; 0, D394 + J393, 0)</f>
        <v>0</v>
      </c>
      <c r="K394" s="1">
        <f>IF(E394 + K393 &lt; 0, E394 + K393, 0)</f>
        <v>0</v>
      </c>
      <c r="L394" s="1">
        <f>IF(F394 + L393 &lt; 0, F394 + L393, 0)</f>
        <v>0</v>
      </c>
      <c r="M394" s="1">
        <f>IF(G394 + M393 &lt; 0, G394 + M393, 0)</f>
        <v>0</v>
      </c>
      <c r="N394" s="1">
        <f>IF(H394 + N393 &lt; 0, H394 + N393, 0)</f>
        <v>0</v>
      </c>
      <c r="O394" s="1">
        <f>IF(N394 &lt; 0, 1 + O393, 0)</f>
        <v>0</v>
      </c>
      <c r="P394" s="1">
        <f>C394-((ABS(SUM(PL!H394:J394)))*0.125)</f>
        <v>0</v>
      </c>
      <c r="Q394" s="1">
        <f>D394-((ABS(SUM(PL!K394:M394)))*0.125)</f>
        <v>0</v>
      </c>
      <c r="R394" s="1">
        <f>E394-((ABS(SUM(PL!N394:P394)))*0.125)</f>
        <v>0</v>
      </c>
      <c r="S394" s="1">
        <f>F394-((ABS(SUM(PL!Q394:S394)))*0.125)</f>
        <v>0</v>
      </c>
      <c r="T394" s="1">
        <f>G394-((ABS(SUM(PL!T394:V394)))*0.125)</f>
        <v>0</v>
      </c>
      <c r="U394" s="1">
        <f>P394 + Q394 + R394 + S394 + T394</f>
        <v>0</v>
      </c>
      <c r="V394" s="1">
        <f>IF(P394 + V393 &lt; 0, P394 + V393, 0)</f>
        <v>0</v>
      </c>
      <c r="W394" s="1">
        <f>IF(Q394 + W393 &lt; 0, Q394 + W393, 0)</f>
        <v>0</v>
      </c>
      <c r="X394" s="1">
        <f>IF(R394 + X393 &lt; 0, R394 + X393, 0)</f>
        <v>0</v>
      </c>
      <c r="Y394" s="1">
        <f>IF(S394 + Y393 &lt; 0, S394 + Y393, 0)</f>
        <v>0</v>
      </c>
      <c r="Z394" s="1">
        <f>IF(T394 + Z393 &lt; 0, T394 + Z393, 0)</f>
        <v>0</v>
      </c>
      <c r="AA394" s="1">
        <f>IF(U394 + AA393 &lt; 0, U394 + AA393, 0)</f>
        <v>0</v>
      </c>
      <c r="AB394" s="1">
        <f>IF(AA394 &lt; 0, 1 + AB393, 0)</f>
        <v>0</v>
      </c>
      <c r="AC394" s="1">
        <f>IF(H394&lt;0,1,0)</f>
        <v>0</v>
      </c>
      <c r="AD394" s="1">
        <f>IF(AC394=1,H394,0)</f>
        <v>0</v>
      </c>
      <c r="AE394" s="1">
        <f>IF(H394&gt;0,1,0)</f>
        <v>0</v>
      </c>
      <c r="AF394" s="1">
        <f>IF(AE394=1,H394,0)</f>
        <v>0</v>
      </c>
      <c r="AG394" s="1">
        <f>IF(AD394&lt;-20000000.0/100,1,0)</f>
        <v>0</v>
      </c>
      <c r="AH394" s="1">
        <f>IF(AF394&gt;20000000.0/100,1,0)</f>
        <v>0</v>
      </c>
      <c r="AI394" s="1">
        <f>IF(U394&lt;0,1,0)</f>
        <v>0</v>
      </c>
      <c r="AJ394" s="1">
        <f>IF(AI394=1,U394,0)</f>
        <v>0</v>
      </c>
      <c r="AK394" s="1">
        <f>IF(U394&gt;0,1,0)</f>
        <v>0</v>
      </c>
      <c r="AL394" s="1">
        <f>IF(AK394=1,U394,0)</f>
        <v>0</v>
      </c>
      <c r="AM394" s="1">
        <f>IF(AJ394&lt;-20000000.0/100,1,0)</f>
        <v>0</v>
      </c>
      <c r="AN394" s="1">
        <f>IF(AL394&gt;20000000.0/100,1,0)</f>
        <v>0</v>
      </c>
    </row>
    <row r="395" spans="1:40" s="1" customFormat="1">
      <c r="A395" s="3">
        <v>45873</v>
      </c>
      <c r="B395" s="2" t="s">
        <v>22</v>
      </c>
      <c r="C395" s="1">
        <f>SUM(PL!H395:J395)</f>
        <v>0</v>
      </c>
      <c r="D395" s="1">
        <f>SUM(PL!K395:M395)</f>
        <v>0</v>
      </c>
      <c r="E395" s="1">
        <f>SUM(PL!N395:P395)</f>
        <v>0</v>
      </c>
      <c r="F395" s="1">
        <f>SUM(PL!Q395:S395)</f>
        <v>0</v>
      </c>
      <c r="G395" s="1">
        <f>SUM(PL!T395:V395)</f>
        <v>0</v>
      </c>
      <c r="H395" s="1">
        <f>SUM(C395:G395)</f>
        <v>0</v>
      </c>
      <c r="I395" s="1">
        <f>IF(C395 + I394 &lt; 0, C395 + I394, 0)</f>
        <v>0</v>
      </c>
      <c r="J395" s="1">
        <f>IF(D395 + J394 &lt; 0, D395 + J394, 0)</f>
        <v>0</v>
      </c>
      <c r="K395" s="1">
        <f>IF(E395 + K394 &lt; 0, E395 + K394, 0)</f>
        <v>0</v>
      </c>
      <c r="L395" s="1">
        <f>IF(F395 + L394 &lt; 0, F395 + L394, 0)</f>
        <v>0</v>
      </c>
      <c r="M395" s="1">
        <f>IF(G395 + M394 &lt; 0, G395 + M394, 0)</f>
        <v>0</v>
      </c>
      <c r="N395" s="1">
        <f>IF(H395 + N394 &lt; 0, H395 + N394, 0)</f>
        <v>0</v>
      </c>
      <c r="O395" s="1">
        <f>IF(N395 &lt; 0, 1 + O394, 0)</f>
        <v>0</v>
      </c>
      <c r="P395" s="1">
        <f>C395-((ABS(SUM(PL!H395:J395)))*0.125)</f>
        <v>0</v>
      </c>
      <c r="Q395" s="1">
        <f>D395-((ABS(SUM(PL!K395:M395)))*0.125)</f>
        <v>0</v>
      </c>
      <c r="R395" s="1">
        <f>E395-((ABS(SUM(PL!N395:P395)))*0.125)</f>
        <v>0</v>
      </c>
      <c r="S395" s="1">
        <f>F395-((ABS(SUM(PL!Q395:S395)))*0.125)</f>
        <v>0</v>
      </c>
      <c r="T395" s="1">
        <f>G395-((ABS(SUM(PL!T395:V395)))*0.125)</f>
        <v>0</v>
      </c>
      <c r="U395" s="1">
        <f>P395 + Q395 + R395 + S395 + T395</f>
        <v>0</v>
      </c>
      <c r="V395" s="1">
        <f>IF(P395 + V394 &lt; 0, P395 + V394, 0)</f>
        <v>0</v>
      </c>
      <c r="W395" s="1">
        <f>IF(Q395 + W394 &lt; 0, Q395 + W394, 0)</f>
        <v>0</v>
      </c>
      <c r="X395" s="1">
        <f>IF(R395 + X394 &lt; 0, R395 + X394, 0)</f>
        <v>0</v>
      </c>
      <c r="Y395" s="1">
        <f>IF(S395 + Y394 &lt; 0, S395 + Y394, 0)</f>
        <v>0</v>
      </c>
      <c r="Z395" s="1">
        <f>IF(T395 + Z394 &lt; 0, T395 + Z394, 0)</f>
        <v>0</v>
      </c>
      <c r="AA395" s="1">
        <f>IF(U395 + AA394 &lt; 0, U395 + AA394, 0)</f>
        <v>0</v>
      </c>
      <c r="AB395" s="1">
        <f>IF(AA395 &lt; 0, 1 + AB394, 0)</f>
        <v>0</v>
      </c>
      <c r="AC395" s="1">
        <f>IF(H395&lt;0,1,0)</f>
        <v>0</v>
      </c>
      <c r="AD395" s="1">
        <f>IF(AC395=1,H395,0)</f>
        <v>0</v>
      </c>
      <c r="AE395" s="1">
        <f>IF(H395&gt;0,1,0)</f>
        <v>0</v>
      </c>
      <c r="AF395" s="1">
        <f>IF(AE395=1,H395,0)</f>
        <v>0</v>
      </c>
      <c r="AG395" s="1">
        <f>IF(AD395&lt;-20000000.0/100,1,0)</f>
        <v>0</v>
      </c>
      <c r="AH395" s="1">
        <f>IF(AF395&gt;20000000.0/100,1,0)</f>
        <v>0</v>
      </c>
      <c r="AI395" s="1">
        <f>IF(U395&lt;0,1,0)</f>
        <v>0</v>
      </c>
      <c r="AJ395" s="1">
        <f>IF(AI395=1,U395,0)</f>
        <v>0</v>
      </c>
      <c r="AK395" s="1">
        <f>IF(U395&gt;0,1,0)</f>
        <v>0</v>
      </c>
      <c r="AL395" s="1">
        <f>IF(AK395=1,U395,0)</f>
        <v>0</v>
      </c>
      <c r="AM395" s="1">
        <f>IF(AJ395&lt;-20000000.0/100,1,0)</f>
        <v>0</v>
      </c>
      <c r="AN395" s="1">
        <f>IF(AL395&gt;20000000.0/100,1,0)</f>
        <v>0</v>
      </c>
    </row>
    <row r="396" spans="1:40" s="1" customFormat="1">
      <c r="A396" s="3">
        <v>45874</v>
      </c>
      <c r="B396" s="2" t="s">
        <v>23</v>
      </c>
      <c r="C396" s="1">
        <f>SUM(PL!H396:J396)</f>
        <v>0</v>
      </c>
      <c r="D396" s="1">
        <f>SUM(PL!K396:M396)</f>
        <v>0</v>
      </c>
      <c r="E396" s="1">
        <f>SUM(PL!N396:P396)</f>
        <v>0</v>
      </c>
      <c r="F396" s="1">
        <f>SUM(PL!Q396:S396)</f>
        <v>0</v>
      </c>
      <c r="G396" s="1">
        <f>SUM(PL!T396:V396)</f>
        <v>0</v>
      </c>
      <c r="H396" s="1">
        <f>SUM(C396:G396)</f>
        <v>0</v>
      </c>
      <c r="I396" s="1">
        <f>IF(C396 + I395 &lt; 0, C396 + I395, 0)</f>
        <v>0</v>
      </c>
      <c r="J396" s="1">
        <f>IF(D396 + J395 &lt; 0, D396 + J395, 0)</f>
        <v>0</v>
      </c>
      <c r="K396" s="1">
        <f>IF(E396 + K395 &lt; 0, E396 + K395, 0)</f>
        <v>0</v>
      </c>
      <c r="L396" s="1">
        <f>IF(F396 + L395 &lt; 0, F396 + L395, 0)</f>
        <v>0</v>
      </c>
      <c r="M396" s="1">
        <f>IF(G396 + M395 &lt; 0, G396 + M395, 0)</f>
        <v>0</v>
      </c>
      <c r="N396" s="1">
        <f>IF(H396 + N395 &lt; 0, H396 + N395, 0)</f>
        <v>0</v>
      </c>
      <c r="O396" s="1">
        <f>IF(N396 &lt; 0, 1 + O395, 0)</f>
        <v>0</v>
      </c>
      <c r="P396" s="1">
        <f>C396-((ABS(SUM(PL!H396:J396)))*0.125)</f>
        <v>0</v>
      </c>
      <c r="Q396" s="1">
        <f>D396-((ABS(SUM(PL!K396:M396)))*0.125)</f>
        <v>0</v>
      </c>
      <c r="R396" s="1">
        <f>E396-((ABS(SUM(PL!N396:P396)))*0.125)</f>
        <v>0</v>
      </c>
      <c r="S396" s="1">
        <f>F396-((ABS(SUM(PL!Q396:S396)))*0.125)</f>
        <v>0</v>
      </c>
      <c r="T396" s="1">
        <f>G396-((ABS(SUM(PL!T396:V396)))*0.125)</f>
        <v>0</v>
      </c>
      <c r="U396" s="1">
        <f>P396 + Q396 + R396 + S396 + T396</f>
        <v>0</v>
      </c>
      <c r="V396" s="1">
        <f>IF(P396 + V395 &lt; 0, P396 + V395, 0)</f>
        <v>0</v>
      </c>
      <c r="W396" s="1">
        <f>IF(Q396 + W395 &lt; 0, Q396 + W395, 0)</f>
        <v>0</v>
      </c>
      <c r="X396" s="1">
        <f>IF(R396 + X395 &lt; 0, R396 + X395, 0)</f>
        <v>0</v>
      </c>
      <c r="Y396" s="1">
        <f>IF(S396 + Y395 &lt; 0, S396 + Y395, 0)</f>
        <v>0</v>
      </c>
      <c r="Z396" s="1">
        <f>IF(T396 + Z395 &lt; 0, T396 + Z395, 0)</f>
        <v>0</v>
      </c>
      <c r="AA396" s="1">
        <f>IF(U396 + AA395 &lt; 0, U396 + AA395, 0)</f>
        <v>0</v>
      </c>
      <c r="AB396" s="1">
        <f>IF(AA396 &lt; 0, 1 + AB395, 0)</f>
        <v>0</v>
      </c>
      <c r="AC396" s="1">
        <f>IF(H396&lt;0,1,0)</f>
        <v>0</v>
      </c>
      <c r="AD396" s="1">
        <f>IF(AC396=1,H396,0)</f>
        <v>0</v>
      </c>
      <c r="AE396" s="1">
        <f>IF(H396&gt;0,1,0)</f>
        <v>0</v>
      </c>
      <c r="AF396" s="1">
        <f>IF(AE396=1,H396,0)</f>
        <v>0</v>
      </c>
      <c r="AG396" s="1">
        <f>IF(AD396&lt;-20000000.0/100,1,0)</f>
        <v>0</v>
      </c>
      <c r="AH396" s="1">
        <f>IF(AF396&gt;20000000.0/100,1,0)</f>
        <v>0</v>
      </c>
      <c r="AI396" s="1">
        <f>IF(U396&lt;0,1,0)</f>
        <v>0</v>
      </c>
      <c r="AJ396" s="1">
        <f>IF(AI396=1,U396,0)</f>
        <v>0</v>
      </c>
      <c r="AK396" s="1">
        <f>IF(U396&gt;0,1,0)</f>
        <v>0</v>
      </c>
      <c r="AL396" s="1">
        <f>IF(AK396=1,U396,0)</f>
        <v>0</v>
      </c>
      <c r="AM396" s="1">
        <f>IF(AJ396&lt;-20000000.0/100,1,0)</f>
        <v>0</v>
      </c>
      <c r="AN396" s="1">
        <f>IF(AL396&gt;20000000.0/100,1,0)</f>
        <v>0</v>
      </c>
    </row>
    <row r="397" spans="1:40" s="1" customFormat="1">
      <c r="A397" s="3">
        <v>45875</v>
      </c>
      <c r="B397" s="2" t="s">
        <v>24</v>
      </c>
      <c r="C397" s="1">
        <f>SUM(PL!H397:J397)</f>
        <v>0</v>
      </c>
      <c r="D397" s="1">
        <f>SUM(PL!K397:M397)</f>
        <v>0</v>
      </c>
      <c r="E397" s="1">
        <f>SUM(PL!N397:P397)</f>
        <v>0</v>
      </c>
      <c r="F397" s="1">
        <f>SUM(PL!Q397:S397)</f>
        <v>0</v>
      </c>
      <c r="G397" s="1">
        <f>SUM(PL!T397:V397)</f>
        <v>0</v>
      </c>
      <c r="H397" s="1">
        <f>SUM(C397:G397)</f>
        <v>0</v>
      </c>
      <c r="I397" s="1">
        <f>IF(C397 + I396 &lt; 0, C397 + I396, 0)</f>
        <v>0</v>
      </c>
      <c r="J397" s="1">
        <f>IF(D397 + J396 &lt; 0, D397 + J396, 0)</f>
        <v>0</v>
      </c>
      <c r="K397" s="1">
        <f>IF(E397 + K396 &lt; 0, E397 + K396, 0)</f>
        <v>0</v>
      </c>
      <c r="L397" s="1">
        <f>IF(F397 + L396 &lt; 0, F397 + L396, 0)</f>
        <v>0</v>
      </c>
      <c r="M397" s="1">
        <f>IF(G397 + M396 &lt; 0, G397 + M396, 0)</f>
        <v>0</v>
      </c>
      <c r="N397" s="1">
        <f>IF(H397 + N396 &lt; 0, H397 + N396, 0)</f>
        <v>0</v>
      </c>
      <c r="O397" s="1">
        <f>IF(N397 &lt; 0, 1 + O396, 0)</f>
        <v>0</v>
      </c>
      <c r="P397" s="1">
        <f>C397-((ABS(SUM(PL!H397:J397)))*0.125)</f>
        <v>0</v>
      </c>
      <c r="Q397" s="1">
        <f>D397-((ABS(SUM(PL!K397:M397)))*0.125)</f>
        <v>0</v>
      </c>
      <c r="R397" s="1">
        <f>E397-((ABS(SUM(PL!N397:P397)))*0.125)</f>
        <v>0</v>
      </c>
      <c r="S397" s="1">
        <f>F397-((ABS(SUM(PL!Q397:S397)))*0.125)</f>
        <v>0</v>
      </c>
      <c r="T397" s="1">
        <f>G397-((ABS(SUM(PL!T397:V397)))*0.125)</f>
        <v>0</v>
      </c>
      <c r="U397" s="1">
        <f>P397 + Q397 + R397 + S397 + T397</f>
        <v>0</v>
      </c>
      <c r="V397" s="1">
        <f>IF(P397 + V396 &lt; 0, P397 + V396, 0)</f>
        <v>0</v>
      </c>
      <c r="W397" s="1">
        <f>IF(Q397 + W396 &lt; 0, Q397 + W396, 0)</f>
        <v>0</v>
      </c>
      <c r="X397" s="1">
        <f>IF(R397 + X396 &lt; 0, R397 + X396, 0)</f>
        <v>0</v>
      </c>
      <c r="Y397" s="1">
        <f>IF(S397 + Y396 &lt; 0, S397 + Y396, 0)</f>
        <v>0</v>
      </c>
      <c r="Z397" s="1">
        <f>IF(T397 + Z396 &lt; 0, T397 + Z396, 0)</f>
        <v>0</v>
      </c>
      <c r="AA397" s="1">
        <f>IF(U397 + AA396 &lt; 0, U397 + AA396, 0)</f>
        <v>0</v>
      </c>
      <c r="AB397" s="1">
        <f>IF(AA397 &lt; 0, 1 + AB396, 0)</f>
        <v>0</v>
      </c>
      <c r="AC397" s="1">
        <f>IF(H397&lt;0,1,0)</f>
        <v>0</v>
      </c>
      <c r="AD397" s="1">
        <f>IF(AC397=1,H397,0)</f>
        <v>0</v>
      </c>
      <c r="AE397" s="1">
        <f>IF(H397&gt;0,1,0)</f>
        <v>0</v>
      </c>
      <c r="AF397" s="1">
        <f>IF(AE397=1,H397,0)</f>
        <v>0</v>
      </c>
      <c r="AG397" s="1">
        <f>IF(AD397&lt;-20000000.0/100,1,0)</f>
        <v>0</v>
      </c>
      <c r="AH397" s="1">
        <f>IF(AF397&gt;20000000.0/100,1,0)</f>
        <v>0</v>
      </c>
      <c r="AI397" s="1">
        <f>IF(U397&lt;0,1,0)</f>
        <v>0</v>
      </c>
      <c r="AJ397" s="1">
        <f>IF(AI397=1,U397,0)</f>
        <v>0</v>
      </c>
      <c r="AK397" s="1">
        <f>IF(U397&gt;0,1,0)</f>
        <v>0</v>
      </c>
      <c r="AL397" s="1">
        <f>IF(AK397=1,U397,0)</f>
        <v>0</v>
      </c>
      <c r="AM397" s="1">
        <f>IF(AJ397&lt;-20000000.0/100,1,0)</f>
        <v>0</v>
      </c>
      <c r="AN397" s="1">
        <f>IF(AL397&gt;20000000.0/100,1,0)</f>
        <v>0</v>
      </c>
    </row>
    <row r="398" spans="1:40" s="1" customFormat="1">
      <c r="A398" s="3">
        <v>45876</v>
      </c>
      <c r="B398" s="2" t="s">
        <v>25</v>
      </c>
      <c r="C398" s="1">
        <f>SUM(PL!H398:J398)</f>
        <v>0</v>
      </c>
      <c r="D398" s="1">
        <f>SUM(PL!K398:M398)</f>
        <v>0</v>
      </c>
      <c r="E398" s="1">
        <f>SUM(PL!N398:P398)</f>
        <v>0</v>
      </c>
      <c r="F398" s="1">
        <f>SUM(PL!Q398:S398)</f>
        <v>0</v>
      </c>
      <c r="G398" s="1">
        <f>SUM(PL!T398:V398)</f>
        <v>0</v>
      </c>
      <c r="H398" s="1">
        <f>SUM(C398:G398)</f>
        <v>0</v>
      </c>
      <c r="I398" s="1">
        <f>IF(C398 + I397 &lt; 0, C398 + I397, 0)</f>
        <v>0</v>
      </c>
      <c r="J398" s="1">
        <f>IF(D398 + J397 &lt; 0, D398 + J397, 0)</f>
        <v>0</v>
      </c>
      <c r="K398" s="1">
        <f>IF(E398 + K397 &lt; 0, E398 + K397, 0)</f>
        <v>0</v>
      </c>
      <c r="L398" s="1">
        <f>IF(F398 + L397 &lt; 0, F398 + L397, 0)</f>
        <v>0</v>
      </c>
      <c r="M398" s="1">
        <f>IF(G398 + M397 &lt; 0, G398 + M397, 0)</f>
        <v>0</v>
      </c>
      <c r="N398" s="1">
        <f>IF(H398 + N397 &lt; 0, H398 + N397, 0)</f>
        <v>0</v>
      </c>
      <c r="O398" s="1">
        <f>IF(N398 &lt; 0, 1 + O397, 0)</f>
        <v>0</v>
      </c>
      <c r="P398" s="1">
        <f>C398-((ABS(SUM(PL!H398:J398)))*0.125)</f>
        <v>0</v>
      </c>
      <c r="Q398" s="1">
        <f>D398-((ABS(SUM(PL!K398:M398)))*0.125)</f>
        <v>0</v>
      </c>
      <c r="R398" s="1">
        <f>E398-((ABS(SUM(PL!N398:P398)))*0.125)</f>
        <v>0</v>
      </c>
      <c r="S398" s="1">
        <f>F398-((ABS(SUM(PL!Q398:S398)))*0.125)</f>
        <v>0</v>
      </c>
      <c r="T398" s="1">
        <f>G398-((ABS(SUM(PL!T398:V398)))*0.125)</f>
        <v>0</v>
      </c>
      <c r="U398" s="1">
        <f>P398 + Q398 + R398 + S398 + T398</f>
        <v>0</v>
      </c>
      <c r="V398" s="1">
        <f>IF(P398 + V397 &lt; 0, P398 + V397, 0)</f>
        <v>0</v>
      </c>
      <c r="W398" s="1">
        <f>IF(Q398 + W397 &lt; 0, Q398 + W397, 0)</f>
        <v>0</v>
      </c>
      <c r="X398" s="1">
        <f>IF(R398 + X397 &lt; 0, R398 + X397, 0)</f>
        <v>0</v>
      </c>
      <c r="Y398" s="1">
        <f>IF(S398 + Y397 &lt; 0, S398 + Y397, 0)</f>
        <v>0</v>
      </c>
      <c r="Z398" s="1">
        <f>IF(T398 + Z397 &lt; 0, T398 + Z397, 0)</f>
        <v>0</v>
      </c>
      <c r="AA398" s="1">
        <f>IF(U398 + AA397 &lt; 0, U398 + AA397, 0)</f>
        <v>0</v>
      </c>
      <c r="AB398" s="1">
        <f>IF(AA398 &lt; 0, 1 + AB397, 0)</f>
        <v>0</v>
      </c>
      <c r="AC398" s="1">
        <f>IF(H398&lt;0,1,0)</f>
        <v>0</v>
      </c>
      <c r="AD398" s="1">
        <f>IF(AC398=1,H398,0)</f>
        <v>0</v>
      </c>
      <c r="AE398" s="1">
        <f>IF(H398&gt;0,1,0)</f>
        <v>0</v>
      </c>
      <c r="AF398" s="1">
        <f>IF(AE398=1,H398,0)</f>
        <v>0</v>
      </c>
      <c r="AG398" s="1">
        <f>IF(AD398&lt;-20000000.0/100,1,0)</f>
        <v>0</v>
      </c>
      <c r="AH398" s="1">
        <f>IF(AF398&gt;20000000.0/100,1,0)</f>
        <v>0</v>
      </c>
      <c r="AI398" s="1">
        <f>IF(U398&lt;0,1,0)</f>
        <v>0</v>
      </c>
      <c r="AJ398" s="1">
        <f>IF(AI398=1,U398,0)</f>
        <v>0</v>
      </c>
      <c r="AK398" s="1">
        <f>IF(U398&gt;0,1,0)</f>
        <v>0</v>
      </c>
      <c r="AL398" s="1">
        <f>IF(AK398=1,U398,0)</f>
        <v>0</v>
      </c>
      <c r="AM398" s="1">
        <f>IF(AJ398&lt;-20000000.0/100,1,0)</f>
        <v>0</v>
      </c>
      <c r="AN398" s="1">
        <f>IF(AL398&gt;20000000.0/100,1,0)</f>
        <v>0</v>
      </c>
    </row>
    <row r="399" spans="1:40" s="1" customFormat="1">
      <c r="A399" s="3">
        <v>45877</v>
      </c>
      <c r="B399" s="2" t="s">
        <v>26</v>
      </c>
      <c r="C399" s="1">
        <f>SUM(PL!H399:J399)</f>
        <v>0</v>
      </c>
      <c r="D399" s="1">
        <f>SUM(PL!K399:M399)</f>
        <v>0</v>
      </c>
      <c r="E399" s="1">
        <f>SUM(PL!N399:P399)</f>
        <v>0</v>
      </c>
      <c r="F399" s="1">
        <f>SUM(PL!Q399:S399)</f>
        <v>0</v>
      </c>
      <c r="G399" s="1">
        <f>SUM(PL!T399:V399)</f>
        <v>0</v>
      </c>
      <c r="H399" s="1">
        <f>SUM(C399:G399)</f>
        <v>0</v>
      </c>
      <c r="I399" s="1">
        <f>IF(C399 + I398 &lt; 0, C399 + I398, 0)</f>
        <v>0</v>
      </c>
      <c r="J399" s="1">
        <f>IF(D399 + J398 &lt; 0, D399 + J398, 0)</f>
        <v>0</v>
      </c>
      <c r="K399" s="1">
        <f>IF(E399 + K398 &lt; 0, E399 + K398, 0)</f>
        <v>0</v>
      </c>
      <c r="L399" s="1">
        <f>IF(F399 + L398 &lt; 0, F399 + L398, 0)</f>
        <v>0</v>
      </c>
      <c r="M399" s="1">
        <f>IF(G399 + M398 &lt; 0, G399 + M398, 0)</f>
        <v>0</v>
      </c>
      <c r="N399" s="1">
        <f>IF(H399 + N398 &lt; 0, H399 + N398, 0)</f>
        <v>0</v>
      </c>
      <c r="O399" s="1">
        <f>IF(N399 &lt; 0, 1 + O398, 0)</f>
        <v>0</v>
      </c>
      <c r="P399" s="1">
        <f>C399-((ABS(SUM(PL!H399:J399)))*0.125)</f>
        <v>0</v>
      </c>
      <c r="Q399" s="1">
        <f>D399-((ABS(SUM(PL!K399:M399)))*0.125)</f>
        <v>0</v>
      </c>
      <c r="R399" s="1">
        <f>E399-((ABS(SUM(PL!N399:P399)))*0.125)</f>
        <v>0</v>
      </c>
      <c r="S399" s="1">
        <f>F399-((ABS(SUM(PL!Q399:S399)))*0.125)</f>
        <v>0</v>
      </c>
      <c r="T399" s="1">
        <f>G399-((ABS(SUM(PL!T399:V399)))*0.125)</f>
        <v>0</v>
      </c>
      <c r="U399" s="1">
        <f>P399 + Q399 + R399 + S399 + T399</f>
        <v>0</v>
      </c>
      <c r="V399" s="1">
        <f>IF(P399 + V398 &lt; 0, P399 + V398, 0)</f>
        <v>0</v>
      </c>
      <c r="W399" s="1">
        <f>IF(Q399 + W398 &lt; 0, Q399 + W398, 0)</f>
        <v>0</v>
      </c>
      <c r="X399" s="1">
        <f>IF(R399 + X398 &lt; 0, R399 + X398, 0)</f>
        <v>0</v>
      </c>
      <c r="Y399" s="1">
        <f>IF(S399 + Y398 &lt; 0, S399 + Y398, 0)</f>
        <v>0</v>
      </c>
      <c r="Z399" s="1">
        <f>IF(T399 + Z398 &lt; 0, T399 + Z398, 0)</f>
        <v>0</v>
      </c>
      <c r="AA399" s="1">
        <f>IF(U399 + AA398 &lt; 0, U399 + AA398, 0)</f>
        <v>0</v>
      </c>
      <c r="AB399" s="1">
        <f>IF(AA399 &lt; 0, 1 + AB398, 0)</f>
        <v>0</v>
      </c>
      <c r="AC399" s="1">
        <f>IF(H399&lt;0,1,0)</f>
        <v>0</v>
      </c>
      <c r="AD399" s="1">
        <f>IF(AC399=1,H399,0)</f>
        <v>0</v>
      </c>
      <c r="AE399" s="1">
        <f>IF(H399&gt;0,1,0)</f>
        <v>0</v>
      </c>
      <c r="AF399" s="1">
        <f>IF(AE399=1,H399,0)</f>
        <v>0</v>
      </c>
      <c r="AG399" s="1">
        <f>IF(AD399&lt;-20000000.0/100,1,0)</f>
        <v>0</v>
      </c>
      <c r="AH399" s="1">
        <f>IF(AF399&gt;20000000.0/100,1,0)</f>
        <v>0</v>
      </c>
      <c r="AI399" s="1">
        <f>IF(U399&lt;0,1,0)</f>
        <v>0</v>
      </c>
      <c r="AJ399" s="1">
        <f>IF(AI399=1,U399,0)</f>
        <v>0</v>
      </c>
      <c r="AK399" s="1">
        <f>IF(U399&gt;0,1,0)</f>
        <v>0</v>
      </c>
      <c r="AL399" s="1">
        <f>IF(AK399=1,U399,0)</f>
        <v>0</v>
      </c>
      <c r="AM399" s="1">
        <f>IF(AJ399&lt;-20000000.0/100,1,0)</f>
        <v>0</v>
      </c>
      <c r="AN399" s="1">
        <f>IF(AL399&gt;20000000.0/100,1,0)</f>
        <v>0</v>
      </c>
    </row>
    <row r="400" spans="1:40" s="1" customFormat="1">
      <c r="A400" s="3">
        <v>45880</v>
      </c>
      <c r="B400" s="2" t="s">
        <v>22</v>
      </c>
      <c r="C400" s="1">
        <f>SUM(PL!H400:J400)</f>
        <v>0</v>
      </c>
      <c r="D400" s="1">
        <f>SUM(PL!K400:M400)</f>
        <v>0</v>
      </c>
      <c r="E400" s="1">
        <f>SUM(PL!N400:P400)</f>
        <v>0</v>
      </c>
      <c r="F400" s="1">
        <f>SUM(PL!Q400:S400)</f>
        <v>0</v>
      </c>
      <c r="G400" s="1">
        <f>SUM(PL!T400:V400)</f>
        <v>0</v>
      </c>
      <c r="H400" s="1">
        <f>SUM(C400:G400)</f>
        <v>0</v>
      </c>
      <c r="I400" s="1">
        <f>IF(C400 + I399 &lt; 0, C400 + I399, 0)</f>
        <v>0</v>
      </c>
      <c r="J400" s="1">
        <f>IF(D400 + J399 &lt; 0, D400 + J399, 0)</f>
        <v>0</v>
      </c>
      <c r="K400" s="1">
        <f>IF(E400 + K399 &lt; 0, E400 + K399, 0)</f>
        <v>0</v>
      </c>
      <c r="L400" s="1">
        <f>IF(F400 + L399 &lt; 0, F400 + L399, 0)</f>
        <v>0</v>
      </c>
      <c r="M400" s="1">
        <f>IF(G400 + M399 &lt; 0, G400 + M399, 0)</f>
        <v>0</v>
      </c>
      <c r="N400" s="1">
        <f>IF(H400 + N399 &lt; 0, H400 + N399, 0)</f>
        <v>0</v>
      </c>
      <c r="O400" s="1">
        <f>IF(N400 &lt; 0, 1 + O399, 0)</f>
        <v>0</v>
      </c>
      <c r="P400" s="1">
        <f>C400-((ABS(SUM(PL!H400:J400)))*0.125)</f>
        <v>0</v>
      </c>
      <c r="Q400" s="1">
        <f>D400-((ABS(SUM(PL!K400:M400)))*0.125)</f>
        <v>0</v>
      </c>
      <c r="R400" s="1">
        <f>E400-((ABS(SUM(PL!N400:P400)))*0.125)</f>
        <v>0</v>
      </c>
      <c r="S400" s="1">
        <f>F400-((ABS(SUM(PL!Q400:S400)))*0.125)</f>
        <v>0</v>
      </c>
      <c r="T400" s="1">
        <f>G400-((ABS(SUM(PL!T400:V400)))*0.125)</f>
        <v>0</v>
      </c>
      <c r="U400" s="1">
        <f>P400 + Q400 + R400 + S400 + T400</f>
        <v>0</v>
      </c>
      <c r="V400" s="1">
        <f>IF(P400 + V399 &lt; 0, P400 + V399, 0)</f>
        <v>0</v>
      </c>
      <c r="W400" s="1">
        <f>IF(Q400 + W399 &lt; 0, Q400 + W399, 0)</f>
        <v>0</v>
      </c>
      <c r="X400" s="1">
        <f>IF(R400 + X399 &lt; 0, R400 + X399, 0)</f>
        <v>0</v>
      </c>
      <c r="Y400" s="1">
        <f>IF(S400 + Y399 &lt; 0, S400 + Y399, 0)</f>
        <v>0</v>
      </c>
      <c r="Z400" s="1">
        <f>IF(T400 + Z399 &lt; 0, T400 + Z399, 0)</f>
        <v>0</v>
      </c>
      <c r="AA400" s="1">
        <f>IF(U400 + AA399 &lt; 0, U400 + AA399, 0)</f>
        <v>0</v>
      </c>
      <c r="AB400" s="1">
        <f>IF(AA400 &lt; 0, 1 + AB399, 0)</f>
        <v>0</v>
      </c>
      <c r="AC400" s="1">
        <f>IF(H400&lt;0,1,0)</f>
        <v>0</v>
      </c>
      <c r="AD400" s="1">
        <f>IF(AC400=1,H400,0)</f>
        <v>0</v>
      </c>
      <c r="AE400" s="1">
        <f>IF(H400&gt;0,1,0)</f>
        <v>0</v>
      </c>
      <c r="AF400" s="1">
        <f>IF(AE400=1,H400,0)</f>
        <v>0</v>
      </c>
      <c r="AG400" s="1">
        <f>IF(AD400&lt;-20000000.0/100,1,0)</f>
        <v>0</v>
      </c>
      <c r="AH400" s="1">
        <f>IF(AF400&gt;20000000.0/100,1,0)</f>
        <v>0</v>
      </c>
      <c r="AI400" s="1">
        <f>IF(U400&lt;0,1,0)</f>
        <v>0</v>
      </c>
      <c r="AJ400" s="1">
        <f>IF(AI400=1,U400,0)</f>
        <v>0</v>
      </c>
      <c r="AK400" s="1">
        <f>IF(U400&gt;0,1,0)</f>
        <v>0</v>
      </c>
      <c r="AL400" s="1">
        <f>IF(AK400=1,U400,0)</f>
        <v>0</v>
      </c>
      <c r="AM400" s="1">
        <f>IF(AJ400&lt;-20000000.0/100,1,0)</f>
        <v>0</v>
      </c>
      <c r="AN400" s="1">
        <f>IF(AL400&gt;20000000.0/100,1,0)</f>
        <v>0</v>
      </c>
    </row>
    <row r="401" spans="1:40" s="1" customFormat="1">
      <c r="A401" s="3">
        <v>45881</v>
      </c>
      <c r="B401" s="2" t="s">
        <v>23</v>
      </c>
      <c r="C401" s="1">
        <f>SUM(PL!H401:J401)</f>
        <v>0</v>
      </c>
      <c r="D401" s="1">
        <f>SUM(PL!K401:M401)</f>
        <v>0</v>
      </c>
      <c r="E401" s="1">
        <f>SUM(PL!N401:P401)</f>
        <v>0</v>
      </c>
      <c r="F401" s="1">
        <f>SUM(PL!Q401:S401)</f>
        <v>0</v>
      </c>
      <c r="G401" s="1">
        <f>SUM(PL!T401:V401)</f>
        <v>0</v>
      </c>
      <c r="H401" s="1">
        <f>SUM(C401:G401)</f>
        <v>0</v>
      </c>
      <c r="I401" s="1">
        <f>IF(C401 + I400 &lt; 0, C401 + I400, 0)</f>
        <v>0</v>
      </c>
      <c r="J401" s="1">
        <f>IF(D401 + J400 &lt; 0, D401 + J400, 0)</f>
        <v>0</v>
      </c>
      <c r="K401" s="1">
        <f>IF(E401 + K400 &lt; 0, E401 + K400, 0)</f>
        <v>0</v>
      </c>
      <c r="L401" s="1">
        <f>IF(F401 + L400 &lt; 0, F401 + L400, 0)</f>
        <v>0</v>
      </c>
      <c r="M401" s="1">
        <f>IF(G401 + M400 &lt; 0, G401 + M400, 0)</f>
        <v>0</v>
      </c>
      <c r="N401" s="1">
        <f>IF(H401 + N400 &lt; 0, H401 + N400, 0)</f>
        <v>0</v>
      </c>
      <c r="O401" s="1">
        <f>IF(N401 &lt; 0, 1 + O400, 0)</f>
        <v>0</v>
      </c>
      <c r="P401" s="1">
        <f>C401-((ABS(SUM(PL!H401:J401)))*0.125)</f>
        <v>0</v>
      </c>
      <c r="Q401" s="1">
        <f>D401-((ABS(SUM(PL!K401:M401)))*0.125)</f>
        <v>0</v>
      </c>
      <c r="R401" s="1">
        <f>E401-((ABS(SUM(PL!N401:P401)))*0.125)</f>
        <v>0</v>
      </c>
      <c r="S401" s="1">
        <f>F401-((ABS(SUM(PL!Q401:S401)))*0.125)</f>
        <v>0</v>
      </c>
      <c r="T401" s="1">
        <f>G401-((ABS(SUM(PL!T401:V401)))*0.125)</f>
        <v>0</v>
      </c>
      <c r="U401" s="1">
        <f>P401 + Q401 + R401 + S401 + T401</f>
        <v>0</v>
      </c>
      <c r="V401" s="1">
        <f>IF(P401 + V400 &lt; 0, P401 + V400, 0)</f>
        <v>0</v>
      </c>
      <c r="W401" s="1">
        <f>IF(Q401 + W400 &lt; 0, Q401 + W400, 0)</f>
        <v>0</v>
      </c>
      <c r="X401" s="1">
        <f>IF(R401 + X400 &lt; 0, R401 + X400, 0)</f>
        <v>0</v>
      </c>
      <c r="Y401" s="1">
        <f>IF(S401 + Y400 &lt; 0, S401 + Y400, 0)</f>
        <v>0</v>
      </c>
      <c r="Z401" s="1">
        <f>IF(T401 + Z400 &lt; 0, T401 + Z400, 0)</f>
        <v>0</v>
      </c>
      <c r="AA401" s="1">
        <f>IF(U401 + AA400 &lt; 0, U401 + AA400, 0)</f>
        <v>0</v>
      </c>
      <c r="AB401" s="1">
        <f>IF(AA401 &lt; 0, 1 + AB400, 0)</f>
        <v>0</v>
      </c>
      <c r="AC401" s="1">
        <f>IF(H401&lt;0,1,0)</f>
        <v>0</v>
      </c>
      <c r="AD401" s="1">
        <f>IF(AC401=1,H401,0)</f>
        <v>0</v>
      </c>
      <c r="AE401" s="1">
        <f>IF(H401&gt;0,1,0)</f>
        <v>0</v>
      </c>
      <c r="AF401" s="1">
        <f>IF(AE401=1,H401,0)</f>
        <v>0</v>
      </c>
      <c r="AG401" s="1">
        <f>IF(AD401&lt;-20000000.0/100,1,0)</f>
        <v>0</v>
      </c>
      <c r="AH401" s="1">
        <f>IF(AF401&gt;20000000.0/100,1,0)</f>
        <v>0</v>
      </c>
      <c r="AI401" s="1">
        <f>IF(U401&lt;0,1,0)</f>
        <v>0</v>
      </c>
      <c r="AJ401" s="1">
        <f>IF(AI401=1,U401,0)</f>
        <v>0</v>
      </c>
      <c r="AK401" s="1">
        <f>IF(U401&gt;0,1,0)</f>
        <v>0</v>
      </c>
      <c r="AL401" s="1">
        <f>IF(AK401=1,U401,0)</f>
        <v>0</v>
      </c>
      <c r="AM401" s="1">
        <f>IF(AJ401&lt;-20000000.0/100,1,0)</f>
        <v>0</v>
      </c>
      <c r="AN401" s="1">
        <f>IF(AL401&gt;20000000.0/100,1,0)</f>
        <v>0</v>
      </c>
    </row>
    <row r="402" spans="1:40" s="1" customFormat="1">
      <c r="A402" s="3">
        <v>45882</v>
      </c>
      <c r="B402" s="2" t="s">
        <v>24</v>
      </c>
      <c r="C402" s="1">
        <f>SUM(PL!H402:J402)</f>
        <v>0</v>
      </c>
      <c r="D402" s="1">
        <f>SUM(PL!K402:M402)</f>
        <v>0</v>
      </c>
      <c r="E402" s="1">
        <f>SUM(PL!N402:P402)</f>
        <v>0</v>
      </c>
      <c r="F402" s="1">
        <f>SUM(PL!Q402:S402)</f>
        <v>0</v>
      </c>
      <c r="G402" s="1">
        <f>SUM(PL!T402:V402)</f>
        <v>0</v>
      </c>
      <c r="H402" s="1">
        <f>SUM(C402:G402)</f>
        <v>0</v>
      </c>
      <c r="I402" s="1">
        <f>IF(C402 + I401 &lt; 0, C402 + I401, 0)</f>
        <v>0</v>
      </c>
      <c r="J402" s="1">
        <f>IF(D402 + J401 &lt; 0, D402 + J401, 0)</f>
        <v>0</v>
      </c>
      <c r="K402" s="1">
        <f>IF(E402 + K401 &lt; 0, E402 + K401, 0)</f>
        <v>0</v>
      </c>
      <c r="L402" s="1">
        <f>IF(F402 + L401 &lt; 0, F402 + L401, 0)</f>
        <v>0</v>
      </c>
      <c r="M402" s="1">
        <f>IF(G402 + M401 &lt; 0, G402 + M401, 0)</f>
        <v>0</v>
      </c>
      <c r="N402" s="1">
        <f>IF(H402 + N401 &lt; 0, H402 + N401, 0)</f>
        <v>0</v>
      </c>
      <c r="O402" s="1">
        <f>IF(N402 &lt; 0, 1 + O401, 0)</f>
        <v>0</v>
      </c>
      <c r="P402" s="1">
        <f>C402-((ABS(SUM(PL!H402:J402)))*0.125)</f>
        <v>0</v>
      </c>
      <c r="Q402" s="1">
        <f>D402-((ABS(SUM(PL!K402:M402)))*0.125)</f>
        <v>0</v>
      </c>
      <c r="R402" s="1">
        <f>E402-((ABS(SUM(PL!N402:P402)))*0.125)</f>
        <v>0</v>
      </c>
      <c r="S402" s="1">
        <f>F402-((ABS(SUM(PL!Q402:S402)))*0.125)</f>
        <v>0</v>
      </c>
      <c r="T402" s="1">
        <f>G402-((ABS(SUM(PL!T402:V402)))*0.125)</f>
        <v>0</v>
      </c>
      <c r="U402" s="1">
        <f>P402 + Q402 + R402 + S402 + T402</f>
        <v>0</v>
      </c>
      <c r="V402" s="1">
        <f>IF(P402 + V401 &lt; 0, P402 + V401, 0)</f>
        <v>0</v>
      </c>
      <c r="W402" s="1">
        <f>IF(Q402 + W401 &lt; 0, Q402 + W401, 0)</f>
        <v>0</v>
      </c>
      <c r="X402" s="1">
        <f>IF(R402 + X401 &lt; 0, R402 + X401, 0)</f>
        <v>0</v>
      </c>
      <c r="Y402" s="1">
        <f>IF(S402 + Y401 &lt; 0, S402 + Y401, 0)</f>
        <v>0</v>
      </c>
      <c r="Z402" s="1">
        <f>IF(T402 + Z401 &lt; 0, T402 + Z401, 0)</f>
        <v>0</v>
      </c>
      <c r="AA402" s="1">
        <f>IF(U402 + AA401 &lt; 0, U402 + AA401, 0)</f>
        <v>0</v>
      </c>
      <c r="AB402" s="1">
        <f>IF(AA402 &lt; 0, 1 + AB401, 0)</f>
        <v>0</v>
      </c>
      <c r="AC402" s="1">
        <f>IF(H402&lt;0,1,0)</f>
        <v>0</v>
      </c>
      <c r="AD402" s="1">
        <f>IF(AC402=1,H402,0)</f>
        <v>0</v>
      </c>
      <c r="AE402" s="1">
        <f>IF(H402&gt;0,1,0)</f>
        <v>0</v>
      </c>
      <c r="AF402" s="1">
        <f>IF(AE402=1,H402,0)</f>
        <v>0</v>
      </c>
      <c r="AG402" s="1">
        <f>IF(AD402&lt;-20000000.0/100,1,0)</f>
        <v>0</v>
      </c>
      <c r="AH402" s="1">
        <f>IF(AF402&gt;20000000.0/100,1,0)</f>
        <v>0</v>
      </c>
      <c r="AI402" s="1">
        <f>IF(U402&lt;0,1,0)</f>
        <v>0</v>
      </c>
      <c r="AJ402" s="1">
        <f>IF(AI402=1,U402,0)</f>
        <v>0</v>
      </c>
      <c r="AK402" s="1">
        <f>IF(U402&gt;0,1,0)</f>
        <v>0</v>
      </c>
      <c r="AL402" s="1">
        <f>IF(AK402=1,U402,0)</f>
        <v>0</v>
      </c>
      <c r="AM402" s="1">
        <f>IF(AJ402&lt;-20000000.0/100,1,0)</f>
        <v>0</v>
      </c>
      <c r="AN402" s="1">
        <f>IF(AL402&gt;20000000.0/100,1,0)</f>
        <v>0</v>
      </c>
    </row>
    <row r="403" spans="1:40" s="1" customFormat="1">
      <c r="A403" s="3">
        <v>45883</v>
      </c>
      <c r="B403" s="2" t="s">
        <v>25</v>
      </c>
      <c r="C403" s="1">
        <f>SUM(PL!H403:J403)</f>
        <v>0</v>
      </c>
      <c r="D403" s="1">
        <f>SUM(PL!K403:M403)</f>
        <v>0</v>
      </c>
      <c r="E403" s="1">
        <f>SUM(PL!N403:P403)</f>
        <v>0</v>
      </c>
      <c r="F403" s="1">
        <f>SUM(PL!Q403:S403)</f>
        <v>0</v>
      </c>
      <c r="G403" s="1">
        <f>SUM(PL!T403:V403)</f>
        <v>0</v>
      </c>
      <c r="H403" s="1">
        <f>SUM(C403:G403)</f>
        <v>0</v>
      </c>
      <c r="I403" s="1">
        <f>IF(C403 + I402 &lt; 0, C403 + I402, 0)</f>
        <v>0</v>
      </c>
      <c r="J403" s="1">
        <f>IF(D403 + J402 &lt; 0, D403 + J402, 0)</f>
        <v>0</v>
      </c>
      <c r="K403" s="1">
        <f>IF(E403 + K402 &lt; 0, E403 + K402, 0)</f>
        <v>0</v>
      </c>
      <c r="L403" s="1">
        <f>IF(F403 + L402 &lt; 0, F403 + L402, 0)</f>
        <v>0</v>
      </c>
      <c r="M403" s="1">
        <f>IF(G403 + M402 &lt; 0, G403 + M402, 0)</f>
        <v>0</v>
      </c>
      <c r="N403" s="1">
        <f>IF(H403 + N402 &lt; 0, H403 + N402, 0)</f>
        <v>0</v>
      </c>
      <c r="O403" s="1">
        <f>IF(N403 &lt; 0, 1 + O402, 0)</f>
        <v>0</v>
      </c>
      <c r="P403" s="1">
        <f>C403-((ABS(SUM(PL!H403:J403)))*0.125)</f>
        <v>0</v>
      </c>
      <c r="Q403" s="1">
        <f>D403-((ABS(SUM(PL!K403:M403)))*0.125)</f>
        <v>0</v>
      </c>
      <c r="R403" s="1">
        <f>E403-((ABS(SUM(PL!N403:P403)))*0.125)</f>
        <v>0</v>
      </c>
      <c r="S403" s="1">
        <f>F403-((ABS(SUM(PL!Q403:S403)))*0.125)</f>
        <v>0</v>
      </c>
      <c r="T403" s="1">
        <f>G403-((ABS(SUM(PL!T403:V403)))*0.125)</f>
        <v>0</v>
      </c>
      <c r="U403" s="1">
        <f>P403 + Q403 + R403 + S403 + T403</f>
        <v>0</v>
      </c>
      <c r="V403" s="1">
        <f>IF(P403 + V402 &lt; 0, P403 + V402, 0)</f>
        <v>0</v>
      </c>
      <c r="W403" s="1">
        <f>IF(Q403 + W402 &lt; 0, Q403 + W402, 0)</f>
        <v>0</v>
      </c>
      <c r="X403" s="1">
        <f>IF(R403 + X402 &lt; 0, R403 + X402, 0)</f>
        <v>0</v>
      </c>
      <c r="Y403" s="1">
        <f>IF(S403 + Y402 &lt; 0, S403 + Y402, 0)</f>
        <v>0</v>
      </c>
      <c r="Z403" s="1">
        <f>IF(T403 + Z402 &lt; 0, T403 + Z402, 0)</f>
        <v>0</v>
      </c>
      <c r="AA403" s="1">
        <f>IF(U403 + AA402 &lt; 0, U403 + AA402, 0)</f>
        <v>0</v>
      </c>
      <c r="AB403" s="1">
        <f>IF(AA403 &lt; 0, 1 + AB402, 0)</f>
        <v>0</v>
      </c>
      <c r="AC403" s="1">
        <f>IF(H403&lt;0,1,0)</f>
        <v>0</v>
      </c>
      <c r="AD403" s="1">
        <f>IF(AC403=1,H403,0)</f>
        <v>0</v>
      </c>
      <c r="AE403" s="1">
        <f>IF(H403&gt;0,1,0)</f>
        <v>0</v>
      </c>
      <c r="AF403" s="1">
        <f>IF(AE403=1,H403,0)</f>
        <v>0</v>
      </c>
      <c r="AG403" s="1">
        <f>IF(AD403&lt;-20000000.0/100,1,0)</f>
        <v>0</v>
      </c>
      <c r="AH403" s="1">
        <f>IF(AF403&gt;20000000.0/100,1,0)</f>
        <v>0</v>
      </c>
      <c r="AI403" s="1">
        <f>IF(U403&lt;0,1,0)</f>
        <v>0</v>
      </c>
      <c r="AJ403" s="1">
        <f>IF(AI403=1,U403,0)</f>
        <v>0</v>
      </c>
      <c r="AK403" s="1">
        <f>IF(U403&gt;0,1,0)</f>
        <v>0</v>
      </c>
      <c r="AL403" s="1">
        <f>IF(AK403=1,U403,0)</f>
        <v>0</v>
      </c>
      <c r="AM403" s="1">
        <f>IF(AJ403&lt;-20000000.0/100,1,0)</f>
        <v>0</v>
      </c>
      <c r="AN403" s="1">
        <f>IF(AL403&gt;20000000.0/100,1,0)</f>
        <v>0</v>
      </c>
    </row>
    <row r="404" spans="1:40" s="1" customFormat="1">
      <c r="A404" s="3">
        <v>45887</v>
      </c>
      <c r="B404" s="2" t="s">
        <v>22</v>
      </c>
      <c r="C404" s="1">
        <f>SUM(PL!H404:J404)</f>
        <v>0</v>
      </c>
      <c r="D404" s="1">
        <f>SUM(PL!K404:M404)</f>
        <v>0</v>
      </c>
      <c r="E404" s="1">
        <f>SUM(PL!N404:P404)</f>
        <v>0</v>
      </c>
      <c r="F404" s="1">
        <f>SUM(PL!Q404:S404)</f>
        <v>0</v>
      </c>
      <c r="G404" s="1">
        <f>SUM(PL!T404:V404)</f>
        <v>0</v>
      </c>
      <c r="H404" s="1">
        <f>SUM(C404:G404)</f>
        <v>0</v>
      </c>
      <c r="I404" s="1">
        <f>IF(C404 + I403 &lt; 0, C404 + I403, 0)</f>
        <v>0</v>
      </c>
      <c r="J404" s="1">
        <f>IF(D404 + J403 &lt; 0, D404 + J403, 0)</f>
        <v>0</v>
      </c>
      <c r="K404" s="1">
        <f>IF(E404 + K403 &lt; 0, E404 + K403, 0)</f>
        <v>0</v>
      </c>
      <c r="L404" s="1">
        <f>IF(F404 + L403 &lt; 0, F404 + L403, 0)</f>
        <v>0</v>
      </c>
      <c r="M404" s="1">
        <f>IF(G404 + M403 &lt; 0, G404 + M403, 0)</f>
        <v>0</v>
      </c>
      <c r="N404" s="1">
        <f>IF(H404 + N403 &lt; 0, H404 + N403, 0)</f>
        <v>0</v>
      </c>
      <c r="O404" s="1">
        <f>IF(N404 &lt; 0, 1 + O403, 0)</f>
        <v>0</v>
      </c>
      <c r="P404" s="1">
        <f>C404-((ABS(SUM(PL!H404:J404)))*0.125)</f>
        <v>0</v>
      </c>
      <c r="Q404" s="1">
        <f>D404-((ABS(SUM(PL!K404:M404)))*0.125)</f>
        <v>0</v>
      </c>
      <c r="R404" s="1">
        <f>E404-((ABS(SUM(PL!N404:P404)))*0.125)</f>
        <v>0</v>
      </c>
      <c r="S404" s="1">
        <f>F404-((ABS(SUM(PL!Q404:S404)))*0.125)</f>
        <v>0</v>
      </c>
      <c r="T404" s="1">
        <f>G404-((ABS(SUM(PL!T404:V404)))*0.125)</f>
        <v>0</v>
      </c>
      <c r="U404" s="1">
        <f>P404 + Q404 + R404 + S404 + T404</f>
        <v>0</v>
      </c>
      <c r="V404" s="1">
        <f>IF(P404 + V403 &lt; 0, P404 + V403, 0)</f>
        <v>0</v>
      </c>
      <c r="W404" s="1">
        <f>IF(Q404 + W403 &lt; 0, Q404 + W403, 0)</f>
        <v>0</v>
      </c>
      <c r="X404" s="1">
        <f>IF(R404 + X403 &lt; 0, R404 + X403, 0)</f>
        <v>0</v>
      </c>
      <c r="Y404" s="1">
        <f>IF(S404 + Y403 &lt; 0, S404 + Y403, 0)</f>
        <v>0</v>
      </c>
      <c r="Z404" s="1">
        <f>IF(T404 + Z403 &lt; 0, T404 + Z403, 0)</f>
        <v>0</v>
      </c>
      <c r="AA404" s="1">
        <f>IF(U404 + AA403 &lt; 0, U404 + AA403, 0)</f>
        <v>0</v>
      </c>
      <c r="AB404" s="1">
        <f>IF(AA404 &lt; 0, 1 + AB403, 0)</f>
        <v>0</v>
      </c>
      <c r="AC404" s="1">
        <f>IF(H404&lt;0,1,0)</f>
        <v>0</v>
      </c>
      <c r="AD404" s="1">
        <f>IF(AC404=1,H404,0)</f>
        <v>0</v>
      </c>
      <c r="AE404" s="1">
        <f>IF(H404&gt;0,1,0)</f>
        <v>0</v>
      </c>
      <c r="AF404" s="1">
        <f>IF(AE404=1,H404,0)</f>
        <v>0</v>
      </c>
      <c r="AG404" s="1">
        <f>IF(AD404&lt;-20000000.0/100,1,0)</f>
        <v>0</v>
      </c>
      <c r="AH404" s="1">
        <f>IF(AF404&gt;20000000.0/100,1,0)</f>
        <v>0</v>
      </c>
      <c r="AI404" s="1">
        <f>IF(U404&lt;0,1,0)</f>
        <v>0</v>
      </c>
      <c r="AJ404" s="1">
        <f>IF(AI404=1,U404,0)</f>
        <v>0</v>
      </c>
      <c r="AK404" s="1">
        <f>IF(U404&gt;0,1,0)</f>
        <v>0</v>
      </c>
      <c r="AL404" s="1">
        <f>IF(AK404=1,U404,0)</f>
        <v>0</v>
      </c>
      <c r="AM404" s="1">
        <f>IF(AJ404&lt;-20000000.0/100,1,0)</f>
        <v>0</v>
      </c>
      <c r="AN404" s="1">
        <f>IF(AL404&gt;20000000.0/100,1,0)</f>
        <v>0</v>
      </c>
    </row>
    <row r="405" spans="1:40" s="1" customFormat="1">
      <c r="A405" s="3">
        <v>45888</v>
      </c>
      <c r="B405" s="2" t="s">
        <v>23</v>
      </c>
      <c r="C405" s="1">
        <f>SUM(PL!H405:J405)</f>
        <v>0</v>
      </c>
      <c r="D405" s="1">
        <f>SUM(PL!K405:M405)</f>
        <v>0</v>
      </c>
      <c r="E405" s="1">
        <f>SUM(PL!N405:P405)</f>
        <v>0</v>
      </c>
      <c r="F405" s="1">
        <f>SUM(PL!Q405:S405)</f>
        <v>0</v>
      </c>
      <c r="G405" s="1">
        <f>SUM(PL!T405:V405)</f>
        <v>0</v>
      </c>
      <c r="H405" s="1">
        <f>SUM(C405:G405)</f>
        <v>0</v>
      </c>
      <c r="I405" s="1">
        <f>IF(C405 + I404 &lt; 0, C405 + I404, 0)</f>
        <v>0</v>
      </c>
      <c r="J405" s="1">
        <f>IF(D405 + J404 &lt; 0, D405 + J404, 0)</f>
        <v>0</v>
      </c>
      <c r="K405" s="1">
        <f>IF(E405 + K404 &lt; 0, E405 + K404, 0)</f>
        <v>0</v>
      </c>
      <c r="L405" s="1">
        <f>IF(F405 + L404 &lt; 0, F405 + L404, 0)</f>
        <v>0</v>
      </c>
      <c r="M405" s="1">
        <f>IF(G405 + M404 &lt; 0, G405 + M404, 0)</f>
        <v>0</v>
      </c>
      <c r="N405" s="1">
        <f>IF(H405 + N404 &lt; 0, H405 + N404, 0)</f>
        <v>0</v>
      </c>
      <c r="O405" s="1">
        <f>IF(N405 &lt; 0, 1 + O404, 0)</f>
        <v>0</v>
      </c>
      <c r="P405" s="1">
        <f>C405-((ABS(SUM(PL!H405:J405)))*0.125)</f>
        <v>0</v>
      </c>
      <c r="Q405" s="1">
        <f>D405-((ABS(SUM(PL!K405:M405)))*0.125)</f>
        <v>0</v>
      </c>
      <c r="R405" s="1">
        <f>E405-((ABS(SUM(PL!N405:P405)))*0.125)</f>
        <v>0</v>
      </c>
      <c r="S405" s="1">
        <f>F405-((ABS(SUM(PL!Q405:S405)))*0.125)</f>
        <v>0</v>
      </c>
      <c r="T405" s="1">
        <f>G405-((ABS(SUM(PL!T405:V405)))*0.125)</f>
        <v>0</v>
      </c>
      <c r="U405" s="1">
        <f>P405 + Q405 + R405 + S405 + T405</f>
        <v>0</v>
      </c>
      <c r="V405" s="1">
        <f>IF(P405 + V404 &lt; 0, P405 + V404, 0)</f>
        <v>0</v>
      </c>
      <c r="W405" s="1">
        <f>IF(Q405 + W404 &lt; 0, Q405 + W404, 0)</f>
        <v>0</v>
      </c>
      <c r="X405" s="1">
        <f>IF(R405 + X404 &lt; 0, R405 + X404, 0)</f>
        <v>0</v>
      </c>
      <c r="Y405" s="1">
        <f>IF(S405 + Y404 &lt; 0, S405 + Y404, 0)</f>
        <v>0</v>
      </c>
      <c r="Z405" s="1">
        <f>IF(T405 + Z404 &lt; 0, T405 + Z404, 0)</f>
        <v>0</v>
      </c>
      <c r="AA405" s="1">
        <f>IF(U405 + AA404 &lt; 0, U405 + AA404, 0)</f>
        <v>0</v>
      </c>
      <c r="AB405" s="1">
        <f>IF(AA405 &lt; 0, 1 + AB404, 0)</f>
        <v>0</v>
      </c>
      <c r="AC405" s="1">
        <f>IF(H405&lt;0,1,0)</f>
        <v>0</v>
      </c>
      <c r="AD405" s="1">
        <f>IF(AC405=1,H405,0)</f>
        <v>0</v>
      </c>
      <c r="AE405" s="1">
        <f>IF(H405&gt;0,1,0)</f>
        <v>0</v>
      </c>
      <c r="AF405" s="1">
        <f>IF(AE405=1,H405,0)</f>
        <v>0</v>
      </c>
      <c r="AG405" s="1">
        <f>IF(AD405&lt;-20000000.0/100,1,0)</f>
        <v>0</v>
      </c>
      <c r="AH405" s="1">
        <f>IF(AF405&gt;20000000.0/100,1,0)</f>
        <v>0</v>
      </c>
      <c r="AI405" s="1">
        <f>IF(U405&lt;0,1,0)</f>
        <v>0</v>
      </c>
      <c r="AJ405" s="1">
        <f>IF(AI405=1,U405,0)</f>
        <v>0</v>
      </c>
      <c r="AK405" s="1">
        <f>IF(U405&gt;0,1,0)</f>
        <v>0</v>
      </c>
      <c r="AL405" s="1">
        <f>IF(AK405=1,U405,0)</f>
        <v>0</v>
      </c>
      <c r="AM405" s="1">
        <f>IF(AJ405&lt;-20000000.0/100,1,0)</f>
        <v>0</v>
      </c>
      <c r="AN405" s="1">
        <f>IF(AL405&gt;20000000.0/100,1,0)</f>
        <v>0</v>
      </c>
    </row>
    <row r="406" spans="1:40" s="1" customFormat="1">
      <c r="A406" s="3">
        <v>45889</v>
      </c>
      <c r="B406" s="2" t="s">
        <v>24</v>
      </c>
      <c r="C406" s="1">
        <f>SUM(PL!H406:J406)</f>
        <v>0</v>
      </c>
      <c r="D406" s="1">
        <f>SUM(PL!K406:M406)</f>
        <v>0</v>
      </c>
      <c r="E406" s="1">
        <f>SUM(PL!N406:P406)</f>
        <v>0</v>
      </c>
      <c r="F406" s="1">
        <f>SUM(PL!Q406:S406)</f>
        <v>0</v>
      </c>
      <c r="G406" s="1">
        <f>SUM(PL!T406:V406)</f>
        <v>0</v>
      </c>
      <c r="H406" s="1">
        <f>SUM(C406:G406)</f>
        <v>0</v>
      </c>
      <c r="I406" s="1">
        <f>IF(C406 + I405 &lt; 0, C406 + I405, 0)</f>
        <v>0</v>
      </c>
      <c r="J406" s="1">
        <f>IF(D406 + J405 &lt; 0, D406 + J405, 0)</f>
        <v>0</v>
      </c>
      <c r="K406" s="1">
        <f>IF(E406 + K405 &lt; 0, E406 + K405, 0)</f>
        <v>0</v>
      </c>
      <c r="L406" s="1">
        <f>IF(F406 + L405 &lt; 0, F406 + L405, 0)</f>
        <v>0</v>
      </c>
      <c r="M406" s="1">
        <f>IF(G406 + M405 &lt; 0, G406 + M405, 0)</f>
        <v>0</v>
      </c>
      <c r="N406" s="1">
        <f>IF(H406 + N405 &lt; 0, H406 + N405, 0)</f>
        <v>0</v>
      </c>
      <c r="O406" s="1">
        <f>IF(N406 &lt; 0, 1 + O405, 0)</f>
        <v>0</v>
      </c>
      <c r="P406" s="1">
        <f>C406-((ABS(SUM(PL!H406:J406)))*0.125)</f>
        <v>0</v>
      </c>
      <c r="Q406" s="1">
        <f>D406-((ABS(SUM(PL!K406:M406)))*0.125)</f>
        <v>0</v>
      </c>
      <c r="R406" s="1">
        <f>E406-((ABS(SUM(PL!N406:P406)))*0.125)</f>
        <v>0</v>
      </c>
      <c r="S406" s="1">
        <f>F406-((ABS(SUM(PL!Q406:S406)))*0.125)</f>
        <v>0</v>
      </c>
      <c r="T406" s="1">
        <f>G406-((ABS(SUM(PL!T406:V406)))*0.125)</f>
        <v>0</v>
      </c>
      <c r="U406" s="1">
        <f>P406 + Q406 + R406 + S406 + T406</f>
        <v>0</v>
      </c>
      <c r="V406" s="1">
        <f>IF(P406 + V405 &lt; 0, P406 + V405, 0)</f>
        <v>0</v>
      </c>
      <c r="W406" s="1">
        <f>IF(Q406 + W405 &lt; 0, Q406 + W405, 0)</f>
        <v>0</v>
      </c>
      <c r="X406" s="1">
        <f>IF(R406 + X405 &lt; 0, R406 + X405, 0)</f>
        <v>0</v>
      </c>
      <c r="Y406" s="1">
        <f>IF(S406 + Y405 &lt; 0, S406 + Y405, 0)</f>
        <v>0</v>
      </c>
      <c r="Z406" s="1">
        <f>IF(T406 + Z405 &lt; 0, T406 + Z405, 0)</f>
        <v>0</v>
      </c>
      <c r="AA406" s="1">
        <f>IF(U406 + AA405 &lt; 0, U406 + AA405, 0)</f>
        <v>0</v>
      </c>
      <c r="AB406" s="1">
        <f>IF(AA406 &lt; 0, 1 + AB405, 0)</f>
        <v>0</v>
      </c>
      <c r="AC406" s="1">
        <f>IF(H406&lt;0,1,0)</f>
        <v>0</v>
      </c>
      <c r="AD406" s="1">
        <f>IF(AC406=1,H406,0)</f>
        <v>0</v>
      </c>
      <c r="AE406" s="1">
        <f>IF(H406&gt;0,1,0)</f>
        <v>0</v>
      </c>
      <c r="AF406" s="1">
        <f>IF(AE406=1,H406,0)</f>
        <v>0</v>
      </c>
      <c r="AG406" s="1">
        <f>IF(AD406&lt;-20000000.0/100,1,0)</f>
        <v>0</v>
      </c>
      <c r="AH406" s="1">
        <f>IF(AF406&gt;20000000.0/100,1,0)</f>
        <v>0</v>
      </c>
      <c r="AI406" s="1">
        <f>IF(U406&lt;0,1,0)</f>
        <v>0</v>
      </c>
      <c r="AJ406" s="1">
        <f>IF(AI406=1,U406,0)</f>
        <v>0</v>
      </c>
      <c r="AK406" s="1">
        <f>IF(U406&gt;0,1,0)</f>
        <v>0</v>
      </c>
      <c r="AL406" s="1">
        <f>IF(AK406=1,U406,0)</f>
        <v>0</v>
      </c>
      <c r="AM406" s="1">
        <f>IF(AJ406&lt;-20000000.0/100,1,0)</f>
        <v>0</v>
      </c>
      <c r="AN406" s="1">
        <f>IF(AL406&gt;20000000.0/100,1,0)</f>
        <v>0</v>
      </c>
    </row>
    <row r="407" spans="1:40" s="1" customFormat="1">
      <c r="A407" s="3">
        <v>45890</v>
      </c>
      <c r="B407" s="2" t="s">
        <v>25</v>
      </c>
      <c r="C407" s="1">
        <f>SUM(PL!H407:J407)</f>
        <v>0</v>
      </c>
      <c r="D407" s="1">
        <f>SUM(PL!K407:M407)</f>
        <v>0</v>
      </c>
      <c r="E407" s="1">
        <f>SUM(PL!N407:P407)</f>
        <v>0</v>
      </c>
      <c r="F407" s="1">
        <f>SUM(PL!Q407:S407)</f>
        <v>0</v>
      </c>
      <c r="G407" s="1">
        <f>SUM(PL!T407:V407)</f>
        <v>0</v>
      </c>
      <c r="H407" s="1">
        <f>SUM(C407:G407)</f>
        <v>0</v>
      </c>
      <c r="I407" s="1">
        <f>IF(C407 + I406 &lt; 0, C407 + I406, 0)</f>
        <v>0</v>
      </c>
      <c r="J407" s="1">
        <f>IF(D407 + J406 &lt; 0, D407 + J406, 0)</f>
        <v>0</v>
      </c>
      <c r="K407" s="1">
        <f>IF(E407 + K406 &lt; 0, E407 + K406, 0)</f>
        <v>0</v>
      </c>
      <c r="L407" s="1">
        <f>IF(F407 + L406 &lt; 0, F407 + L406, 0)</f>
        <v>0</v>
      </c>
      <c r="M407" s="1">
        <f>IF(G407 + M406 &lt; 0, G407 + M406, 0)</f>
        <v>0</v>
      </c>
      <c r="N407" s="1">
        <f>IF(H407 + N406 &lt; 0, H407 + N406, 0)</f>
        <v>0</v>
      </c>
      <c r="O407" s="1">
        <f>IF(N407 &lt; 0, 1 + O406, 0)</f>
        <v>0</v>
      </c>
      <c r="P407" s="1">
        <f>C407-((ABS(SUM(PL!H407:J407)))*0.125)</f>
        <v>0</v>
      </c>
      <c r="Q407" s="1">
        <f>D407-((ABS(SUM(PL!K407:M407)))*0.125)</f>
        <v>0</v>
      </c>
      <c r="R407" s="1">
        <f>E407-((ABS(SUM(PL!N407:P407)))*0.125)</f>
        <v>0</v>
      </c>
      <c r="S407" s="1">
        <f>F407-((ABS(SUM(PL!Q407:S407)))*0.125)</f>
        <v>0</v>
      </c>
      <c r="T407" s="1">
        <f>G407-((ABS(SUM(PL!T407:V407)))*0.125)</f>
        <v>0</v>
      </c>
      <c r="U407" s="1">
        <f>P407 + Q407 + R407 + S407 + T407</f>
        <v>0</v>
      </c>
      <c r="V407" s="1">
        <f>IF(P407 + V406 &lt; 0, P407 + V406, 0)</f>
        <v>0</v>
      </c>
      <c r="W407" s="1">
        <f>IF(Q407 + W406 &lt; 0, Q407 + W406, 0)</f>
        <v>0</v>
      </c>
      <c r="X407" s="1">
        <f>IF(R407 + X406 &lt; 0, R407 + X406, 0)</f>
        <v>0</v>
      </c>
      <c r="Y407" s="1">
        <f>IF(S407 + Y406 &lt; 0, S407 + Y406, 0)</f>
        <v>0</v>
      </c>
      <c r="Z407" s="1">
        <f>IF(T407 + Z406 &lt; 0, T407 + Z406, 0)</f>
        <v>0</v>
      </c>
      <c r="AA407" s="1">
        <f>IF(U407 + AA406 &lt; 0, U407 + AA406, 0)</f>
        <v>0</v>
      </c>
      <c r="AB407" s="1">
        <f>IF(AA407 &lt; 0, 1 + AB406, 0)</f>
        <v>0</v>
      </c>
      <c r="AC407" s="1">
        <f>IF(H407&lt;0,1,0)</f>
        <v>0</v>
      </c>
      <c r="AD407" s="1">
        <f>IF(AC407=1,H407,0)</f>
        <v>0</v>
      </c>
      <c r="AE407" s="1">
        <f>IF(H407&gt;0,1,0)</f>
        <v>0</v>
      </c>
      <c r="AF407" s="1">
        <f>IF(AE407=1,H407,0)</f>
        <v>0</v>
      </c>
      <c r="AG407" s="1">
        <f>IF(AD407&lt;-20000000.0/100,1,0)</f>
        <v>0</v>
      </c>
      <c r="AH407" s="1">
        <f>IF(AF407&gt;20000000.0/100,1,0)</f>
        <v>0</v>
      </c>
      <c r="AI407" s="1">
        <f>IF(U407&lt;0,1,0)</f>
        <v>0</v>
      </c>
      <c r="AJ407" s="1">
        <f>IF(AI407=1,U407,0)</f>
        <v>0</v>
      </c>
      <c r="AK407" s="1">
        <f>IF(U407&gt;0,1,0)</f>
        <v>0</v>
      </c>
      <c r="AL407" s="1">
        <f>IF(AK407=1,U407,0)</f>
        <v>0</v>
      </c>
      <c r="AM407" s="1">
        <f>IF(AJ407&lt;-20000000.0/100,1,0)</f>
        <v>0</v>
      </c>
      <c r="AN407" s="1">
        <f>IF(AL407&gt;20000000.0/100,1,0)</f>
        <v>0</v>
      </c>
    </row>
    <row r="408" spans="1:40" s="1" customFormat="1">
      <c r="A408" s="3">
        <v>45891</v>
      </c>
      <c r="B408" s="2" t="s">
        <v>26</v>
      </c>
      <c r="C408" s="1">
        <f>SUM(PL!H408:J408)</f>
        <v>0</v>
      </c>
      <c r="D408" s="1">
        <f>SUM(PL!K408:M408)</f>
        <v>0</v>
      </c>
      <c r="E408" s="1">
        <f>SUM(PL!N408:P408)</f>
        <v>0</v>
      </c>
      <c r="F408" s="1">
        <f>SUM(PL!Q408:S408)</f>
        <v>0</v>
      </c>
      <c r="G408" s="1">
        <f>SUM(PL!T408:V408)</f>
        <v>0</v>
      </c>
      <c r="H408" s="1">
        <f>SUM(C408:G408)</f>
        <v>0</v>
      </c>
      <c r="I408" s="1">
        <f>IF(C408 + I407 &lt; 0, C408 + I407, 0)</f>
        <v>0</v>
      </c>
      <c r="J408" s="1">
        <f>IF(D408 + J407 &lt; 0, D408 + J407, 0)</f>
        <v>0</v>
      </c>
      <c r="K408" s="1">
        <f>IF(E408 + K407 &lt; 0, E408 + K407, 0)</f>
        <v>0</v>
      </c>
      <c r="L408" s="1">
        <f>IF(F408 + L407 &lt; 0, F408 + L407, 0)</f>
        <v>0</v>
      </c>
      <c r="M408" s="1">
        <f>IF(G408 + M407 &lt; 0, G408 + M407, 0)</f>
        <v>0</v>
      </c>
      <c r="N408" s="1">
        <f>IF(H408 + N407 &lt; 0, H408 + N407, 0)</f>
        <v>0</v>
      </c>
      <c r="O408" s="1">
        <f>IF(N408 &lt; 0, 1 + O407, 0)</f>
        <v>0</v>
      </c>
      <c r="P408" s="1">
        <f>C408-((ABS(SUM(PL!H408:J408)))*0.125)</f>
        <v>0</v>
      </c>
      <c r="Q408" s="1">
        <f>D408-((ABS(SUM(PL!K408:M408)))*0.125)</f>
        <v>0</v>
      </c>
      <c r="R408" s="1">
        <f>E408-((ABS(SUM(PL!N408:P408)))*0.125)</f>
        <v>0</v>
      </c>
      <c r="S408" s="1">
        <f>F408-((ABS(SUM(PL!Q408:S408)))*0.125)</f>
        <v>0</v>
      </c>
      <c r="T408" s="1">
        <f>G408-((ABS(SUM(PL!T408:V408)))*0.125)</f>
        <v>0</v>
      </c>
      <c r="U408" s="1">
        <f>P408 + Q408 + R408 + S408 + T408</f>
        <v>0</v>
      </c>
      <c r="V408" s="1">
        <f>IF(P408 + V407 &lt; 0, P408 + V407, 0)</f>
        <v>0</v>
      </c>
      <c r="W408" s="1">
        <f>IF(Q408 + W407 &lt; 0, Q408 + W407, 0)</f>
        <v>0</v>
      </c>
      <c r="X408" s="1">
        <f>IF(R408 + X407 &lt; 0, R408 + X407, 0)</f>
        <v>0</v>
      </c>
      <c r="Y408" s="1">
        <f>IF(S408 + Y407 &lt; 0, S408 + Y407, 0)</f>
        <v>0</v>
      </c>
      <c r="Z408" s="1">
        <f>IF(T408 + Z407 &lt; 0, T408 + Z407, 0)</f>
        <v>0</v>
      </c>
      <c r="AA408" s="1">
        <f>IF(U408 + AA407 &lt; 0, U408 + AA407, 0)</f>
        <v>0</v>
      </c>
      <c r="AB408" s="1">
        <f>IF(AA408 &lt; 0, 1 + AB407, 0)</f>
        <v>0</v>
      </c>
      <c r="AC408" s="1">
        <f>IF(H408&lt;0,1,0)</f>
        <v>0</v>
      </c>
      <c r="AD408" s="1">
        <f>IF(AC408=1,H408,0)</f>
        <v>0</v>
      </c>
      <c r="AE408" s="1">
        <f>IF(H408&gt;0,1,0)</f>
        <v>0</v>
      </c>
      <c r="AF408" s="1">
        <f>IF(AE408=1,H408,0)</f>
        <v>0</v>
      </c>
      <c r="AG408" s="1">
        <f>IF(AD408&lt;-20000000.0/100,1,0)</f>
        <v>0</v>
      </c>
      <c r="AH408" s="1">
        <f>IF(AF408&gt;20000000.0/100,1,0)</f>
        <v>0</v>
      </c>
      <c r="AI408" s="1">
        <f>IF(U408&lt;0,1,0)</f>
        <v>0</v>
      </c>
      <c r="AJ408" s="1">
        <f>IF(AI408=1,U408,0)</f>
        <v>0</v>
      </c>
      <c r="AK408" s="1">
        <f>IF(U408&gt;0,1,0)</f>
        <v>0</v>
      </c>
      <c r="AL408" s="1">
        <f>IF(AK408=1,U408,0)</f>
        <v>0</v>
      </c>
      <c r="AM408" s="1">
        <f>IF(AJ408&lt;-20000000.0/100,1,0)</f>
        <v>0</v>
      </c>
      <c r="AN408" s="1">
        <f>IF(AL408&gt;20000000.0/100,1,0)</f>
        <v>0</v>
      </c>
    </row>
    <row r="409" spans="1:40" s="1" customFormat="1">
      <c r="A409" s="3">
        <v>45894</v>
      </c>
      <c r="B409" s="2" t="s">
        <v>22</v>
      </c>
      <c r="C409" s="1">
        <f>SUM(PL!H409:J409)</f>
        <v>0</v>
      </c>
      <c r="D409" s="1">
        <f>SUM(PL!K409:M409)</f>
        <v>0</v>
      </c>
      <c r="E409" s="1">
        <f>SUM(PL!N409:P409)</f>
        <v>0</v>
      </c>
      <c r="F409" s="1">
        <f>SUM(PL!Q409:S409)</f>
        <v>0</v>
      </c>
      <c r="G409" s="1">
        <f>SUM(PL!T409:V409)</f>
        <v>0</v>
      </c>
      <c r="H409" s="1">
        <f>SUM(C409:G409)</f>
        <v>0</v>
      </c>
      <c r="I409" s="1">
        <f>IF(C409 + I408 &lt; 0, C409 + I408, 0)</f>
        <v>0</v>
      </c>
      <c r="J409" s="1">
        <f>IF(D409 + J408 &lt; 0, D409 + J408, 0)</f>
        <v>0</v>
      </c>
      <c r="K409" s="1">
        <f>IF(E409 + K408 &lt; 0, E409 + K408, 0)</f>
        <v>0</v>
      </c>
      <c r="L409" s="1">
        <f>IF(F409 + L408 &lt; 0, F409 + L408, 0)</f>
        <v>0</v>
      </c>
      <c r="M409" s="1">
        <f>IF(G409 + M408 &lt; 0, G409 + M408, 0)</f>
        <v>0</v>
      </c>
      <c r="N409" s="1">
        <f>IF(H409 + N408 &lt; 0, H409 + N408, 0)</f>
        <v>0</v>
      </c>
      <c r="O409" s="1">
        <f>IF(N409 &lt; 0, 1 + O408, 0)</f>
        <v>0</v>
      </c>
      <c r="P409" s="1">
        <f>C409-((ABS(SUM(PL!H409:J409)))*0.125)</f>
        <v>0</v>
      </c>
      <c r="Q409" s="1">
        <f>D409-((ABS(SUM(PL!K409:M409)))*0.125)</f>
        <v>0</v>
      </c>
      <c r="R409" s="1">
        <f>E409-((ABS(SUM(PL!N409:P409)))*0.125)</f>
        <v>0</v>
      </c>
      <c r="S409" s="1">
        <f>F409-((ABS(SUM(PL!Q409:S409)))*0.125)</f>
        <v>0</v>
      </c>
      <c r="T409" s="1">
        <f>G409-((ABS(SUM(PL!T409:V409)))*0.125)</f>
        <v>0</v>
      </c>
      <c r="U409" s="1">
        <f>P409 + Q409 + R409 + S409 + T409</f>
        <v>0</v>
      </c>
      <c r="V409" s="1">
        <f>IF(P409 + V408 &lt; 0, P409 + V408, 0)</f>
        <v>0</v>
      </c>
      <c r="W409" s="1">
        <f>IF(Q409 + W408 &lt; 0, Q409 + W408, 0)</f>
        <v>0</v>
      </c>
      <c r="X409" s="1">
        <f>IF(R409 + X408 &lt; 0, R409 + X408, 0)</f>
        <v>0</v>
      </c>
      <c r="Y409" s="1">
        <f>IF(S409 + Y408 &lt; 0, S409 + Y408, 0)</f>
        <v>0</v>
      </c>
      <c r="Z409" s="1">
        <f>IF(T409 + Z408 &lt; 0, T409 + Z408, 0)</f>
        <v>0</v>
      </c>
      <c r="AA409" s="1">
        <f>IF(U409 + AA408 &lt; 0, U409 + AA408, 0)</f>
        <v>0</v>
      </c>
      <c r="AB409" s="1">
        <f>IF(AA409 &lt; 0, 1 + AB408, 0)</f>
        <v>0</v>
      </c>
      <c r="AC409" s="1">
        <f>IF(H409&lt;0,1,0)</f>
        <v>0</v>
      </c>
      <c r="AD409" s="1">
        <f>IF(AC409=1,H409,0)</f>
        <v>0</v>
      </c>
      <c r="AE409" s="1">
        <f>IF(H409&gt;0,1,0)</f>
        <v>0</v>
      </c>
      <c r="AF409" s="1">
        <f>IF(AE409=1,H409,0)</f>
        <v>0</v>
      </c>
      <c r="AG409" s="1">
        <f>IF(AD409&lt;-20000000.0/100,1,0)</f>
        <v>0</v>
      </c>
      <c r="AH409" s="1">
        <f>IF(AF409&gt;20000000.0/100,1,0)</f>
        <v>0</v>
      </c>
      <c r="AI409" s="1">
        <f>IF(U409&lt;0,1,0)</f>
        <v>0</v>
      </c>
      <c r="AJ409" s="1">
        <f>IF(AI409=1,U409,0)</f>
        <v>0</v>
      </c>
      <c r="AK409" s="1">
        <f>IF(U409&gt;0,1,0)</f>
        <v>0</v>
      </c>
      <c r="AL409" s="1">
        <f>IF(AK409=1,U409,0)</f>
        <v>0</v>
      </c>
      <c r="AM409" s="1">
        <f>IF(AJ409&lt;-20000000.0/100,1,0)</f>
        <v>0</v>
      </c>
      <c r="AN409" s="1">
        <f>IF(AL409&gt;20000000.0/100,1,0)</f>
        <v>0</v>
      </c>
    </row>
    <row r="410" spans="1:40" s="1" customFormat="1">
      <c r="A410" s="3">
        <v>45895</v>
      </c>
      <c r="B410" s="2" t="s">
        <v>23</v>
      </c>
      <c r="C410" s="1">
        <f>SUM(PL!H410:J410)</f>
        <v>0</v>
      </c>
      <c r="D410" s="1">
        <f>SUM(PL!K410:M410)</f>
        <v>0</v>
      </c>
      <c r="E410" s="1">
        <f>SUM(PL!N410:P410)</f>
        <v>0</v>
      </c>
      <c r="F410" s="1">
        <f>SUM(PL!Q410:S410)</f>
        <v>0</v>
      </c>
      <c r="G410" s="1">
        <f>SUM(PL!T410:V410)</f>
        <v>0</v>
      </c>
      <c r="H410" s="1">
        <f>SUM(C410:G410)</f>
        <v>0</v>
      </c>
      <c r="I410" s="1">
        <f>IF(C410 + I409 &lt; 0, C410 + I409, 0)</f>
        <v>0</v>
      </c>
      <c r="J410" s="1">
        <f>IF(D410 + J409 &lt; 0, D410 + J409, 0)</f>
        <v>0</v>
      </c>
      <c r="K410" s="1">
        <f>IF(E410 + K409 &lt; 0, E410 + K409, 0)</f>
        <v>0</v>
      </c>
      <c r="L410" s="1">
        <f>IF(F410 + L409 &lt; 0, F410 + L409, 0)</f>
        <v>0</v>
      </c>
      <c r="M410" s="1">
        <f>IF(G410 + M409 &lt; 0, G410 + M409, 0)</f>
        <v>0</v>
      </c>
      <c r="N410" s="1">
        <f>IF(H410 + N409 &lt; 0, H410 + N409, 0)</f>
        <v>0</v>
      </c>
      <c r="O410" s="1">
        <f>IF(N410 &lt; 0, 1 + O409, 0)</f>
        <v>0</v>
      </c>
      <c r="P410" s="1">
        <f>C410-((ABS(SUM(PL!H410:J410)))*0.125)</f>
        <v>0</v>
      </c>
      <c r="Q410" s="1">
        <f>D410-((ABS(SUM(PL!K410:M410)))*0.125)</f>
        <v>0</v>
      </c>
      <c r="R410" s="1">
        <f>E410-((ABS(SUM(PL!N410:P410)))*0.125)</f>
        <v>0</v>
      </c>
      <c r="S410" s="1">
        <f>F410-((ABS(SUM(PL!Q410:S410)))*0.125)</f>
        <v>0</v>
      </c>
      <c r="T410" s="1">
        <f>G410-((ABS(SUM(PL!T410:V410)))*0.125)</f>
        <v>0</v>
      </c>
      <c r="U410" s="1">
        <f>P410 + Q410 + R410 + S410 + T410</f>
        <v>0</v>
      </c>
      <c r="V410" s="1">
        <f>IF(P410 + V409 &lt; 0, P410 + V409, 0)</f>
        <v>0</v>
      </c>
      <c r="W410" s="1">
        <f>IF(Q410 + W409 &lt; 0, Q410 + W409, 0)</f>
        <v>0</v>
      </c>
      <c r="X410" s="1">
        <f>IF(R410 + X409 &lt; 0, R410 + X409, 0)</f>
        <v>0</v>
      </c>
      <c r="Y410" s="1">
        <f>IF(S410 + Y409 &lt; 0, S410 + Y409, 0)</f>
        <v>0</v>
      </c>
      <c r="Z410" s="1">
        <f>IF(T410 + Z409 &lt; 0, T410 + Z409, 0)</f>
        <v>0</v>
      </c>
      <c r="AA410" s="1">
        <f>IF(U410 + AA409 &lt; 0, U410 + AA409, 0)</f>
        <v>0</v>
      </c>
      <c r="AB410" s="1">
        <f>IF(AA410 &lt; 0, 1 + AB409, 0)</f>
        <v>0</v>
      </c>
      <c r="AC410" s="1">
        <f>IF(H410&lt;0,1,0)</f>
        <v>0</v>
      </c>
      <c r="AD410" s="1">
        <f>IF(AC410=1,H410,0)</f>
        <v>0</v>
      </c>
      <c r="AE410" s="1">
        <f>IF(H410&gt;0,1,0)</f>
        <v>0</v>
      </c>
      <c r="AF410" s="1">
        <f>IF(AE410=1,H410,0)</f>
        <v>0</v>
      </c>
      <c r="AG410" s="1">
        <f>IF(AD410&lt;-20000000.0/100,1,0)</f>
        <v>0</v>
      </c>
      <c r="AH410" s="1">
        <f>IF(AF410&gt;20000000.0/100,1,0)</f>
        <v>0</v>
      </c>
      <c r="AI410" s="1">
        <f>IF(U410&lt;0,1,0)</f>
        <v>0</v>
      </c>
      <c r="AJ410" s="1">
        <f>IF(AI410=1,U410,0)</f>
        <v>0</v>
      </c>
      <c r="AK410" s="1">
        <f>IF(U410&gt;0,1,0)</f>
        <v>0</v>
      </c>
      <c r="AL410" s="1">
        <f>IF(AK410=1,U410,0)</f>
        <v>0</v>
      </c>
      <c r="AM410" s="1">
        <f>IF(AJ410&lt;-20000000.0/100,1,0)</f>
        <v>0</v>
      </c>
      <c r="AN410" s="1">
        <f>IF(AL410&gt;20000000.0/100,1,0)</f>
        <v>0</v>
      </c>
    </row>
    <row r="411" spans="1:40" s="1" customFormat="1">
      <c r="A411" s="3">
        <v>45897</v>
      </c>
      <c r="B411" s="2" t="s">
        <v>25</v>
      </c>
      <c r="C411" s="1">
        <f>SUM(PL!H411:J411)</f>
        <v>0</v>
      </c>
      <c r="D411" s="1">
        <f>SUM(PL!K411:M411)</f>
        <v>0</v>
      </c>
      <c r="E411" s="1">
        <f>SUM(PL!N411:P411)</f>
        <v>0</v>
      </c>
      <c r="F411" s="1">
        <f>SUM(PL!Q411:S411)</f>
        <v>0</v>
      </c>
      <c r="G411" s="1">
        <f>SUM(PL!T411:V411)</f>
        <v>0</v>
      </c>
      <c r="H411" s="1">
        <f>SUM(C411:G411)</f>
        <v>0</v>
      </c>
      <c r="I411" s="1">
        <f>IF(C411 + I410 &lt; 0, C411 + I410, 0)</f>
        <v>0</v>
      </c>
      <c r="J411" s="1">
        <f>IF(D411 + J410 &lt; 0, D411 + J410, 0)</f>
        <v>0</v>
      </c>
      <c r="K411" s="1">
        <f>IF(E411 + K410 &lt; 0, E411 + K410, 0)</f>
        <v>0</v>
      </c>
      <c r="L411" s="1">
        <f>IF(F411 + L410 &lt; 0, F411 + L410, 0)</f>
        <v>0</v>
      </c>
      <c r="M411" s="1">
        <f>IF(G411 + M410 &lt; 0, G411 + M410, 0)</f>
        <v>0</v>
      </c>
      <c r="N411" s="1">
        <f>IF(H411 + N410 &lt; 0, H411 + N410, 0)</f>
        <v>0</v>
      </c>
      <c r="O411" s="1">
        <f>IF(N411 &lt; 0, 1 + O410, 0)</f>
        <v>0</v>
      </c>
      <c r="P411" s="1">
        <f>C411-((ABS(SUM(PL!H411:J411)))*0.125)</f>
        <v>0</v>
      </c>
      <c r="Q411" s="1">
        <f>D411-((ABS(SUM(PL!K411:M411)))*0.125)</f>
        <v>0</v>
      </c>
      <c r="R411" s="1">
        <f>E411-((ABS(SUM(PL!N411:P411)))*0.125)</f>
        <v>0</v>
      </c>
      <c r="S411" s="1">
        <f>F411-((ABS(SUM(PL!Q411:S411)))*0.125)</f>
        <v>0</v>
      </c>
      <c r="T411" s="1">
        <f>G411-((ABS(SUM(PL!T411:V411)))*0.125)</f>
        <v>0</v>
      </c>
      <c r="U411" s="1">
        <f>P411 + Q411 + R411 + S411 + T411</f>
        <v>0</v>
      </c>
      <c r="V411" s="1">
        <f>IF(P411 + V410 &lt; 0, P411 + V410, 0)</f>
        <v>0</v>
      </c>
      <c r="W411" s="1">
        <f>IF(Q411 + W410 &lt; 0, Q411 + W410, 0)</f>
        <v>0</v>
      </c>
      <c r="X411" s="1">
        <f>IF(R411 + X410 &lt; 0, R411 + X410, 0)</f>
        <v>0</v>
      </c>
      <c r="Y411" s="1">
        <f>IF(S411 + Y410 &lt; 0, S411 + Y410, 0)</f>
        <v>0</v>
      </c>
      <c r="Z411" s="1">
        <f>IF(T411 + Z410 &lt; 0, T411 + Z410, 0)</f>
        <v>0</v>
      </c>
      <c r="AA411" s="1">
        <f>IF(U411 + AA410 &lt; 0, U411 + AA410, 0)</f>
        <v>0</v>
      </c>
      <c r="AB411" s="1">
        <f>IF(AA411 &lt; 0, 1 + AB410, 0)</f>
        <v>0</v>
      </c>
      <c r="AC411" s="1">
        <f>IF(H411&lt;0,1,0)</f>
        <v>0</v>
      </c>
      <c r="AD411" s="1">
        <f>IF(AC411=1,H411,0)</f>
        <v>0</v>
      </c>
      <c r="AE411" s="1">
        <f>IF(H411&gt;0,1,0)</f>
        <v>0</v>
      </c>
      <c r="AF411" s="1">
        <f>IF(AE411=1,H411,0)</f>
        <v>0</v>
      </c>
      <c r="AG411" s="1">
        <f>IF(AD411&lt;-20000000.0/100,1,0)</f>
        <v>0</v>
      </c>
      <c r="AH411" s="1">
        <f>IF(AF411&gt;20000000.0/100,1,0)</f>
        <v>0</v>
      </c>
      <c r="AI411" s="1">
        <f>IF(U411&lt;0,1,0)</f>
        <v>0</v>
      </c>
      <c r="AJ411" s="1">
        <f>IF(AI411=1,U411,0)</f>
        <v>0</v>
      </c>
      <c r="AK411" s="1">
        <f>IF(U411&gt;0,1,0)</f>
        <v>0</v>
      </c>
      <c r="AL411" s="1">
        <f>IF(AK411=1,U411,0)</f>
        <v>0</v>
      </c>
      <c r="AM411" s="1">
        <f>IF(AJ411&lt;-20000000.0/100,1,0)</f>
        <v>0</v>
      </c>
      <c r="AN411" s="1">
        <f>IF(AL411&gt;20000000.0/100,1,0)</f>
        <v>0</v>
      </c>
    </row>
    <row r="412" spans="1:40" s="1" customFormat="1">
      <c r="A412" s="3">
        <v>45898</v>
      </c>
      <c r="B412" s="2" t="s">
        <v>26</v>
      </c>
      <c r="C412" s="1">
        <f>SUM(PL!H412:J412)</f>
        <v>0</v>
      </c>
      <c r="D412" s="1">
        <f>SUM(PL!K412:M412)</f>
        <v>0</v>
      </c>
      <c r="E412" s="1">
        <f>SUM(PL!N412:P412)</f>
        <v>0</v>
      </c>
      <c r="F412" s="1">
        <f>SUM(PL!Q412:S412)</f>
        <v>0</v>
      </c>
      <c r="G412" s="1">
        <f>SUM(PL!T412:V412)</f>
        <v>0</v>
      </c>
      <c r="H412" s="1">
        <f>SUM(C412:G412)</f>
        <v>0</v>
      </c>
      <c r="I412" s="1">
        <f>IF(C412 + I411 &lt; 0, C412 + I411, 0)</f>
        <v>0</v>
      </c>
      <c r="J412" s="1">
        <f>IF(D412 + J411 &lt; 0, D412 + J411, 0)</f>
        <v>0</v>
      </c>
      <c r="K412" s="1">
        <f>IF(E412 + K411 &lt; 0, E412 + K411, 0)</f>
        <v>0</v>
      </c>
      <c r="L412" s="1">
        <f>IF(F412 + L411 &lt; 0, F412 + L411, 0)</f>
        <v>0</v>
      </c>
      <c r="M412" s="1">
        <f>IF(G412 + M411 &lt; 0, G412 + M411, 0)</f>
        <v>0</v>
      </c>
      <c r="N412" s="1">
        <f>IF(H412 + N411 &lt; 0, H412 + N411, 0)</f>
        <v>0</v>
      </c>
      <c r="O412" s="1">
        <f>IF(N412 &lt; 0, 1 + O411, 0)</f>
        <v>0</v>
      </c>
      <c r="P412" s="1">
        <f>C412-((ABS(SUM(PL!H412:J412)))*0.125)</f>
        <v>0</v>
      </c>
      <c r="Q412" s="1">
        <f>D412-((ABS(SUM(PL!K412:M412)))*0.125)</f>
        <v>0</v>
      </c>
      <c r="R412" s="1">
        <f>E412-((ABS(SUM(PL!N412:P412)))*0.125)</f>
        <v>0</v>
      </c>
      <c r="S412" s="1">
        <f>F412-((ABS(SUM(PL!Q412:S412)))*0.125)</f>
        <v>0</v>
      </c>
      <c r="T412" s="1">
        <f>G412-((ABS(SUM(PL!T412:V412)))*0.125)</f>
        <v>0</v>
      </c>
      <c r="U412" s="1">
        <f>P412 + Q412 + R412 + S412 + T412</f>
        <v>0</v>
      </c>
      <c r="V412" s="1">
        <f>IF(P412 + V411 &lt; 0, P412 + V411, 0)</f>
        <v>0</v>
      </c>
      <c r="W412" s="1">
        <f>IF(Q412 + W411 &lt; 0, Q412 + W411, 0)</f>
        <v>0</v>
      </c>
      <c r="X412" s="1">
        <f>IF(R412 + X411 &lt; 0, R412 + X411, 0)</f>
        <v>0</v>
      </c>
      <c r="Y412" s="1">
        <f>IF(S412 + Y411 &lt; 0, S412 + Y411, 0)</f>
        <v>0</v>
      </c>
      <c r="Z412" s="1">
        <f>IF(T412 + Z411 &lt; 0, T412 + Z411, 0)</f>
        <v>0</v>
      </c>
      <c r="AA412" s="1">
        <f>IF(U412 + AA411 &lt; 0, U412 + AA411, 0)</f>
        <v>0</v>
      </c>
      <c r="AB412" s="1">
        <f>IF(AA412 &lt; 0, 1 + AB411, 0)</f>
        <v>0</v>
      </c>
      <c r="AC412" s="1">
        <f>IF(H412&lt;0,1,0)</f>
        <v>0</v>
      </c>
      <c r="AD412" s="1">
        <f>IF(AC412=1,H412,0)</f>
        <v>0</v>
      </c>
      <c r="AE412" s="1">
        <f>IF(H412&gt;0,1,0)</f>
        <v>0</v>
      </c>
      <c r="AF412" s="1">
        <f>IF(AE412=1,H412,0)</f>
        <v>0</v>
      </c>
      <c r="AG412" s="1">
        <f>IF(AD412&lt;-20000000.0/100,1,0)</f>
        <v>0</v>
      </c>
      <c r="AH412" s="1">
        <f>IF(AF412&gt;20000000.0/100,1,0)</f>
        <v>0</v>
      </c>
      <c r="AI412" s="1">
        <f>IF(U412&lt;0,1,0)</f>
        <v>0</v>
      </c>
      <c r="AJ412" s="1">
        <f>IF(AI412=1,U412,0)</f>
        <v>0</v>
      </c>
      <c r="AK412" s="1">
        <f>IF(U412&gt;0,1,0)</f>
        <v>0</v>
      </c>
      <c r="AL412" s="1">
        <f>IF(AK412=1,U412,0)</f>
        <v>0</v>
      </c>
      <c r="AM412" s="1">
        <f>IF(AJ412&lt;-20000000.0/100,1,0)</f>
        <v>0</v>
      </c>
      <c r="AN412" s="1">
        <f>IF(AL412&gt;20000000.0/100,1,0)</f>
        <v>0</v>
      </c>
    </row>
    <row r="413" spans="1:40" s="1" customFormat="1">
      <c r="A413" s="3">
        <v>45901</v>
      </c>
      <c r="B413" s="2" t="s">
        <v>22</v>
      </c>
      <c r="C413" s="1">
        <f>SUM(PL!H413:J413)</f>
        <v>0</v>
      </c>
      <c r="D413" s="1">
        <f>SUM(PL!K413:M413)</f>
        <v>0</v>
      </c>
      <c r="E413" s="1">
        <f>SUM(PL!N413:P413)</f>
        <v>0</v>
      </c>
      <c r="F413" s="1">
        <f>SUM(PL!Q413:S413)</f>
        <v>0</v>
      </c>
      <c r="G413" s="1">
        <f>SUM(PL!T413:V413)</f>
        <v>0</v>
      </c>
      <c r="H413" s="1">
        <f>SUM(C413:G413)</f>
        <v>0</v>
      </c>
      <c r="I413" s="1">
        <f>IF(C413 + I412 &lt; 0, C413 + I412, 0)</f>
        <v>0</v>
      </c>
      <c r="J413" s="1">
        <f>IF(D413 + J412 &lt; 0, D413 + J412, 0)</f>
        <v>0</v>
      </c>
      <c r="K413" s="1">
        <f>IF(E413 + K412 &lt; 0, E413 + K412, 0)</f>
        <v>0</v>
      </c>
      <c r="L413" s="1">
        <f>IF(F413 + L412 &lt; 0, F413 + L412, 0)</f>
        <v>0</v>
      </c>
      <c r="M413" s="1">
        <f>IF(G413 + M412 &lt; 0, G413 + M412, 0)</f>
        <v>0</v>
      </c>
      <c r="N413" s="1">
        <f>IF(H413 + N412 &lt; 0, H413 + N412, 0)</f>
        <v>0</v>
      </c>
      <c r="O413" s="1">
        <f>IF(N413 &lt; 0, 1 + O412, 0)</f>
        <v>0</v>
      </c>
      <c r="P413" s="1">
        <f>C413-((ABS(SUM(PL!H413:J413)))*0.125)</f>
        <v>0</v>
      </c>
      <c r="Q413" s="1">
        <f>D413-((ABS(SUM(PL!K413:M413)))*0.125)</f>
        <v>0</v>
      </c>
      <c r="R413" s="1">
        <f>E413-((ABS(SUM(PL!N413:P413)))*0.125)</f>
        <v>0</v>
      </c>
      <c r="S413" s="1">
        <f>F413-((ABS(SUM(PL!Q413:S413)))*0.125)</f>
        <v>0</v>
      </c>
      <c r="T413" s="1">
        <f>G413-((ABS(SUM(PL!T413:V413)))*0.125)</f>
        <v>0</v>
      </c>
      <c r="U413" s="1">
        <f>P413 + Q413 + R413 + S413 + T413</f>
        <v>0</v>
      </c>
      <c r="V413" s="1">
        <f>IF(P413 + V412 &lt; 0, P413 + V412, 0)</f>
        <v>0</v>
      </c>
      <c r="W413" s="1">
        <f>IF(Q413 + W412 &lt; 0, Q413 + W412, 0)</f>
        <v>0</v>
      </c>
      <c r="X413" s="1">
        <f>IF(R413 + X412 &lt; 0, R413 + X412, 0)</f>
        <v>0</v>
      </c>
      <c r="Y413" s="1">
        <f>IF(S413 + Y412 &lt; 0, S413 + Y412, 0)</f>
        <v>0</v>
      </c>
      <c r="Z413" s="1">
        <f>IF(T413 + Z412 &lt; 0, T413 + Z412, 0)</f>
        <v>0</v>
      </c>
      <c r="AA413" s="1">
        <f>IF(U413 + AA412 &lt; 0, U413 + AA412, 0)</f>
        <v>0</v>
      </c>
      <c r="AB413" s="1">
        <f>IF(AA413 &lt; 0, 1 + AB412, 0)</f>
        <v>0</v>
      </c>
      <c r="AC413" s="1">
        <f>IF(H413&lt;0,1,0)</f>
        <v>0</v>
      </c>
      <c r="AD413" s="1">
        <f>IF(AC413=1,H413,0)</f>
        <v>0</v>
      </c>
      <c r="AE413" s="1">
        <f>IF(H413&gt;0,1,0)</f>
        <v>0</v>
      </c>
      <c r="AF413" s="1">
        <f>IF(AE413=1,H413,0)</f>
        <v>0</v>
      </c>
      <c r="AG413" s="1">
        <f>IF(AD413&lt;-20000000.0/100,1,0)</f>
        <v>0</v>
      </c>
      <c r="AH413" s="1">
        <f>IF(AF413&gt;20000000.0/100,1,0)</f>
        <v>0</v>
      </c>
      <c r="AI413" s="1">
        <f>IF(U413&lt;0,1,0)</f>
        <v>0</v>
      </c>
      <c r="AJ413" s="1">
        <f>IF(AI413=1,U413,0)</f>
        <v>0</v>
      </c>
      <c r="AK413" s="1">
        <f>IF(U413&gt;0,1,0)</f>
        <v>0</v>
      </c>
      <c r="AL413" s="1">
        <f>IF(AK413=1,U413,0)</f>
        <v>0</v>
      </c>
      <c r="AM413" s="1">
        <f>IF(AJ413&lt;-20000000.0/100,1,0)</f>
        <v>0</v>
      </c>
      <c r="AN413" s="1">
        <f>IF(AL413&gt;20000000.0/100,1,0)</f>
        <v>0</v>
      </c>
    </row>
    <row r="414" spans="1:40" s="1" customFormat="1">
      <c r="A414" s="3">
        <v>45902</v>
      </c>
      <c r="B414" s="2" t="s">
        <v>23</v>
      </c>
      <c r="C414" s="1">
        <f>SUM(PL!H414:J414)</f>
        <v>0</v>
      </c>
      <c r="D414" s="1">
        <f>SUM(PL!K414:M414)</f>
        <v>0</v>
      </c>
      <c r="E414" s="1">
        <f>SUM(PL!N414:P414)</f>
        <v>0</v>
      </c>
      <c r="F414" s="1">
        <f>SUM(PL!Q414:S414)</f>
        <v>0</v>
      </c>
      <c r="G414" s="1">
        <f>SUM(PL!T414:V414)</f>
        <v>0</v>
      </c>
      <c r="H414" s="1">
        <f>SUM(C414:G414)</f>
        <v>0</v>
      </c>
      <c r="I414" s="1">
        <f>IF(C414 + I413 &lt; 0, C414 + I413, 0)</f>
        <v>0</v>
      </c>
      <c r="J414" s="1">
        <f>IF(D414 + J413 &lt; 0, D414 + J413, 0)</f>
        <v>0</v>
      </c>
      <c r="K414" s="1">
        <f>IF(E414 + K413 &lt; 0, E414 + K413, 0)</f>
        <v>0</v>
      </c>
      <c r="L414" s="1">
        <f>IF(F414 + L413 &lt; 0, F414 + L413, 0)</f>
        <v>0</v>
      </c>
      <c r="M414" s="1">
        <f>IF(G414 + M413 &lt; 0, G414 + M413, 0)</f>
        <v>0</v>
      </c>
      <c r="N414" s="1">
        <f>IF(H414 + N413 &lt; 0, H414 + N413, 0)</f>
        <v>0</v>
      </c>
      <c r="O414" s="1">
        <f>IF(N414 &lt; 0, 1 + O413, 0)</f>
        <v>0</v>
      </c>
      <c r="P414" s="1">
        <f>C414-((ABS(SUM(PL!H414:J414)))*0.125)</f>
        <v>0</v>
      </c>
      <c r="Q414" s="1">
        <f>D414-((ABS(SUM(PL!K414:M414)))*0.125)</f>
        <v>0</v>
      </c>
      <c r="R414" s="1">
        <f>E414-((ABS(SUM(PL!N414:P414)))*0.125)</f>
        <v>0</v>
      </c>
      <c r="S414" s="1">
        <f>F414-((ABS(SUM(PL!Q414:S414)))*0.125)</f>
        <v>0</v>
      </c>
      <c r="T414" s="1">
        <f>G414-((ABS(SUM(PL!T414:V414)))*0.125)</f>
        <v>0</v>
      </c>
      <c r="U414" s="1">
        <f>P414 + Q414 + R414 + S414 + T414</f>
        <v>0</v>
      </c>
      <c r="V414" s="1">
        <f>IF(P414 + V413 &lt; 0, P414 + V413, 0)</f>
        <v>0</v>
      </c>
      <c r="W414" s="1">
        <f>IF(Q414 + W413 &lt; 0, Q414 + W413, 0)</f>
        <v>0</v>
      </c>
      <c r="X414" s="1">
        <f>IF(R414 + X413 &lt; 0, R414 + X413, 0)</f>
        <v>0</v>
      </c>
      <c r="Y414" s="1">
        <f>IF(S414 + Y413 &lt; 0, S414 + Y413, 0)</f>
        <v>0</v>
      </c>
      <c r="Z414" s="1">
        <f>IF(T414 + Z413 &lt; 0, T414 + Z413, 0)</f>
        <v>0</v>
      </c>
      <c r="AA414" s="1">
        <f>IF(U414 + AA413 &lt; 0, U414 + AA413, 0)</f>
        <v>0</v>
      </c>
      <c r="AB414" s="1">
        <f>IF(AA414 &lt; 0, 1 + AB413, 0)</f>
        <v>0</v>
      </c>
      <c r="AC414" s="1">
        <f>IF(H414&lt;0,1,0)</f>
        <v>0</v>
      </c>
      <c r="AD414" s="1">
        <f>IF(AC414=1,H414,0)</f>
        <v>0</v>
      </c>
      <c r="AE414" s="1">
        <f>IF(H414&gt;0,1,0)</f>
        <v>0</v>
      </c>
      <c r="AF414" s="1">
        <f>IF(AE414=1,H414,0)</f>
        <v>0</v>
      </c>
      <c r="AG414" s="1">
        <f>IF(AD414&lt;-20000000.0/100,1,0)</f>
        <v>0</v>
      </c>
      <c r="AH414" s="1">
        <f>IF(AF414&gt;20000000.0/100,1,0)</f>
        <v>0</v>
      </c>
      <c r="AI414" s="1">
        <f>IF(U414&lt;0,1,0)</f>
        <v>0</v>
      </c>
      <c r="AJ414" s="1">
        <f>IF(AI414=1,U414,0)</f>
        <v>0</v>
      </c>
      <c r="AK414" s="1">
        <f>IF(U414&gt;0,1,0)</f>
        <v>0</v>
      </c>
      <c r="AL414" s="1">
        <f>IF(AK414=1,U414,0)</f>
        <v>0</v>
      </c>
      <c r="AM414" s="1">
        <f>IF(AJ414&lt;-20000000.0/100,1,0)</f>
        <v>0</v>
      </c>
      <c r="AN414" s="1">
        <f>IF(AL414&gt;20000000.0/100,1,0)</f>
        <v>0</v>
      </c>
    </row>
    <row r="415" spans="1:40" s="1" customFormat="1">
      <c r="A415" s="3">
        <v>45903</v>
      </c>
      <c r="B415" s="2" t="s">
        <v>24</v>
      </c>
      <c r="C415" s="1">
        <f>SUM(PL!H415:J415)</f>
        <v>0</v>
      </c>
      <c r="D415" s="1">
        <f>SUM(PL!K415:M415)</f>
        <v>0</v>
      </c>
      <c r="E415" s="1">
        <f>SUM(PL!N415:P415)</f>
        <v>0</v>
      </c>
      <c r="F415" s="1">
        <f>SUM(PL!Q415:S415)</f>
        <v>0</v>
      </c>
      <c r="G415" s="1">
        <f>SUM(PL!T415:V415)</f>
        <v>0</v>
      </c>
      <c r="H415" s="1">
        <f>SUM(C415:G415)</f>
        <v>0</v>
      </c>
      <c r="I415" s="1">
        <f>IF(C415 + I414 &lt; 0, C415 + I414, 0)</f>
        <v>0</v>
      </c>
      <c r="J415" s="1">
        <f>IF(D415 + J414 &lt; 0, D415 + J414, 0)</f>
        <v>0</v>
      </c>
      <c r="K415" s="1">
        <f>IF(E415 + K414 &lt; 0, E415 + K414, 0)</f>
        <v>0</v>
      </c>
      <c r="L415" s="1">
        <f>IF(F415 + L414 &lt; 0, F415 + L414, 0)</f>
        <v>0</v>
      </c>
      <c r="M415" s="1">
        <f>IF(G415 + M414 &lt; 0, G415 + M414, 0)</f>
        <v>0</v>
      </c>
      <c r="N415" s="1">
        <f>IF(H415 + N414 &lt; 0, H415 + N414, 0)</f>
        <v>0</v>
      </c>
      <c r="O415" s="1">
        <f>IF(N415 &lt; 0, 1 + O414, 0)</f>
        <v>0</v>
      </c>
      <c r="P415" s="1">
        <f>C415-((ABS(SUM(PL!H415:J415)))*0.125)</f>
        <v>0</v>
      </c>
      <c r="Q415" s="1">
        <f>D415-((ABS(SUM(PL!K415:M415)))*0.125)</f>
        <v>0</v>
      </c>
      <c r="R415" s="1">
        <f>E415-((ABS(SUM(PL!N415:P415)))*0.125)</f>
        <v>0</v>
      </c>
      <c r="S415" s="1">
        <f>F415-((ABS(SUM(PL!Q415:S415)))*0.125)</f>
        <v>0</v>
      </c>
      <c r="T415" s="1">
        <f>G415-((ABS(SUM(PL!T415:V415)))*0.125)</f>
        <v>0</v>
      </c>
      <c r="U415" s="1">
        <f>P415 + Q415 + R415 + S415 + T415</f>
        <v>0</v>
      </c>
      <c r="V415" s="1">
        <f>IF(P415 + V414 &lt; 0, P415 + V414, 0)</f>
        <v>0</v>
      </c>
      <c r="W415" s="1">
        <f>IF(Q415 + W414 &lt; 0, Q415 + W414, 0)</f>
        <v>0</v>
      </c>
      <c r="X415" s="1">
        <f>IF(R415 + X414 &lt; 0, R415 + X414, 0)</f>
        <v>0</v>
      </c>
      <c r="Y415" s="1">
        <f>IF(S415 + Y414 &lt; 0, S415 + Y414, 0)</f>
        <v>0</v>
      </c>
      <c r="Z415" s="1">
        <f>IF(T415 + Z414 &lt; 0, T415 + Z414, 0)</f>
        <v>0</v>
      </c>
      <c r="AA415" s="1">
        <f>IF(U415 + AA414 &lt; 0, U415 + AA414, 0)</f>
        <v>0</v>
      </c>
      <c r="AB415" s="1">
        <f>IF(AA415 &lt; 0, 1 + AB414, 0)</f>
        <v>0</v>
      </c>
      <c r="AC415" s="1">
        <f>IF(H415&lt;0,1,0)</f>
        <v>0</v>
      </c>
      <c r="AD415" s="1">
        <f>IF(AC415=1,H415,0)</f>
        <v>0</v>
      </c>
      <c r="AE415" s="1">
        <f>IF(H415&gt;0,1,0)</f>
        <v>0</v>
      </c>
      <c r="AF415" s="1">
        <f>IF(AE415=1,H415,0)</f>
        <v>0</v>
      </c>
      <c r="AG415" s="1">
        <f>IF(AD415&lt;-20000000.0/100,1,0)</f>
        <v>0</v>
      </c>
      <c r="AH415" s="1">
        <f>IF(AF415&gt;20000000.0/100,1,0)</f>
        <v>0</v>
      </c>
      <c r="AI415" s="1">
        <f>IF(U415&lt;0,1,0)</f>
        <v>0</v>
      </c>
      <c r="AJ415" s="1">
        <f>IF(AI415=1,U415,0)</f>
        <v>0</v>
      </c>
      <c r="AK415" s="1">
        <f>IF(U415&gt;0,1,0)</f>
        <v>0</v>
      </c>
      <c r="AL415" s="1">
        <f>IF(AK415=1,U415,0)</f>
        <v>0</v>
      </c>
      <c r="AM415" s="1">
        <f>IF(AJ415&lt;-20000000.0/100,1,0)</f>
        <v>0</v>
      </c>
      <c r="AN415" s="1">
        <f>IF(AL415&gt;20000000.0/100,1,0)</f>
        <v>0</v>
      </c>
    </row>
    <row r="416" spans="1:40" s="1" customFormat="1">
      <c r="A416" s="3">
        <v>45904</v>
      </c>
      <c r="B416" s="2" t="s">
        <v>25</v>
      </c>
      <c r="C416" s="1">
        <f>SUM(PL!H416:J416)</f>
        <v>0</v>
      </c>
      <c r="D416" s="1">
        <f>SUM(PL!K416:M416)</f>
        <v>0</v>
      </c>
      <c r="E416" s="1">
        <f>SUM(PL!N416:P416)</f>
        <v>0</v>
      </c>
      <c r="F416" s="1">
        <f>SUM(PL!Q416:S416)</f>
        <v>0</v>
      </c>
      <c r="G416" s="1">
        <f>SUM(PL!T416:V416)</f>
        <v>0</v>
      </c>
      <c r="H416" s="1">
        <f>SUM(C416:G416)</f>
        <v>0</v>
      </c>
      <c r="I416" s="1">
        <f>IF(C416 + I415 &lt; 0, C416 + I415, 0)</f>
        <v>0</v>
      </c>
      <c r="J416" s="1">
        <f>IF(D416 + J415 &lt; 0, D416 + J415, 0)</f>
        <v>0</v>
      </c>
      <c r="K416" s="1">
        <f>IF(E416 + K415 &lt; 0, E416 + K415, 0)</f>
        <v>0</v>
      </c>
      <c r="L416" s="1">
        <f>IF(F416 + L415 &lt; 0, F416 + L415, 0)</f>
        <v>0</v>
      </c>
      <c r="M416" s="1">
        <f>IF(G416 + M415 &lt; 0, G416 + M415, 0)</f>
        <v>0</v>
      </c>
      <c r="N416" s="1">
        <f>IF(H416 + N415 &lt; 0, H416 + N415, 0)</f>
        <v>0</v>
      </c>
      <c r="O416" s="1">
        <f>IF(N416 &lt; 0, 1 + O415, 0)</f>
        <v>0</v>
      </c>
      <c r="P416" s="1">
        <f>C416-((ABS(SUM(PL!H416:J416)))*0.125)</f>
        <v>0</v>
      </c>
      <c r="Q416" s="1">
        <f>D416-((ABS(SUM(PL!K416:M416)))*0.125)</f>
        <v>0</v>
      </c>
      <c r="R416" s="1">
        <f>E416-((ABS(SUM(PL!N416:P416)))*0.125)</f>
        <v>0</v>
      </c>
      <c r="S416" s="1">
        <f>F416-((ABS(SUM(PL!Q416:S416)))*0.125)</f>
        <v>0</v>
      </c>
      <c r="T416" s="1">
        <f>G416-((ABS(SUM(PL!T416:V416)))*0.125)</f>
        <v>0</v>
      </c>
      <c r="U416" s="1">
        <f>P416 + Q416 + R416 + S416 + T416</f>
        <v>0</v>
      </c>
      <c r="V416" s="1">
        <f>IF(P416 + V415 &lt; 0, P416 + V415, 0)</f>
        <v>0</v>
      </c>
      <c r="W416" s="1">
        <f>IF(Q416 + W415 &lt; 0, Q416 + W415, 0)</f>
        <v>0</v>
      </c>
      <c r="X416" s="1">
        <f>IF(R416 + X415 &lt; 0, R416 + X415, 0)</f>
        <v>0</v>
      </c>
      <c r="Y416" s="1">
        <f>IF(S416 + Y415 &lt; 0, S416 + Y415, 0)</f>
        <v>0</v>
      </c>
      <c r="Z416" s="1">
        <f>IF(T416 + Z415 &lt; 0, T416 + Z415, 0)</f>
        <v>0</v>
      </c>
      <c r="AA416" s="1">
        <f>IF(U416 + AA415 &lt; 0, U416 + AA415, 0)</f>
        <v>0</v>
      </c>
      <c r="AB416" s="1">
        <f>IF(AA416 &lt; 0, 1 + AB415, 0)</f>
        <v>0</v>
      </c>
      <c r="AC416" s="1">
        <f>IF(H416&lt;0,1,0)</f>
        <v>0</v>
      </c>
      <c r="AD416" s="1">
        <f>IF(AC416=1,H416,0)</f>
        <v>0</v>
      </c>
      <c r="AE416" s="1">
        <f>IF(H416&gt;0,1,0)</f>
        <v>0</v>
      </c>
      <c r="AF416" s="1">
        <f>IF(AE416=1,H416,0)</f>
        <v>0</v>
      </c>
      <c r="AG416" s="1">
        <f>IF(AD416&lt;-20000000.0/100,1,0)</f>
        <v>0</v>
      </c>
      <c r="AH416" s="1">
        <f>IF(AF416&gt;20000000.0/100,1,0)</f>
        <v>0</v>
      </c>
      <c r="AI416" s="1">
        <f>IF(U416&lt;0,1,0)</f>
        <v>0</v>
      </c>
      <c r="AJ416" s="1">
        <f>IF(AI416=1,U416,0)</f>
        <v>0</v>
      </c>
      <c r="AK416" s="1">
        <f>IF(U416&gt;0,1,0)</f>
        <v>0</v>
      </c>
      <c r="AL416" s="1">
        <f>IF(AK416=1,U416,0)</f>
        <v>0</v>
      </c>
      <c r="AM416" s="1">
        <f>IF(AJ416&lt;-20000000.0/100,1,0)</f>
        <v>0</v>
      </c>
      <c r="AN416" s="1">
        <f>IF(AL416&gt;20000000.0/100,1,0)</f>
        <v>0</v>
      </c>
    </row>
    <row r="417" spans="1:40" s="1" customFormat="1">
      <c r="A417" s="3">
        <v>45905</v>
      </c>
      <c r="B417" s="2" t="s">
        <v>26</v>
      </c>
      <c r="C417" s="1">
        <f>SUM(PL!H417:J417)</f>
        <v>0</v>
      </c>
      <c r="D417" s="1">
        <f>SUM(PL!K417:M417)</f>
        <v>0</v>
      </c>
      <c r="E417" s="1">
        <f>SUM(PL!N417:P417)</f>
        <v>0</v>
      </c>
      <c r="F417" s="1">
        <f>SUM(PL!Q417:S417)</f>
        <v>0</v>
      </c>
      <c r="G417" s="1">
        <f>SUM(PL!T417:V417)</f>
        <v>0</v>
      </c>
      <c r="H417" s="1">
        <f>SUM(C417:G417)</f>
        <v>0</v>
      </c>
      <c r="I417" s="1">
        <f>IF(C417 + I416 &lt; 0, C417 + I416, 0)</f>
        <v>0</v>
      </c>
      <c r="J417" s="1">
        <f>IF(D417 + J416 &lt; 0, D417 + J416, 0)</f>
        <v>0</v>
      </c>
      <c r="K417" s="1">
        <f>IF(E417 + K416 &lt; 0, E417 + K416, 0)</f>
        <v>0</v>
      </c>
      <c r="L417" s="1">
        <f>IF(F417 + L416 &lt; 0, F417 + L416, 0)</f>
        <v>0</v>
      </c>
      <c r="M417" s="1">
        <f>IF(G417 + M416 &lt; 0, G417 + M416, 0)</f>
        <v>0</v>
      </c>
      <c r="N417" s="1">
        <f>IF(H417 + N416 &lt; 0, H417 + N416, 0)</f>
        <v>0</v>
      </c>
      <c r="O417" s="1">
        <f>IF(N417 &lt; 0, 1 + O416, 0)</f>
        <v>0</v>
      </c>
      <c r="P417" s="1">
        <f>C417-((ABS(SUM(PL!H417:J417)))*0.125)</f>
        <v>0</v>
      </c>
      <c r="Q417" s="1">
        <f>D417-((ABS(SUM(PL!K417:M417)))*0.125)</f>
        <v>0</v>
      </c>
      <c r="R417" s="1">
        <f>E417-((ABS(SUM(PL!N417:P417)))*0.125)</f>
        <v>0</v>
      </c>
      <c r="S417" s="1">
        <f>F417-((ABS(SUM(PL!Q417:S417)))*0.125)</f>
        <v>0</v>
      </c>
      <c r="T417" s="1">
        <f>G417-((ABS(SUM(PL!T417:V417)))*0.125)</f>
        <v>0</v>
      </c>
      <c r="U417" s="1">
        <f>P417 + Q417 + R417 + S417 + T417</f>
        <v>0</v>
      </c>
      <c r="V417" s="1">
        <f>IF(P417 + V416 &lt; 0, P417 + V416, 0)</f>
        <v>0</v>
      </c>
      <c r="W417" s="1">
        <f>IF(Q417 + W416 &lt; 0, Q417 + W416, 0)</f>
        <v>0</v>
      </c>
      <c r="X417" s="1">
        <f>IF(R417 + X416 &lt; 0, R417 + X416, 0)</f>
        <v>0</v>
      </c>
      <c r="Y417" s="1">
        <f>IF(S417 + Y416 &lt; 0, S417 + Y416, 0)</f>
        <v>0</v>
      </c>
      <c r="Z417" s="1">
        <f>IF(T417 + Z416 &lt; 0, T417 + Z416, 0)</f>
        <v>0</v>
      </c>
      <c r="AA417" s="1">
        <f>IF(U417 + AA416 &lt; 0, U417 + AA416, 0)</f>
        <v>0</v>
      </c>
      <c r="AB417" s="1">
        <f>IF(AA417 &lt; 0, 1 + AB416, 0)</f>
        <v>0</v>
      </c>
      <c r="AC417" s="1">
        <f>IF(H417&lt;0,1,0)</f>
        <v>0</v>
      </c>
      <c r="AD417" s="1">
        <f>IF(AC417=1,H417,0)</f>
        <v>0</v>
      </c>
      <c r="AE417" s="1">
        <f>IF(H417&gt;0,1,0)</f>
        <v>0</v>
      </c>
      <c r="AF417" s="1">
        <f>IF(AE417=1,H417,0)</f>
        <v>0</v>
      </c>
      <c r="AG417" s="1">
        <f>IF(AD417&lt;-20000000.0/100,1,0)</f>
        <v>0</v>
      </c>
      <c r="AH417" s="1">
        <f>IF(AF417&gt;20000000.0/100,1,0)</f>
        <v>0</v>
      </c>
      <c r="AI417" s="1">
        <f>IF(U417&lt;0,1,0)</f>
        <v>0</v>
      </c>
      <c r="AJ417" s="1">
        <f>IF(AI417=1,U417,0)</f>
        <v>0</v>
      </c>
      <c r="AK417" s="1">
        <f>IF(U417&gt;0,1,0)</f>
        <v>0</v>
      </c>
      <c r="AL417" s="1">
        <f>IF(AK417=1,U417,0)</f>
        <v>0</v>
      </c>
      <c r="AM417" s="1">
        <f>IF(AJ417&lt;-20000000.0/100,1,0)</f>
        <v>0</v>
      </c>
      <c r="AN417" s="1">
        <f>IF(AL417&gt;20000000.0/100,1,0)</f>
        <v>0</v>
      </c>
    </row>
    <row r="418" spans="1:40" s="1" customFormat="1">
      <c r="A418" s="3">
        <v>45908</v>
      </c>
      <c r="B418" s="2" t="s">
        <v>22</v>
      </c>
      <c r="C418" s="1">
        <f>SUM(PL!H418:J418)</f>
        <v>0</v>
      </c>
      <c r="D418" s="1">
        <f>SUM(PL!K418:M418)</f>
        <v>0</v>
      </c>
      <c r="E418" s="1">
        <f>SUM(PL!N418:P418)</f>
        <v>0</v>
      </c>
      <c r="F418" s="1">
        <f>SUM(PL!Q418:S418)</f>
        <v>0</v>
      </c>
      <c r="G418" s="1">
        <f>SUM(PL!T418:V418)</f>
        <v>0</v>
      </c>
      <c r="H418" s="1">
        <f>SUM(C418:G418)</f>
        <v>0</v>
      </c>
      <c r="I418" s="1">
        <f>IF(C418 + I417 &lt; 0, C418 + I417, 0)</f>
        <v>0</v>
      </c>
      <c r="J418" s="1">
        <f>IF(D418 + J417 &lt; 0, D418 + J417, 0)</f>
        <v>0</v>
      </c>
      <c r="K418" s="1">
        <f>IF(E418 + K417 &lt; 0, E418 + K417, 0)</f>
        <v>0</v>
      </c>
      <c r="L418" s="1">
        <f>IF(F418 + L417 &lt; 0, F418 + L417, 0)</f>
        <v>0</v>
      </c>
      <c r="M418" s="1">
        <f>IF(G418 + M417 &lt; 0, G418 + M417, 0)</f>
        <v>0</v>
      </c>
      <c r="N418" s="1">
        <f>IF(H418 + N417 &lt; 0, H418 + N417, 0)</f>
        <v>0</v>
      </c>
      <c r="O418" s="1">
        <f>IF(N418 &lt; 0, 1 + O417, 0)</f>
        <v>0</v>
      </c>
      <c r="P418" s="1">
        <f>C418-((ABS(SUM(PL!H418:J418)))*0.125)</f>
        <v>0</v>
      </c>
      <c r="Q418" s="1">
        <f>D418-((ABS(SUM(PL!K418:M418)))*0.125)</f>
        <v>0</v>
      </c>
      <c r="R418" s="1">
        <f>E418-((ABS(SUM(PL!N418:P418)))*0.125)</f>
        <v>0</v>
      </c>
      <c r="S418" s="1">
        <f>F418-((ABS(SUM(PL!Q418:S418)))*0.125)</f>
        <v>0</v>
      </c>
      <c r="T418" s="1">
        <f>G418-((ABS(SUM(PL!T418:V418)))*0.125)</f>
        <v>0</v>
      </c>
      <c r="U418" s="1">
        <f>P418 + Q418 + R418 + S418 + T418</f>
        <v>0</v>
      </c>
      <c r="V418" s="1">
        <f>IF(P418 + V417 &lt; 0, P418 + V417, 0)</f>
        <v>0</v>
      </c>
      <c r="W418" s="1">
        <f>IF(Q418 + W417 &lt; 0, Q418 + W417, 0)</f>
        <v>0</v>
      </c>
      <c r="X418" s="1">
        <f>IF(R418 + X417 &lt; 0, R418 + X417, 0)</f>
        <v>0</v>
      </c>
      <c r="Y418" s="1">
        <f>IF(S418 + Y417 &lt; 0, S418 + Y417, 0)</f>
        <v>0</v>
      </c>
      <c r="Z418" s="1">
        <f>IF(T418 + Z417 &lt; 0, T418 + Z417, 0)</f>
        <v>0</v>
      </c>
      <c r="AA418" s="1">
        <f>IF(U418 + AA417 &lt; 0, U418 + AA417, 0)</f>
        <v>0</v>
      </c>
      <c r="AB418" s="1">
        <f>IF(AA418 &lt; 0, 1 + AB417, 0)</f>
        <v>0</v>
      </c>
      <c r="AC418" s="1">
        <f>IF(H418&lt;0,1,0)</f>
        <v>0</v>
      </c>
      <c r="AD418" s="1">
        <f>IF(AC418=1,H418,0)</f>
        <v>0</v>
      </c>
      <c r="AE418" s="1">
        <f>IF(H418&gt;0,1,0)</f>
        <v>0</v>
      </c>
      <c r="AF418" s="1">
        <f>IF(AE418=1,H418,0)</f>
        <v>0</v>
      </c>
      <c r="AG418" s="1">
        <f>IF(AD418&lt;-20000000.0/100,1,0)</f>
        <v>0</v>
      </c>
      <c r="AH418" s="1">
        <f>IF(AF418&gt;20000000.0/100,1,0)</f>
        <v>0</v>
      </c>
      <c r="AI418" s="1">
        <f>IF(U418&lt;0,1,0)</f>
        <v>0</v>
      </c>
      <c r="AJ418" s="1">
        <f>IF(AI418=1,U418,0)</f>
        <v>0</v>
      </c>
      <c r="AK418" s="1">
        <f>IF(U418&gt;0,1,0)</f>
        <v>0</v>
      </c>
      <c r="AL418" s="1">
        <f>IF(AK418=1,U418,0)</f>
        <v>0</v>
      </c>
      <c r="AM418" s="1">
        <f>IF(AJ418&lt;-20000000.0/100,1,0)</f>
        <v>0</v>
      </c>
      <c r="AN418" s="1">
        <f>IF(AL418&gt;20000000.0/100,1,0)</f>
        <v>0</v>
      </c>
    </row>
    <row r="419" spans="1:40" s="1" customFormat="1">
      <c r="A419" s="3">
        <v>45909</v>
      </c>
      <c r="B419" s="2" t="s">
        <v>23</v>
      </c>
      <c r="C419" s="1">
        <f>SUM(PL!H419:J419)</f>
        <v>0</v>
      </c>
      <c r="D419" s="1">
        <f>SUM(PL!K419:M419)</f>
        <v>0</v>
      </c>
      <c r="E419" s="1">
        <f>SUM(PL!N419:P419)</f>
        <v>0</v>
      </c>
      <c r="F419" s="1">
        <f>SUM(PL!Q419:S419)</f>
        <v>0</v>
      </c>
      <c r="G419" s="1">
        <f>SUM(PL!T419:V419)</f>
        <v>0</v>
      </c>
      <c r="H419" s="1">
        <f>SUM(C419:G419)</f>
        <v>0</v>
      </c>
      <c r="I419" s="1">
        <f>IF(C419 + I418 &lt; 0, C419 + I418, 0)</f>
        <v>0</v>
      </c>
      <c r="J419" s="1">
        <f>IF(D419 + J418 &lt; 0, D419 + J418, 0)</f>
        <v>0</v>
      </c>
      <c r="K419" s="1">
        <f>IF(E419 + K418 &lt; 0, E419 + K418, 0)</f>
        <v>0</v>
      </c>
      <c r="L419" s="1">
        <f>IF(F419 + L418 &lt; 0, F419 + L418, 0)</f>
        <v>0</v>
      </c>
      <c r="M419" s="1">
        <f>IF(G419 + M418 &lt; 0, G419 + M418, 0)</f>
        <v>0</v>
      </c>
      <c r="N419" s="1">
        <f>IF(H419 + N418 &lt; 0, H419 + N418, 0)</f>
        <v>0</v>
      </c>
      <c r="O419" s="1">
        <f>IF(N419 &lt; 0, 1 + O418, 0)</f>
        <v>0</v>
      </c>
      <c r="P419" s="1">
        <f>C419-((ABS(SUM(PL!H419:J419)))*0.125)</f>
        <v>0</v>
      </c>
      <c r="Q419" s="1">
        <f>D419-((ABS(SUM(PL!K419:M419)))*0.125)</f>
        <v>0</v>
      </c>
      <c r="R419" s="1">
        <f>E419-((ABS(SUM(PL!N419:P419)))*0.125)</f>
        <v>0</v>
      </c>
      <c r="S419" s="1">
        <f>F419-((ABS(SUM(PL!Q419:S419)))*0.125)</f>
        <v>0</v>
      </c>
      <c r="T419" s="1">
        <f>G419-((ABS(SUM(PL!T419:V419)))*0.125)</f>
        <v>0</v>
      </c>
      <c r="U419" s="1">
        <f>P419 + Q419 + R419 + S419 + T419</f>
        <v>0</v>
      </c>
      <c r="V419" s="1">
        <f>IF(P419 + V418 &lt; 0, P419 + V418, 0)</f>
        <v>0</v>
      </c>
      <c r="W419" s="1">
        <f>IF(Q419 + W418 &lt; 0, Q419 + W418, 0)</f>
        <v>0</v>
      </c>
      <c r="X419" s="1">
        <f>IF(R419 + X418 &lt; 0, R419 + X418, 0)</f>
        <v>0</v>
      </c>
      <c r="Y419" s="1">
        <f>IF(S419 + Y418 &lt; 0, S419 + Y418, 0)</f>
        <v>0</v>
      </c>
      <c r="Z419" s="1">
        <f>IF(T419 + Z418 &lt; 0, T419 + Z418, 0)</f>
        <v>0</v>
      </c>
      <c r="AA419" s="1">
        <f>IF(U419 + AA418 &lt; 0, U419 + AA418, 0)</f>
        <v>0</v>
      </c>
      <c r="AB419" s="1">
        <f>IF(AA419 &lt; 0, 1 + AB418, 0)</f>
        <v>0</v>
      </c>
      <c r="AC419" s="1">
        <f>IF(H419&lt;0,1,0)</f>
        <v>0</v>
      </c>
      <c r="AD419" s="1">
        <f>IF(AC419=1,H419,0)</f>
        <v>0</v>
      </c>
      <c r="AE419" s="1">
        <f>IF(H419&gt;0,1,0)</f>
        <v>0</v>
      </c>
      <c r="AF419" s="1">
        <f>IF(AE419=1,H419,0)</f>
        <v>0</v>
      </c>
      <c r="AG419" s="1">
        <f>IF(AD419&lt;-20000000.0/100,1,0)</f>
        <v>0</v>
      </c>
      <c r="AH419" s="1">
        <f>IF(AF419&gt;20000000.0/100,1,0)</f>
        <v>0</v>
      </c>
      <c r="AI419" s="1">
        <f>IF(U419&lt;0,1,0)</f>
        <v>0</v>
      </c>
      <c r="AJ419" s="1">
        <f>IF(AI419=1,U419,0)</f>
        <v>0</v>
      </c>
      <c r="AK419" s="1">
        <f>IF(U419&gt;0,1,0)</f>
        <v>0</v>
      </c>
      <c r="AL419" s="1">
        <f>IF(AK419=1,U419,0)</f>
        <v>0</v>
      </c>
      <c r="AM419" s="1">
        <f>IF(AJ419&lt;-20000000.0/100,1,0)</f>
        <v>0</v>
      </c>
      <c r="AN419" s="1">
        <f>IF(AL419&gt;20000000.0/100,1,0)</f>
        <v>0</v>
      </c>
    </row>
    <row r="420" spans="1:40" s="1" customFormat="1">
      <c r="A420" s="3">
        <v>45910</v>
      </c>
      <c r="B420" s="2" t="s">
        <v>24</v>
      </c>
      <c r="C420" s="1">
        <f>SUM(PL!H420:J420)</f>
        <v>0</v>
      </c>
      <c r="D420" s="1">
        <f>SUM(PL!K420:M420)</f>
        <v>0</v>
      </c>
      <c r="E420" s="1">
        <f>SUM(PL!N420:P420)</f>
        <v>0</v>
      </c>
      <c r="F420" s="1">
        <f>SUM(PL!Q420:S420)</f>
        <v>0</v>
      </c>
      <c r="G420" s="1">
        <f>SUM(PL!T420:V420)</f>
        <v>0</v>
      </c>
      <c r="H420" s="1">
        <f>SUM(C420:G420)</f>
        <v>0</v>
      </c>
      <c r="I420" s="1">
        <f>IF(C420 + I419 &lt; 0, C420 + I419, 0)</f>
        <v>0</v>
      </c>
      <c r="J420" s="1">
        <f>IF(D420 + J419 &lt; 0, D420 + J419, 0)</f>
        <v>0</v>
      </c>
      <c r="K420" s="1">
        <f>IF(E420 + K419 &lt; 0, E420 + K419, 0)</f>
        <v>0</v>
      </c>
      <c r="L420" s="1">
        <f>IF(F420 + L419 &lt; 0, F420 + L419, 0)</f>
        <v>0</v>
      </c>
      <c r="M420" s="1">
        <f>IF(G420 + M419 &lt; 0, G420 + M419, 0)</f>
        <v>0</v>
      </c>
      <c r="N420" s="1">
        <f>IF(H420 + N419 &lt; 0, H420 + N419, 0)</f>
        <v>0</v>
      </c>
      <c r="O420" s="1">
        <f>IF(N420 &lt; 0, 1 + O419, 0)</f>
        <v>0</v>
      </c>
      <c r="P420" s="1">
        <f>C420-((ABS(SUM(PL!H420:J420)))*0.125)</f>
        <v>0</v>
      </c>
      <c r="Q420" s="1">
        <f>D420-((ABS(SUM(PL!K420:M420)))*0.125)</f>
        <v>0</v>
      </c>
      <c r="R420" s="1">
        <f>E420-((ABS(SUM(PL!N420:P420)))*0.125)</f>
        <v>0</v>
      </c>
      <c r="S420" s="1">
        <f>F420-((ABS(SUM(PL!Q420:S420)))*0.125)</f>
        <v>0</v>
      </c>
      <c r="T420" s="1">
        <f>G420-((ABS(SUM(PL!T420:V420)))*0.125)</f>
        <v>0</v>
      </c>
      <c r="U420" s="1">
        <f>P420 + Q420 + R420 + S420 + T420</f>
        <v>0</v>
      </c>
      <c r="V420" s="1">
        <f>IF(P420 + V419 &lt; 0, P420 + V419, 0)</f>
        <v>0</v>
      </c>
      <c r="W420" s="1">
        <f>IF(Q420 + W419 &lt; 0, Q420 + W419, 0)</f>
        <v>0</v>
      </c>
      <c r="X420" s="1">
        <f>IF(R420 + X419 &lt; 0, R420 + X419, 0)</f>
        <v>0</v>
      </c>
      <c r="Y420" s="1">
        <f>IF(S420 + Y419 &lt; 0, S420 + Y419, 0)</f>
        <v>0</v>
      </c>
      <c r="Z420" s="1">
        <f>IF(T420 + Z419 &lt; 0, T420 + Z419, 0)</f>
        <v>0</v>
      </c>
      <c r="AA420" s="1">
        <f>IF(U420 + AA419 &lt; 0, U420 + AA419, 0)</f>
        <v>0</v>
      </c>
      <c r="AB420" s="1">
        <f>IF(AA420 &lt; 0, 1 + AB419, 0)</f>
        <v>0</v>
      </c>
      <c r="AC420" s="1">
        <f>IF(H420&lt;0,1,0)</f>
        <v>0</v>
      </c>
      <c r="AD420" s="1">
        <f>IF(AC420=1,H420,0)</f>
        <v>0</v>
      </c>
      <c r="AE420" s="1">
        <f>IF(H420&gt;0,1,0)</f>
        <v>0</v>
      </c>
      <c r="AF420" s="1">
        <f>IF(AE420=1,H420,0)</f>
        <v>0</v>
      </c>
      <c r="AG420" s="1">
        <f>IF(AD420&lt;-20000000.0/100,1,0)</f>
        <v>0</v>
      </c>
      <c r="AH420" s="1">
        <f>IF(AF420&gt;20000000.0/100,1,0)</f>
        <v>0</v>
      </c>
      <c r="AI420" s="1">
        <f>IF(U420&lt;0,1,0)</f>
        <v>0</v>
      </c>
      <c r="AJ420" s="1">
        <f>IF(AI420=1,U420,0)</f>
        <v>0</v>
      </c>
      <c r="AK420" s="1">
        <f>IF(U420&gt;0,1,0)</f>
        <v>0</v>
      </c>
      <c r="AL420" s="1">
        <f>IF(AK420=1,U420,0)</f>
        <v>0</v>
      </c>
      <c r="AM420" s="1">
        <f>IF(AJ420&lt;-20000000.0/100,1,0)</f>
        <v>0</v>
      </c>
      <c r="AN420" s="1">
        <f>IF(AL420&gt;20000000.0/100,1,0)</f>
        <v>0</v>
      </c>
    </row>
    <row r="421" spans="1:40" s="1" customFormat="1">
      <c r="A421" s="3">
        <v>45911</v>
      </c>
      <c r="B421" s="2" t="s">
        <v>25</v>
      </c>
      <c r="C421" s="1">
        <f>SUM(PL!H421:J421)</f>
        <v>0</v>
      </c>
      <c r="D421" s="1">
        <f>SUM(PL!K421:M421)</f>
        <v>0</v>
      </c>
      <c r="E421" s="1">
        <f>SUM(PL!N421:P421)</f>
        <v>0</v>
      </c>
      <c r="F421" s="1">
        <f>SUM(PL!Q421:S421)</f>
        <v>0</v>
      </c>
      <c r="G421" s="1">
        <f>SUM(PL!T421:V421)</f>
        <v>0</v>
      </c>
      <c r="H421" s="1">
        <f>SUM(C421:G421)</f>
        <v>0</v>
      </c>
      <c r="I421" s="1">
        <f>IF(C421 + I420 &lt; 0, C421 + I420, 0)</f>
        <v>0</v>
      </c>
      <c r="J421" s="1">
        <f>IF(D421 + J420 &lt; 0, D421 + J420, 0)</f>
        <v>0</v>
      </c>
      <c r="K421" s="1">
        <f>IF(E421 + K420 &lt; 0, E421 + K420, 0)</f>
        <v>0</v>
      </c>
      <c r="L421" s="1">
        <f>IF(F421 + L420 &lt; 0, F421 + L420, 0)</f>
        <v>0</v>
      </c>
      <c r="M421" s="1">
        <f>IF(G421 + M420 &lt; 0, G421 + M420, 0)</f>
        <v>0</v>
      </c>
      <c r="N421" s="1">
        <f>IF(H421 + N420 &lt; 0, H421 + N420, 0)</f>
        <v>0</v>
      </c>
      <c r="O421" s="1">
        <f>IF(N421 &lt; 0, 1 + O420, 0)</f>
        <v>0</v>
      </c>
      <c r="P421" s="1">
        <f>C421-((ABS(SUM(PL!H421:J421)))*0.125)</f>
        <v>0</v>
      </c>
      <c r="Q421" s="1">
        <f>D421-((ABS(SUM(PL!K421:M421)))*0.125)</f>
        <v>0</v>
      </c>
      <c r="R421" s="1">
        <f>E421-((ABS(SUM(PL!N421:P421)))*0.125)</f>
        <v>0</v>
      </c>
      <c r="S421" s="1">
        <f>F421-((ABS(SUM(PL!Q421:S421)))*0.125)</f>
        <v>0</v>
      </c>
      <c r="T421" s="1">
        <f>G421-((ABS(SUM(PL!T421:V421)))*0.125)</f>
        <v>0</v>
      </c>
      <c r="U421" s="1">
        <f>P421 + Q421 + R421 + S421 + T421</f>
        <v>0</v>
      </c>
      <c r="V421" s="1">
        <f>IF(P421 + V420 &lt; 0, P421 + V420, 0)</f>
        <v>0</v>
      </c>
      <c r="W421" s="1">
        <f>IF(Q421 + W420 &lt; 0, Q421 + W420, 0)</f>
        <v>0</v>
      </c>
      <c r="X421" s="1">
        <f>IF(R421 + X420 &lt; 0, R421 + X420, 0)</f>
        <v>0</v>
      </c>
      <c r="Y421" s="1">
        <f>IF(S421 + Y420 &lt; 0, S421 + Y420, 0)</f>
        <v>0</v>
      </c>
      <c r="Z421" s="1">
        <f>IF(T421 + Z420 &lt; 0, T421 + Z420, 0)</f>
        <v>0</v>
      </c>
      <c r="AA421" s="1">
        <f>IF(U421 + AA420 &lt; 0, U421 + AA420, 0)</f>
        <v>0</v>
      </c>
      <c r="AB421" s="1">
        <f>IF(AA421 &lt; 0, 1 + AB420, 0)</f>
        <v>0</v>
      </c>
      <c r="AC421" s="1">
        <f>IF(H421&lt;0,1,0)</f>
        <v>0</v>
      </c>
      <c r="AD421" s="1">
        <f>IF(AC421=1,H421,0)</f>
        <v>0</v>
      </c>
      <c r="AE421" s="1">
        <f>IF(H421&gt;0,1,0)</f>
        <v>0</v>
      </c>
      <c r="AF421" s="1">
        <f>IF(AE421=1,H421,0)</f>
        <v>0</v>
      </c>
      <c r="AG421" s="1">
        <f>IF(AD421&lt;-20000000.0/100,1,0)</f>
        <v>0</v>
      </c>
      <c r="AH421" s="1">
        <f>IF(AF421&gt;20000000.0/100,1,0)</f>
        <v>0</v>
      </c>
      <c r="AI421" s="1">
        <f>IF(U421&lt;0,1,0)</f>
        <v>0</v>
      </c>
      <c r="AJ421" s="1">
        <f>IF(AI421=1,U421,0)</f>
        <v>0</v>
      </c>
      <c r="AK421" s="1">
        <f>IF(U421&gt;0,1,0)</f>
        <v>0</v>
      </c>
      <c r="AL421" s="1">
        <f>IF(AK421=1,U421,0)</f>
        <v>0</v>
      </c>
      <c r="AM421" s="1">
        <f>IF(AJ421&lt;-20000000.0/100,1,0)</f>
        <v>0</v>
      </c>
      <c r="AN421" s="1">
        <f>IF(AL421&gt;20000000.0/100,1,0)</f>
        <v>0</v>
      </c>
    </row>
    <row r="422" spans="1:40" s="1" customFormat="1">
      <c r="A422" s="3">
        <v>45912</v>
      </c>
      <c r="B422" s="2" t="s">
        <v>26</v>
      </c>
      <c r="C422" s="1">
        <f>SUM(PL!H422:J422)</f>
        <v>0</v>
      </c>
      <c r="D422" s="1">
        <f>SUM(PL!K422:M422)</f>
        <v>0</v>
      </c>
      <c r="E422" s="1">
        <f>SUM(PL!N422:P422)</f>
        <v>0</v>
      </c>
      <c r="F422" s="1">
        <f>SUM(PL!Q422:S422)</f>
        <v>0</v>
      </c>
      <c r="G422" s="1">
        <f>SUM(PL!T422:V422)</f>
        <v>0</v>
      </c>
      <c r="H422" s="1">
        <f>SUM(C422:G422)</f>
        <v>0</v>
      </c>
      <c r="I422" s="1">
        <f>IF(C422 + I421 &lt; 0, C422 + I421, 0)</f>
        <v>0</v>
      </c>
      <c r="J422" s="1">
        <f>IF(D422 + J421 &lt; 0, D422 + J421, 0)</f>
        <v>0</v>
      </c>
      <c r="K422" s="1">
        <f>IF(E422 + K421 &lt; 0, E422 + K421, 0)</f>
        <v>0</v>
      </c>
      <c r="L422" s="1">
        <f>IF(F422 + L421 &lt; 0, F422 + L421, 0)</f>
        <v>0</v>
      </c>
      <c r="M422" s="1">
        <f>IF(G422 + M421 &lt; 0, G422 + M421, 0)</f>
        <v>0</v>
      </c>
      <c r="N422" s="1">
        <f>IF(H422 + N421 &lt; 0, H422 + N421, 0)</f>
        <v>0</v>
      </c>
      <c r="O422" s="1">
        <f>IF(N422 &lt; 0, 1 + O421, 0)</f>
        <v>0</v>
      </c>
      <c r="P422" s="1">
        <f>C422-((ABS(SUM(PL!H422:J422)))*0.125)</f>
        <v>0</v>
      </c>
      <c r="Q422" s="1">
        <f>D422-((ABS(SUM(PL!K422:M422)))*0.125)</f>
        <v>0</v>
      </c>
      <c r="R422" s="1">
        <f>E422-((ABS(SUM(PL!N422:P422)))*0.125)</f>
        <v>0</v>
      </c>
      <c r="S422" s="1">
        <f>F422-((ABS(SUM(PL!Q422:S422)))*0.125)</f>
        <v>0</v>
      </c>
      <c r="T422" s="1">
        <f>G422-((ABS(SUM(PL!T422:V422)))*0.125)</f>
        <v>0</v>
      </c>
      <c r="U422" s="1">
        <f>P422 + Q422 + R422 + S422 + T422</f>
        <v>0</v>
      </c>
      <c r="V422" s="1">
        <f>IF(P422 + V421 &lt; 0, P422 + V421, 0)</f>
        <v>0</v>
      </c>
      <c r="W422" s="1">
        <f>IF(Q422 + W421 &lt; 0, Q422 + W421, 0)</f>
        <v>0</v>
      </c>
      <c r="X422" s="1">
        <f>IF(R422 + X421 &lt; 0, R422 + X421, 0)</f>
        <v>0</v>
      </c>
      <c r="Y422" s="1">
        <f>IF(S422 + Y421 &lt; 0, S422 + Y421, 0)</f>
        <v>0</v>
      </c>
      <c r="Z422" s="1">
        <f>IF(T422 + Z421 &lt; 0, T422 + Z421, 0)</f>
        <v>0</v>
      </c>
      <c r="AA422" s="1">
        <f>IF(U422 + AA421 &lt; 0, U422 + AA421, 0)</f>
        <v>0</v>
      </c>
      <c r="AB422" s="1">
        <f>IF(AA422 &lt; 0, 1 + AB421, 0)</f>
        <v>0</v>
      </c>
      <c r="AC422" s="1">
        <f>IF(H422&lt;0,1,0)</f>
        <v>0</v>
      </c>
      <c r="AD422" s="1">
        <f>IF(AC422=1,H422,0)</f>
        <v>0</v>
      </c>
      <c r="AE422" s="1">
        <f>IF(H422&gt;0,1,0)</f>
        <v>0</v>
      </c>
      <c r="AF422" s="1">
        <f>IF(AE422=1,H422,0)</f>
        <v>0</v>
      </c>
      <c r="AG422" s="1">
        <f>IF(AD422&lt;-20000000.0/100,1,0)</f>
        <v>0</v>
      </c>
      <c r="AH422" s="1">
        <f>IF(AF422&gt;20000000.0/100,1,0)</f>
        <v>0</v>
      </c>
      <c r="AI422" s="1">
        <f>IF(U422&lt;0,1,0)</f>
        <v>0</v>
      </c>
      <c r="AJ422" s="1">
        <f>IF(AI422=1,U422,0)</f>
        <v>0</v>
      </c>
      <c r="AK422" s="1">
        <f>IF(U422&gt;0,1,0)</f>
        <v>0</v>
      </c>
      <c r="AL422" s="1">
        <f>IF(AK422=1,U422,0)</f>
        <v>0</v>
      </c>
      <c r="AM422" s="1">
        <f>IF(AJ422&lt;-20000000.0/100,1,0)</f>
        <v>0</v>
      </c>
      <c r="AN422" s="1">
        <f>IF(AL422&gt;20000000.0/100,1,0)</f>
        <v>0</v>
      </c>
    </row>
    <row r="423" spans="1:40" s="1" customFormat="1">
      <c r="A423" s="3">
        <v>45915</v>
      </c>
      <c r="B423" s="2" t="s">
        <v>22</v>
      </c>
      <c r="C423" s="1">
        <f>SUM(PL!H423:J423)</f>
        <v>0</v>
      </c>
      <c r="D423" s="1">
        <f>SUM(PL!K423:M423)</f>
        <v>0</v>
      </c>
      <c r="E423" s="1">
        <f>SUM(PL!N423:P423)</f>
        <v>0</v>
      </c>
      <c r="F423" s="1">
        <f>SUM(PL!Q423:S423)</f>
        <v>0</v>
      </c>
      <c r="G423" s="1">
        <f>SUM(PL!T423:V423)</f>
        <v>0</v>
      </c>
      <c r="H423" s="1">
        <f>SUM(C423:G423)</f>
        <v>0</v>
      </c>
      <c r="I423" s="1">
        <f>IF(C423 + I422 &lt; 0, C423 + I422, 0)</f>
        <v>0</v>
      </c>
      <c r="J423" s="1">
        <f>IF(D423 + J422 &lt; 0, D423 + J422, 0)</f>
        <v>0</v>
      </c>
      <c r="K423" s="1">
        <f>IF(E423 + K422 &lt; 0, E423 + K422, 0)</f>
        <v>0</v>
      </c>
      <c r="L423" s="1">
        <f>IF(F423 + L422 &lt; 0, F423 + L422, 0)</f>
        <v>0</v>
      </c>
      <c r="M423" s="1">
        <f>IF(G423 + M422 &lt; 0, G423 + M422, 0)</f>
        <v>0</v>
      </c>
      <c r="N423" s="1">
        <f>IF(H423 + N422 &lt; 0, H423 + N422, 0)</f>
        <v>0</v>
      </c>
      <c r="O423" s="1">
        <f>IF(N423 &lt; 0, 1 + O422, 0)</f>
        <v>0</v>
      </c>
      <c r="P423" s="1">
        <f>C423-((ABS(SUM(PL!H423:J423)))*0.125)</f>
        <v>0</v>
      </c>
      <c r="Q423" s="1">
        <f>D423-((ABS(SUM(PL!K423:M423)))*0.125)</f>
        <v>0</v>
      </c>
      <c r="R423" s="1">
        <f>E423-((ABS(SUM(PL!N423:P423)))*0.125)</f>
        <v>0</v>
      </c>
      <c r="S423" s="1">
        <f>F423-((ABS(SUM(PL!Q423:S423)))*0.125)</f>
        <v>0</v>
      </c>
      <c r="T423" s="1">
        <f>G423-((ABS(SUM(PL!T423:V423)))*0.125)</f>
        <v>0</v>
      </c>
      <c r="U423" s="1">
        <f>P423 + Q423 + R423 + S423 + T423</f>
        <v>0</v>
      </c>
      <c r="V423" s="1">
        <f>IF(P423 + V422 &lt; 0, P423 + V422, 0)</f>
        <v>0</v>
      </c>
      <c r="W423" s="1">
        <f>IF(Q423 + W422 &lt; 0, Q423 + W422, 0)</f>
        <v>0</v>
      </c>
      <c r="X423" s="1">
        <f>IF(R423 + X422 &lt; 0, R423 + X422, 0)</f>
        <v>0</v>
      </c>
      <c r="Y423" s="1">
        <f>IF(S423 + Y422 &lt; 0, S423 + Y422, 0)</f>
        <v>0</v>
      </c>
      <c r="Z423" s="1">
        <f>IF(T423 + Z422 &lt; 0, T423 + Z422, 0)</f>
        <v>0</v>
      </c>
      <c r="AA423" s="1">
        <f>IF(U423 + AA422 &lt; 0, U423 + AA422, 0)</f>
        <v>0</v>
      </c>
      <c r="AB423" s="1">
        <f>IF(AA423 &lt; 0, 1 + AB422, 0)</f>
        <v>0</v>
      </c>
      <c r="AC423" s="1">
        <f>IF(H423&lt;0,1,0)</f>
        <v>0</v>
      </c>
      <c r="AD423" s="1">
        <f>IF(AC423=1,H423,0)</f>
        <v>0</v>
      </c>
      <c r="AE423" s="1">
        <f>IF(H423&gt;0,1,0)</f>
        <v>0</v>
      </c>
      <c r="AF423" s="1">
        <f>IF(AE423=1,H423,0)</f>
        <v>0</v>
      </c>
      <c r="AG423" s="1">
        <f>IF(AD423&lt;-20000000.0/100,1,0)</f>
        <v>0</v>
      </c>
      <c r="AH423" s="1">
        <f>IF(AF423&gt;20000000.0/100,1,0)</f>
        <v>0</v>
      </c>
      <c r="AI423" s="1">
        <f>IF(U423&lt;0,1,0)</f>
        <v>0</v>
      </c>
      <c r="AJ423" s="1">
        <f>IF(AI423=1,U423,0)</f>
        <v>0</v>
      </c>
      <c r="AK423" s="1">
        <f>IF(U423&gt;0,1,0)</f>
        <v>0</v>
      </c>
      <c r="AL423" s="1">
        <f>IF(AK423=1,U423,0)</f>
        <v>0</v>
      </c>
      <c r="AM423" s="1">
        <f>IF(AJ423&lt;-20000000.0/100,1,0)</f>
        <v>0</v>
      </c>
      <c r="AN423" s="1">
        <f>IF(AL423&gt;20000000.0/100,1,0)</f>
        <v>0</v>
      </c>
    </row>
    <row r="424" spans="1:40" s="1" customFormat="1">
      <c r="A424" s="3">
        <v>45916</v>
      </c>
      <c r="B424" s="2" t="s">
        <v>23</v>
      </c>
      <c r="C424" s="1">
        <f>SUM(PL!H424:J424)</f>
        <v>0</v>
      </c>
      <c r="D424" s="1">
        <f>SUM(PL!K424:M424)</f>
        <v>0</v>
      </c>
      <c r="E424" s="1">
        <f>SUM(PL!N424:P424)</f>
        <v>0</v>
      </c>
      <c r="F424" s="1">
        <f>SUM(PL!Q424:S424)</f>
        <v>0</v>
      </c>
      <c r="G424" s="1">
        <f>SUM(PL!T424:V424)</f>
        <v>0</v>
      </c>
      <c r="H424" s="1">
        <f>SUM(C424:G424)</f>
        <v>0</v>
      </c>
      <c r="I424" s="1">
        <f>IF(C424 + I423 &lt; 0, C424 + I423, 0)</f>
        <v>0</v>
      </c>
      <c r="J424" s="1">
        <f>IF(D424 + J423 &lt; 0, D424 + J423, 0)</f>
        <v>0</v>
      </c>
      <c r="K424" s="1">
        <f>IF(E424 + K423 &lt; 0, E424 + K423, 0)</f>
        <v>0</v>
      </c>
      <c r="L424" s="1">
        <f>IF(F424 + L423 &lt; 0, F424 + L423, 0)</f>
        <v>0</v>
      </c>
      <c r="M424" s="1">
        <f>IF(G424 + M423 &lt; 0, G424 + M423, 0)</f>
        <v>0</v>
      </c>
      <c r="N424" s="1">
        <f>IF(H424 + N423 &lt; 0, H424 + N423, 0)</f>
        <v>0</v>
      </c>
      <c r="O424" s="1">
        <f>IF(N424 &lt; 0, 1 + O423, 0)</f>
        <v>0</v>
      </c>
      <c r="P424" s="1">
        <f>C424-((ABS(SUM(PL!H424:J424)))*0.125)</f>
        <v>0</v>
      </c>
      <c r="Q424" s="1">
        <f>D424-((ABS(SUM(PL!K424:M424)))*0.125)</f>
        <v>0</v>
      </c>
      <c r="R424" s="1">
        <f>E424-((ABS(SUM(PL!N424:P424)))*0.125)</f>
        <v>0</v>
      </c>
      <c r="S424" s="1">
        <f>F424-((ABS(SUM(PL!Q424:S424)))*0.125)</f>
        <v>0</v>
      </c>
      <c r="T424" s="1">
        <f>G424-((ABS(SUM(PL!T424:V424)))*0.125)</f>
        <v>0</v>
      </c>
      <c r="U424" s="1">
        <f>P424 + Q424 + R424 + S424 + T424</f>
        <v>0</v>
      </c>
      <c r="V424" s="1">
        <f>IF(P424 + V423 &lt; 0, P424 + V423, 0)</f>
        <v>0</v>
      </c>
      <c r="W424" s="1">
        <f>IF(Q424 + W423 &lt; 0, Q424 + W423, 0)</f>
        <v>0</v>
      </c>
      <c r="X424" s="1">
        <f>IF(R424 + X423 &lt; 0, R424 + X423, 0)</f>
        <v>0</v>
      </c>
      <c r="Y424" s="1">
        <f>IF(S424 + Y423 &lt; 0, S424 + Y423, 0)</f>
        <v>0</v>
      </c>
      <c r="Z424" s="1">
        <f>IF(T424 + Z423 &lt; 0, T424 + Z423, 0)</f>
        <v>0</v>
      </c>
      <c r="AA424" s="1">
        <f>IF(U424 + AA423 &lt; 0, U424 + AA423, 0)</f>
        <v>0</v>
      </c>
      <c r="AB424" s="1">
        <f>IF(AA424 &lt; 0, 1 + AB423, 0)</f>
        <v>0</v>
      </c>
      <c r="AC424" s="1">
        <f>IF(H424&lt;0,1,0)</f>
        <v>0</v>
      </c>
      <c r="AD424" s="1">
        <f>IF(AC424=1,H424,0)</f>
        <v>0</v>
      </c>
      <c r="AE424" s="1">
        <f>IF(H424&gt;0,1,0)</f>
        <v>0</v>
      </c>
      <c r="AF424" s="1">
        <f>IF(AE424=1,H424,0)</f>
        <v>0</v>
      </c>
      <c r="AG424" s="1">
        <f>IF(AD424&lt;-20000000.0/100,1,0)</f>
        <v>0</v>
      </c>
      <c r="AH424" s="1">
        <f>IF(AF424&gt;20000000.0/100,1,0)</f>
        <v>0</v>
      </c>
      <c r="AI424" s="1">
        <f>IF(U424&lt;0,1,0)</f>
        <v>0</v>
      </c>
      <c r="AJ424" s="1">
        <f>IF(AI424=1,U424,0)</f>
        <v>0</v>
      </c>
      <c r="AK424" s="1">
        <f>IF(U424&gt;0,1,0)</f>
        <v>0</v>
      </c>
      <c r="AL424" s="1">
        <f>IF(AK424=1,U424,0)</f>
        <v>0</v>
      </c>
      <c r="AM424" s="1">
        <f>IF(AJ424&lt;-20000000.0/100,1,0)</f>
        <v>0</v>
      </c>
      <c r="AN424" s="1">
        <f>IF(AL424&gt;20000000.0/100,1,0)</f>
        <v>0</v>
      </c>
    </row>
    <row r="425" spans="1:40" s="1" customFormat="1">
      <c r="A425" s="3">
        <v>45917</v>
      </c>
      <c r="B425" s="2" t="s">
        <v>24</v>
      </c>
      <c r="C425" s="1">
        <f>SUM(PL!H425:J425)</f>
        <v>0</v>
      </c>
      <c r="D425" s="1">
        <f>SUM(PL!K425:M425)</f>
        <v>0</v>
      </c>
      <c r="E425" s="1">
        <f>SUM(PL!N425:P425)</f>
        <v>0</v>
      </c>
      <c r="F425" s="1">
        <f>SUM(PL!Q425:S425)</f>
        <v>0</v>
      </c>
      <c r="G425" s="1">
        <f>SUM(PL!T425:V425)</f>
        <v>0</v>
      </c>
      <c r="H425" s="1">
        <f>SUM(C425:G425)</f>
        <v>0</v>
      </c>
      <c r="I425" s="1">
        <f>IF(C425 + I424 &lt; 0, C425 + I424, 0)</f>
        <v>0</v>
      </c>
      <c r="J425" s="1">
        <f>IF(D425 + J424 &lt; 0, D425 + J424, 0)</f>
        <v>0</v>
      </c>
      <c r="K425" s="1">
        <f>IF(E425 + K424 &lt; 0, E425 + K424, 0)</f>
        <v>0</v>
      </c>
      <c r="L425" s="1">
        <f>IF(F425 + L424 &lt; 0, F425 + L424, 0)</f>
        <v>0</v>
      </c>
      <c r="M425" s="1">
        <f>IF(G425 + M424 &lt; 0, G425 + M424, 0)</f>
        <v>0</v>
      </c>
      <c r="N425" s="1">
        <f>IF(H425 + N424 &lt; 0, H425 + N424, 0)</f>
        <v>0</v>
      </c>
      <c r="O425" s="1">
        <f>IF(N425 &lt; 0, 1 + O424, 0)</f>
        <v>0</v>
      </c>
      <c r="P425" s="1">
        <f>C425-((ABS(SUM(PL!H425:J425)))*0.125)</f>
        <v>0</v>
      </c>
      <c r="Q425" s="1">
        <f>D425-((ABS(SUM(PL!K425:M425)))*0.125)</f>
        <v>0</v>
      </c>
      <c r="R425" s="1">
        <f>E425-((ABS(SUM(PL!N425:P425)))*0.125)</f>
        <v>0</v>
      </c>
      <c r="S425" s="1">
        <f>F425-((ABS(SUM(PL!Q425:S425)))*0.125)</f>
        <v>0</v>
      </c>
      <c r="T425" s="1">
        <f>G425-((ABS(SUM(PL!T425:V425)))*0.125)</f>
        <v>0</v>
      </c>
      <c r="U425" s="1">
        <f>P425 + Q425 + R425 + S425 + T425</f>
        <v>0</v>
      </c>
      <c r="V425" s="1">
        <f>IF(P425 + V424 &lt; 0, P425 + V424, 0)</f>
        <v>0</v>
      </c>
      <c r="W425" s="1">
        <f>IF(Q425 + W424 &lt; 0, Q425 + W424, 0)</f>
        <v>0</v>
      </c>
      <c r="X425" s="1">
        <f>IF(R425 + X424 &lt; 0, R425 + X424, 0)</f>
        <v>0</v>
      </c>
      <c r="Y425" s="1">
        <f>IF(S425 + Y424 &lt; 0, S425 + Y424, 0)</f>
        <v>0</v>
      </c>
      <c r="Z425" s="1">
        <f>IF(T425 + Z424 &lt; 0, T425 + Z424, 0)</f>
        <v>0</v>
      </c>
      <c r="AA425" s="1">
        <f>IF(U425 + AA424 &lt; 0, U425 + AA424, 0)</f>
        <v>0</v>
      </c>
      <c r="AB425" s="1">
        <f>IF(AA425 &lt; 0, 1 + AB424, 0)</f>
        <v>0</v>
      </c>
      <c r="AC425" s="1">
        <f>IF(H425&lt;0,1,0)</f>
        <v>0</v>
      </c>
      <c r="AD425" s="1">
        <f>IF(AC425=1,H425,0)</f>
        <v>0</v>
      </c>
      <c r="AE425" s="1">
        <f>IF(H425&gt;0,1,0)</f>
        <v>0</v>
      </c>
      <c r="AF425" s="1">
        <f>IF(AE425=1,H425,0)</f>
        <v>0</v>
      </c>
      <c r="AG425" s="1">
        <f>IF(AD425&lt;-20000000.0/100,1,0)</f>
        <v>0</v>
      </c>
      <c r="AH425" s="1">
        <f>IF(AF425&gt;20000000.0/100,1,0)</f>
        <v>0</v>
      </c>
      <c r="AI425" s="1">
        <f>IF(U425&lt;0,1,0)</f>
        <v>0</v>
      </c>
      <c r="AJ425" s="1">
        <f>IF(AI425=1,U425,0)</f>
        <v>0</v>
      </c>
      <c r="AK425" s="1">
        <f>IF(U425&gt;0,1,0)</f>
        <v>0</v>
      </c>
      <c r="AL425" s="1">
        <f>IF(AK425=1,U425,0)</f>
        <v>0</v>
      </c>
      <c r="AM425" s="1">
        <f>IF(AJ425&lt;-20000000.0/100,1,0)</f>
        <v>0</v>
      </c>
      <c r="AN425" s="1">
        <f>IF(AL425&gt;20000000.0/100,1,0)</f>
        <v>0</v>
      </c>
    </row>
    <row r="426" spans="1:40" s="1" customFormat="1">
      <c r="A426" s="3">
        <v>45918</v>
      </c>
      <c r="B426" s="2" t="s">
        <v>25</v>
      </c>
      <c r="C426" s="1">
        <f>SUM(PL!H426:J426)</f>
        <v>0</v>
      </c>
      <c r="D426" s="1">
        <f>SUM(PL!K426:M426)</f>
        <v>0</v>
      </c>
      <c r="E426" s="1">
        <f>SUM(PL!N426:P426)</f>
        <v>0</v>
      </c>
      <c r="F426" s="1">
        <f>SUM(PL!Q426:S426)</f>
        <v>0</v>
      </c>
      <c r="G426" s="1">
        <f>SUM(PL!T426:V426)</f>
        <v>0</v>
      </c>
      <c r="H426" s="1">
        <f>SUM(C426:G426)</f>
        <v>0</v>
      </c>
      <c r="I426" s="1">
        <f>IF(C426 + I425 &lt; 0, C426 + I425, 0)</f>
        <v>0</v>
      </c>
      <c r="J426" s="1">
        <f>IF(D426 + J425 &lt; 0, D426 + J425, 0)</f>
        <v>0</v>
      </c>
      <c r="K426" s="1">
        <f>IF(E426 + K425 &lt; 0, E426 + K425, 0)</f>
        <v>0</v>
      </c>
      <c r="L426" s="1">
        <f>IF(F426 + L425 &lt; 0, F426 + L425, 0)</f>
        <v>0</v>
      </c>
      <c r="M426" s="1">
        <f>IF(G426 + M425 &lt; 0, G426 + M425, 0)</f>
        <v>0</v>
      </c>
      <c r="N426" s="1">
        <f>IF(H426 + N425 &lt; 0, H426 + N425, 0)</f>
        <v>0</v>
      </c>
      <c r="O426" s="1">
        <f>IF(N426 &lt; 0, 1 + O425, 0)</f>
        <v>0</v>
      </c>
      <c r="P426" s="1">
        <f>C426-((ABS(SUM(PL!H426:J426)))*0.125)</f>
        <v>0</v>
      </c>
      <c r="Q426" s="1">
        <f>D426-((ABS(SUM(PL!K426:M426)))*0.125)</f>
        <v>0</v>
      </c>
      <c r="R426" s="1">
        <f>E426-((ABS(SUM(PL!N426:P426)))*0.125)</f>
        <v>0</v>
      </c>
      <c r="S426" s="1">
        <f>F426-((ABS(SUM(PL!Q426:S426)))*0.125)</f>
        <v>0</v>
      </c>
      <c r="T426" s="1">
        <f>G426-((ABS(SUM(PL!T426:V426)))*0.125)</f>
        <v>0</v>
      </c>
      <c r="U426" s="1">
        <f>P426 + Q426 + R426 + S426 + T426</f>
        <v>0</v>
      </c>
      <c r="V426" s="1">
        <f>IF(P426 + V425 &lt; 0, P426 + V425, 0)</f>
        <v>0</v>
      </c>
      <c r="W426" s="1">
        <f>IF(Q426 + W425 &lt; 0, Q426 + W425, 0)</f>
        <v>0</v>
      </c>
      <c r="X426" s="1">
        <f>IF(R426 + X425 &lt; 0, R426 + X425, 0)</f>
        <v>0</v>
      </c>
      <c r="Y426" s="1">
        <f>IF(S426 + Y425 &lt; 0, S426 + Y425, 0)</f>
        <v>0</v>
      </c>
      <c r="Z426" s="1">
        <f>IF(T426 + Z425 &lt; 0, T426 + Z425, 0)</f>
        <v>0</v>
      </c>
      <c r="AA426" s="1">
        <f>IF(U426 + AA425 &lt; 0, U426 + AA425, 0)</f>
        <v>0</v>
      </c>
      <c r="AB426" s="1">
        <f>IF(AA426 &lt; 0, 1 + AB425, 0)</f>
        <v>0</v>
      </c>
      <c r="AC426" s="1">
        <f>IF(H426&lt;0,1,0)</f>
        <v>0</v>
      </c>
      <c r="AD426" s="1">
        <f>IF(AC426=1,H426,0)</f>
        <v>0</v>
      </c>
      <c r="AE426" s="1">
        <f>IF(H426&gt;0,1,0)</f>
        <v>0</v>
      </c>
      <c r="AF426" s="1">
        <f>IF(AE426=1,H426,0)</f>
        <v>0</v>
      </c>
      <c r="AG426" s="1">
        <f>IF(AD426&lt;-20000000.0/100,1,0)</f>
        <v>0</v>
      </c>
      <c r="AH426" s="1">
        <f>IF(AF426&gt;20000000.0/100,1,0)</f>
        <v>0</v>
      </c>
      <c r="AI426" s="1">
        <f>IF(U426&lt;0,1,0)</f>
        <v>0</v>
      </c>
      <c r="AJ426" s="1">
        <f>IF(AI426=1,U426,0)</f>
        <v>0</v>
      </c>
      <c r="AK426" s="1">
        <f>IF(U426&gt;0,1,0)</f>
        <v>0</v>
      </c>
      <c r="AL426" s="1">
        <f>IF(AK426=1,U426,0)</f>
        <v>0</v>
      </c>
      <c r="AM426" s="1">
        <f>IF(AJ426&lt;-20000000.0/100,1,0)</f>
        <v>0</v>
      </c>
      <c r="AN426" s="1">
        <f>IF(AL426&gt;20000000.0/100,1,0)</f>
        <v>0</v>
      </c>
    </row>
    <row r="427" spans="1:40" s="1" customFormat="1">
      <c r="A427" s="3">
        <v>45919</v>
      </c>
      <c r="B427" s="2" t="s">
        <v>26</v>
      </c>
      <c r="C427" s="1">
        <f>SUM(PL!H427:J427)</f>
        <v>0</v>
      </c>
      <c r="D427" s="1">
        <f>SUM(PL!K427:M427)</f>
        <v>0</v>
      </c>
      <c r="E427" s="1">
        <f>SUM(PL!N427:P427)</f>
        <v>0</v>
      </c>
      <c r="F427" s="1">
        <f>SUM(PL!Q427:S427)</f>
        <v>0</v>
      </c>
      <c r="G427" s="1">
        <f>SUM(PL!T427:V427)</f>
        <v>0</v>
      </c>
      <c r="H427" s="1">
        <f>SUM(C427:G427)</f>
        <v>0</v>
      </c>
      <c r="I427" s="1">
        <f>IF(C427 + I426 &lt; 0, C427 + I426, 0)</f>
        <v>0</v>
      </c>
      <c r="J427" s="1">
        <f>IF(D427 + J426 &lt; 0, D427 + J426, 0)</f>
        <v>0</v>
      </c>
      <c r="K427" s="1">
        <f>IF(E427 + K426 &lt; 0, E427 + K426, 0)</f>
        <v>0</v>
      </c>
      <c r="L427" s="1">
        <f>IF(F427 + L426 &lt; 0, F427 + L426, 0)</f>
        <v>0</v>
      </c>
      <c r="M427" s="1">
        <f>IF(G427 + M426 &lt; 0, G427 + M426, 0)</f>
        <v>0</v>
      </c>
      <c r="N427" s="1">
        <f>IF(H427 + N426 &lt; 0, H427 + N426, 0)</f>
        <v>0</v>
      </c>
      <c r="O427" s="1">
        <f>IF(N427 &lt; 0, 1 + O426, 0)</f>
        <v>0</v>
      </c>
      <c r="P427" s="1">
        <f>C427-((ABS(SUM(PL!H427:J427)))*0.125)</f>
        <v>0</v>
      </c>
      <c r="Q427" s="1">
        <f>D427-((ABS(SUM(PL!K427:M427)))*0.125)</f>
        <v>0</v>
      </c>
      <c r="R427" s="1">
        <f>E427-((ABS(SUM(PL!N427:P427)))*0.125)</f>
        <v>0</v>
      </c>
      <c r="S427" s="1">
        <f>F427-((ABS(SUM(PL!Q427:S427)))*0.125)</f>
        <v>0</v>
      </c>
      <c r="T427" s="1">
        <f>G427-((ABS(SUM(PL!T427:V427)))*0.125)</f>
        <v>0</v>
      </c>
      <c r="U427" s="1">
        <f>P427 + Q427 + R427 + S427 + T427</f>
        <v>0</v>
      </c>
      <c r="V427" s="1">
        <f>IF(P427 + V426 &lt; 0, P427 + V426, 0)</f>
        <v>0</v>
      </c>
      <c r="W427" s="1">
        <f>IF(Q427 + W426 &lt; 0, Q427 + W426, 0)</f>
        <v>0</v>
      </c>
      <c r="X427" s="1">
        <f>IF(R427 + X426 &lt; 0, R427 + X426, 0)</f>
        <v>0</v>
      </c>
      <c r="Y427" s="1">
        <f>IF(S427 + Y426 &lt; 0, S427 + Y426, 0)</f>
        <v>0</v>
      </c>
      <c r="Z427" s="1">
        <f>IF(T427 + Z426 &lt; 0, T427 + Z426, 0)</f>
        <v>0</v>
      </c>
      <c r="AA427" s="1">
        <f>IF(U427 + AA426 &lt; 0, U427 + AA426, 0)</f>
        <v>0</v>
      </c>
      <c r="AB427" s="1">
        <f>IF(AA427 &lt; 0, 1 + AB426, 0)</f>
        <v>0</v>
      </c>
      <c r="AC427" s="1">
        <f>IF(H427&lt;0,1,0)</f>
        <v>0</v>
      </c>
      <c r="AD427" s="1">
        <f>IF(AC427=1,H427,0)</f>
        <v>0</v>
      </c>
      <c r="AE427" s="1">
        <f>IF(H427&gt;0,1,0)</f>
        <v>0</v>
      </c>
      <c r="AF427" s="1">
        <f>IF(AE427=1,H427,0)</f>
        <v>0</v>
      </c>
      <c r="AG427" s="1">
        <f>IF(AD427&lt;-20000000.0/100,1,0)</f>
        <v>0</v>
      </c>
      <c r="AH427" s="1">
        <f>IF(AF427&gt;20000000.0/100,1,0)</f>
        <v>0</v>
      </c>
      <c r="AI427" s="1">
        <f>IF(U427&lt;0,1,0)</f>
        <v>0</v>
      </c>
      <c r="AJ427" s="1">
        <f>IF(AI427=1,U427,0)</f>
        <v>0</v>
      </c>
      <c r="AK427" s="1">
        <f>IF(U427&gt;0,1,0)</f>
        <v>0</v>
      </c>
      <c r="AL427" s="1">
        <f>IF(AK427=1,U427,0)</f>
        <v>0</v>
      </c>
      <c r="AM427" s="1">
        <f>IF(AJ427&lt;-20000000.0/100,1,0)</f>
        <v>0</v>
      </c>
      <c r="AN427" s="1">
        <f>IF(AL427&gt;20000000.0/100,1,0)</f>
        <v>0</v>
      </c>
    </row>
    <row r="428" spans="1:40" s="1" customFormat="1">
      <c r="A428" s="3">
        <v>45922</v>
      </c>
      <c r="B428" s="2" t="s">
        <v>22</v>
      </c>
      <c r="C428" s="1">
        <f>SUM(PL!H428:J428)</f>
        <v>0</v>
      </c>
      <c r="D428" s="1">
        <f>SUM(PL!K428:M428)</f>
        <v>0</v>
      </c>
      <c r="E428" s="1">
        <f>SUM(PL!N428:P428)</f>
        <v>0</v>
      </c>
      <c r="F428" s="1">
        <f>SUM(PL!Q428:S428)</f>
        <v>0</v>
      </c>
      <c r="G428" s="1">
        <f>SUM(PL!T428:V428)</f>
        <v>0</v>
      </c>
      <c r="H428" s="1">
        <f>SUM(C428:G428)</f>
        <v>0</v>
      </c>
      <c r="I428" s="1">
        <f>IF(C428 + I427 &lt; 0, C428 + I427, 0)</f>
        <v>0</v>
      </c>
      <c r="J428" s="1">
        <f>IF(D428 + J427 &lt; 0, D428 + J427, 0)</f>
        <v>0</v>
      </c>
      <c r="K428" s="1">
        <f>IF(E428 + K427 &lt; 0, E428 + K427, 0)</f>
        <v>0</v>
      </c>
      <c r="L428" s="1">
        <f>IF(F428 + L427 &lt; 0, F428 + L427, 0)</f>
        <v>0</v>
      </c>
      <c r="M428" s="1">
        <f>IF(G428 + M427 &lt; 0, G428 + M427, 0)</f>
        <v>0</v>
      </c>
      <c r="N428" s="1">
        <f>IF(H428 + N427 &lt; 0, H428 + N427, 0)</f>
        <v>0</v>
      </c>
      <c r="O428" s="1">
        <f>IF(N428 &lt; 0, 1 + O427, 0)</f>
        <v>0</v>
      </c>
      <c r="P428" s="1">
        <f>C428-((ABS(SUM(PL!H428:J428)))*0.125)</f>
        <v>0</v>
      </c>
      <c r="Q428" s="1">
        <f>D428-((ABS(SUM(PL!K428:M428)))*0.125)</f>
        <v>0</v>
      </c>
      <c r="R428" s="1">
        <f>E428-((ABS(SUM(PL!N428:P428)))*0.125)</f>
        <v>0</v>
      </c>
      <c r="S428" s="1">
        <f>F428-((ABS(SUM(PL!Q428:S428)))*0.125)</f>
        <v>0</v>
      </c>
      <c r="T428" s="1">
        <f>G428-((ABS(SUM(PL!T428:V428)))*0.125)</f>
        <v>0</v>
      </c>
      <c r="U428" s="1">
        <f>P428 + Q428 + R428 + S428 + T428</f>
        <v>0</v>
      </c>
      <c r="V428" s="1">
        <f>IF(P428 + V427 &lt; 0, P428 + V427, 0)</f>
        <v>0</v>
      </c>
      <c r="W428" s="1">
        <f>IF(Q428 + W427 &lt; 0, Q428 + W427, 0)</f>
        <v>0</v>
      </c>
      <c r="X428" s="1">
        <f>IF(R428 + X427 &lt; 0, R428 + X427, 0)</f>
        <v>0</v>
      </c>
      <c r="Y428" s="1">
        <f>IF(S428 + Y427 &lt; 0, S428 + Y427, 0)</f>
        <v>0</v>
      </c>
      <c r="Z428" s="1">
        <f>IF(T428 + Z427 &lt; 0, T428 + Z427, 0)</f>
        <v>0</v>
      </c>
      <c r="AA428" s="1">
        <f>IF(U428 + AA427 &lt; 0, U428 + AA427, 0)</f>
        <v>0</v>
      </c>
      <c r="AB428" s="1">
        <f>IF(AA428 &lt; 0, 1 + AB427, 0)</f>
        <v>0</v>
      </c>
      <c r="AC428" s="1">
        <f>IF(H428&lt;0,1,0)</f>
        <v>0</v>
      </c>
      <c r="AD428" s="1">
        <f>IF(AC428=1,H428,0)</f>
        <v>0</v>
      </c>
      <c r="AE428" s="1">
        <f>IF(H428&gt;0,1,0)</f>
        <v>0</v>
      </c>
      <c r="AF428" s="1">
        <f>IF(AE428=1,H428,0)</f>
        <v>0</v>
      </c>
      <c r="AG428" s="1">
        <f>IF(AD428&lt;-20000000.0/100,1,0)</f>
        <v>0</v>
      </c>
      <c r="AH428" s="1">
        <f>IF(AF428&gt;20000000.0/100,1,0)</f>
        <v>0</v>
      </c>
      <c r="AI428" s="1">
        <f>IF(U428&lt;0,1,0)</f>
        <v>0</v>
      </c>
      <c r="AJ428" s="1">
        <f>IF(AI428=1,U428,0)</f>
        <v>0</v>
      </c>
      <c r="AK428" s="1">
        <f>IF(U428&gt;0,1,0)</f>
        <v>0</v>
      </c>
      <c r="AL428" s="1">
        <f>IF(AK428=1,U428,0)</f>
        <v>0</v>
      </c>
      <c r="AM428" s="1">
        <f>IF(AJ428&lt;-20000000.0/100,1,0)</f>
        <v>0</v>
      </c>
      <c r="AN428" s="1">
        <f>IF(AL428&gt;20000000.0/100,1,0)</f>
        <v>0</v>
      </c>
    </row>
    <row r="429" spans="1:40" s="1" customFormat="1">
      <c r="A429" s="3">
        <v>45923</v>
      </c>
      <c r="B429" s="2" t="s">
        <v>23</v>
      </c>
      <c r="C429" s="1">
        <f>SUM(PL!H429:J429)</f>
        <v>0</v>
      </c>
      <c r="D429" s="1">
        <f>SUM(PL!K429:M429)</f>
        <v>0</v>
      </c>
      <c r="E429" s="1">
        <f>SUM(PL!N429:P429)</f>
        <v>0</v>
      </c>
      <c r="F429" s="1">
        <f>SUM(PL!Q429:S429)</f>
        <v>0</v>
      </c>
      <c r="G429" s="1">
        <f>SUM(PL!T429:V429)</f>
        <v>0</v>
      </c>
      <c r="H429" s="1">
        <f>SUM(C429:G429)</f>
        <v>0</v>
      </c>
      <c r="I429" s="1">
        <f>IF(C429 + I428 &lt; 0, C429 + I428, 0)</f>
        <v>0</v>
      </c>
      <c r="J429" s="1">
        <f>IF(D429 + J428 &lt; 0, D429 + J428, 0)</f>
        <v>0</v>
      </c>
      <c r="K429" s="1">
        <f>IF(E429 + K428 &lt; 0, E429 + K428, 0)</f>
        <v>0</v>
      </c>
      <c r="L429" s="1">
        <f>IF(F429 + L428 &lt; 0, F429 + L428, 0)</f>
        <v>0</v>
      </c>
      <c r="M429" s="1">
        <f>IF(G429 + M428 &lt; 0, G429 + M428, 0)</f>
        <v>0</v>
      </c>
      <c r="N429" s="1">
        <f>IF(H429 + N428 &lt; 0, H429 + N428, 0)</f>
        <v>0</v>
      </c>
      <c r="O429" s="1">
        <f>IF(N429 &lt; 0, 1 + O428, 0)</f>
        <v>0</v>
      </c>
      <c r="P429" s="1">
        <f>C429-((ABS(SUM(PL!H429:J429)))*0.125)</f>
        <v>0</v>
      </c>
      <c r="Q429" s="1">
        <f>D429-((ABS(SUM(PL!K429:M429)))*0.125)</f>
        <v>0</v>
      </c>
      <c r="R429" s="1">
        <f>E429-((ABS(SUM(PL!N429:P429)))*0.125)</f>
        <v>0</v>
      </c>
      <c r="S429" s="1">
        <f>F429-((ABS(SUM(PL!Q429:S429)))*0.125)</f>
        <v>0</v>
      </c>
      <c r="T429" s="1">
        <f>G429-((ABS(SUM(PL!T429:V429)))*0.125)</f>
        <v>0</v>
      </c>
      <c r="U429" s="1">
        <f>P429 + Q429 + R429 + S429 + T429</f>
        <v>0</v>
      </c>
      <c r="V429" s="1">
        <f>IF(P429 + V428 &lt; 0, P429 + V428, 0)</f>
        <v>0</v>
      </c>
      <c r="W429" s="1">
        <f>IF(Q429 + W428 &lt; 0, Q429 + W428, 0)</f>
        <v>0</v>
      </c>
      <c r="X429" s="1">
        <f>IF(R429 + X428 &lt; 0, R429 + X428, 0)</f>
        <v>0</v>
      </c>
      <c r="Y429" s="1">
        <f>IF(S429 + Y428 &lt; 0, S429 + Y428, 0)</f>
        <v>0</v>
      </c>
      <c r="Z429" s="1">
        <f>IF(T429 + Z428 &lt; 0, T429 + Z428, 0)</f>
        <v>0</v>
      </c>
      <c r="AA429" s="1">
        <f>IF(U429 + AA428 &lt; 0, U429 + AA428, 0)</f>
        <v>0</v>
      </c>
      <c r="AB429" s="1">
        <f>IF(AA429 &lt; 0, 1 + AB428, 0)</f>
        <v>0</v>
      </c>
      <c r="AC429" s="1">
        <f>IF(H429&lt;0,1,0)</f>
        <v>0</v>
      </c>
      <c r="AD429" s="1">
        <f>IF(AC429=1,H429,0)</f>
        <v>0</v>
      </c>
      <c r="AE429" s="1">
        <f>IF(H429&gt;0,1,0)</f>
        <v>0</v>
      </c>
      <c r="AF429" s="1">
        <f>IF(AE429=1,H429,0)</f>
        <v>0</v>
      </c>
      <c r="AG429" s="1">
        <f>IF(AD429&lt;-20000000.0/100,1,0)</f>
        <v>0</v>
      </c>
      <c r="AH429" s="1">
        <f>IF(AF429&gt;20000000.0/100,1,0)</f>
        <v>0</v>
      </c>
      <c r="AI429" s="1">
        <f>IF(U429&lt;0,1,0)</f>
        <v>0</v>
      </c>
      <c r="AJ429" s="1">
        <f>IF(AI429=1,U429,0)</f>
        <v>0</v>
      </c>
      <c r="AK429" s="1">
        <f>IF(U429&gt;0,1,0)</f>
        <v>0</v>
      </c>
      <c r="AL429" s="1">
        <f>IF(AK429=1,U429,0)</f>
        <v>0</v>
      </c>
      <c r="AM429" s="1">
        <f>IF(AJ429&lt;-20000000.0/100,1,0)</f>
        <v>0</v>
      </c>
      <c r="AN429" s="1">
        <f>IF(AL429&gt;20000000.0/100,1,0)</f>
        <v>0</v>
      </c>
    </row>
    <row r="430" spans="1:40" s="1" customFormat="1">
      <c r="A430" s="3">
        <v>45924</v>
      </c>
      <c r="B430" s="2" t="s">
        <v>24</v>
      </c>
      <c r="C430" s="1">
        <f>SUM(PL!H430:J430)</f>
        <v>0</v>
      </c>
      <c r="D430" s="1">
        <f>SUM(PL!K430:M430)</f>
        <v>0</v>
      </c>
      <c r="E430" s="1">
        <f>SUM(PL!N430:P430)</f>
        <v>0</v>
      </c>
      <c r="F430" s="1">
        <f>SUM(PL!Q430:S430)</f>
        <v>0</v>
      </c>
      <c r="G430" s="1">
        <f>SUM(PL!T430:V430)</f>
        <v>0</v>
      </c>
      <c r="H430" s="1">
        <f>SUM(C430:G430)</f>
        <v>0</v>
      </c>
      <c r="I430" s="1">
        <f>IF(C430 + I429 &lt; 0, C430 + I429, 0)</f>
        <v>0</v>
      </c>
      <c r="J430" s="1">
        <f>IF(D430 + J429 &lt; 0, D430 + J429, 0)</f>
        <v>0</v>
      </c>
      <c r="K430" s="1">
        <f>IF(E430 + K429 &lt; 0, E430 + K429, 0)</f>
        <v>0</v>
      </c>
      <c r="L430" s="1">
        <f>IF(F430 + L429 &lt; 0, F430 + L429, 0)</f>
        <v>0</v>
      </c>
      <c r="M430" s="1">
        <f>IF(G430 + M429 &lt; 0, G430 + M429, 0)</f>
        <v>0</v>
      </c>
      <c r="N430" s="1">
        <f>IF(H430 + N429 &lt; 0, H430 + N429, 0)</f>
        <v>0</v>
      </c>
      <c r="O430" s="1">
        <f>IF(N430 &lt; 0, 1 + O429, 0)</f>
        <v>0</v>
      </c>
      <c r="P430" s="1">
        <f>C430-((ABS(SUM(PL!H430:J430)))*0.125)</f>
        <v>0</v>
      </c>
      <c r="Q430" s="1">
        <f>D430-((ABS(SUM(PL!K430:M430)))*0.125)</f>
        <v>0</v>
      </c>
      <c r="R430" s="1">
        <f>E430-((ABS(SUM(PL!N430:P430)))*0.125)</f>
        <v>0</v>
      </c>
      <c r="S430" s="1">
        <f>F430-((ABS(SUM(PL!Q430:S430)))*0.125)</f>
        <v>0</v>
      </c>
      <c r="T430" s="1">
        <f>G430-((ABS(SUM(PL!T430:V430)))*0.125)</f>
        <v>0</v>
      </c>
      <c r="U430" s="1">
        <f>P430 + Q430 + R430 + S430 + T430</f>
        <v>0</v>
      </c>
      <c r="V430" s="1">
        <f>IF(P430 + V429 &lt; 0, P430 + V429, 0)</f>
        <v>0</v>
      </c>
      <c r="W430" s="1">
        <f>IF(Q430 + W429 &lt; 0, Q430 + W429, 0)</f>
        <v>0</v>
      </c>
      <c r="X430" s="1">
        <f>IF(R430 + X429 &lt; 0, R430 + X429, 0)</f>
        <v>0</v>
      </c>
      <c r="Y430" s="1">
        <f>IF(S430 + Y429 &lt; 0, S430 + Y429, 0)</f>
        <v>0</v>
      </c>
      <c r="Z430" s="1">
        <f>IF(T430 + Z429 &lt; 0, T430 + Z429, 0)</f>
        <v>0</v>
      </c>
      <c r="AA430" s="1">
        <f>IF(U430 + AA429 &lt; 0, U430 + AA429, 0)</f>
        <v>0</v>
      </c>
      <c r="AB430" s="1">
        <f>IF(AA430 &lt; 0, 1 + AB429, 0)</f>
        <v>0</v>
      </c>
      <c r="AC430" s="1">
        <f>IF(H430&lt;0,1,0)</f>
        <v>0</v>
      </c>
      <c r="AD430" s="1">
        <f>IF(AC430=1,H430,0)</f>
        <v>0</v>
      </c>
      <c r="AE430" s="1">
        <f>IF(H430&gt;0,1,0)</f>
        <v>0</v>
      </c>
      <c r="AF430" s="1">
        <f>IF(AE430=1,H430,0)</f>
        <v>0</v>
      </c>
      <c r="AG430" s="1">
        <f>IF(AD430&lt;-20000000.0/100,1,0)</f>
        <v>0</v>
      </c>
      <c r="AH430" s="1">
        <f>IF(AF430&gt;20000000.0/100,1,0)</f>
        <v>0</v>
      </c>
      <c r="AI430" s="1">
        <f>IF(U430&lt;0,1,0)</f>
        <v>0</v>
      </c>
      <c r="AJ430" s="1">
        <f>IF(AI430=1,U430,0)</f>
        <v>0</v>
      </c>
      <c r="AK430" s="1">
        <f>IF(U430&gt;0,1,0)</f>
        <v>0</v>
      </c>
      <c r="AL430" s="1">
        <f>IF(AK430=1,U430,0)</f>
        <v>0</v>
      </c>
      <c r="AM430" s="1">
        <f>IF(AJ430&lt;-20000000.0/100,1,0)</f>
        <v>0</v>
      </c>
      <c r="AN430" s="1">
        <f>IF(AL430&gt;20000000.0/100,1,0)</f>
        <v>0</v>
      </c>
    </row>
    <row r="431" spans="1:40" s="1" customFormat="1">
      <c r="A431" s="3">
        <v>45925</v>
      </c>
      <c r="B431" s="2" t="s">
        <v>25</v>
      </c>
      <c r="C431" s="1">
        <f>SUM(PL!H431:J431)</f>
        <v>0</v>
      </c>
      <c r="D431" s="1">
        <f>SUM(PL!K431:M431)</f>
        <v>0</v>
      </c>
      <c r="E431" s="1">
        <f>SUM(PL!N431:P431)</f>
        <v>0</v>
      </c>
      <c r="F431" s="1">
        <f>SUM(PL!Q431:S431)</f>
        <v>0</v>
      </c>
      <c r="G431" s="1">
        <f>SUM(PL!T431:V431)</f>
        <v>0</v>
      </c>
      <c r="H431" s="1">
        <f>SUM(C431:G431)</f>
        <v>0</v>
      </c>
      <c r="I431" s="1">
        <f>IF(C431 + I430 &lt; 0, C431 + I430, 0)</f>
        <v>0</v>
      </c>
      <c r="J431" s="1">
        <f>IF(D431 + J430 &lt; 0, D431 + J430, 0)</f>
        <v>0</v>
      </c>
      <c r="K431" s="1">
        <f>IF(E431 + K430 &lt; 0, E431 + K430, 0)</f>
        <v>0</v>
      </c>
      <c r="L431" s="1">
        <f>IF(F431 + L430 &lt; 0, F431 + L430, 0)</f>
        <v>0</v>
      </c>
      <c r="M431" s="1">
        <f>IF(G431 + M430 &lt; 0, G431 + M430, 0)</f>
        <v>0</v>
      </c>
      <c r="N431" s="1">
        <f>IF(H431 + N430 &lt; 0, H431 + N430, 0)</f>
        <v>0</v>
      </c>
      <c r="O431" s="1">
        <f>IF(N431 &lt; 0, 1 + O430, 0)</f>
        <v>0</v>
      </c>
      <c r="P431" s="1">
        <f>C431-((ABS(SUM(PL!H431:J431)))*0.125)</f>
        <v>0</v>
      </c>
      <c r="Q431" s="1">
        <f>D431-((ABS(SUM(PL!K431:M431)))*0.125)</f>
        <v>0</v>
      </c>
      <c r="R431" s="1">
        <f>E431-((ABS(SUM(PL!N431:P431)))*0.125)</f>
        <v>0</v>
      </c>
      <c r="S431" s="1">
        <f>F431-((ABS(SUM(PL!Q431:S431)))*0.125)</f>
        <v>0</v>
      </c>
      <c r="T431" s="1">
        <f>G431-((ABS(SUM(PL!T431:V431)))*0.125)</f>
        <v>0</v>
      </c>
      <c r="U431" s="1">
        <f>P431 + Q431 + R431 + S431 + T431</f>
        <v>0</v>
      </c>
      <c r="V431" s="1">
        <f>IF(P431 + V430 &lt; 0, P431 + V430, 0)</f>
        <v>0</v>
      </c>
      <c r="W431" s="1">
        <f>IF(Q431 + W430 &lt; 0, Q431 + W430, 0)</f>
        <v>0</v>
      </c>
      <c r="X431" s="1">
        <f>IF(R431 + X430 &lt; 0, R431 + X430, 0)</f>
        <v>0</v>
      </c>
      <c r="Y431" s="1">
        <f>IF(S431 + Y430 &lt; 0, S431 + Y430, 0)</f>
        <v>0</v>
      </c>
      <c r="Z431" s="1">
        <f>IF(T431 + Z430 &lt; 0, T431 + Z430, 0)</f>
        <v>0</v>
      </c>
      <c r="AA431" s="1">
        <f>IF(U431 + AA430 &lt; 0, U431 + AA430, 0)</f>
        <v>0</v>
      </c>
      <c r="AB431" s="1">
        <f>IF(AA431 &lt; 0, 1 + AB430, 0)</f>
        <v>0</v>
      </c>
      <c r="AC431" s="1">
        <f>IF(H431&lt;0,1,0)</f>
        <v>0</v>
      </c>
      <c r="AD431" s="1">
        <f>IF(AC431=1,H431,0)</f>
        <v>0</v>
      </c>
      <c r="AE431" s="1">
        <f>IF(H431&gt;0,1,0)</f>
        <v>0</v>
      </c>
      <c r="AF431" s="1">
        <f>IF(AE431=1,H431,0)</f>
        <v>0</v>
      </c>
      <c r="AG431" s="1">
        <f>IF(AD431&lt;-20000000.0/100,1,0)</f>
        <v>0</v>
      </c>
      <c r="AH431" s="1">
        <f>IF(AF431&gt;20000000.0/100,1,0)</f>
        <v>0</v>
      </c>
      <c r="AI431" s="1">
        <f>IF(U431&lt;0,1,0)</f>
        <v>0</v>
      </c>
      <c r="AJ431" s="1">
        <f>IF(AI431=1,U431,0)</f>
        <v>0</v>
      </c>
      <c r="AK431" s="1">
        <f>IF(U431&gt;0,1,0)</f>
        <v>0</v>
      </c>
      <c r="AL431" s="1">
        <f>IF(AK431=1,U431,0)</f>
        <v>0</v>
      </c>
      <c r="AM431" s="1">
        <f>IF(AJ431&lt;-20000000.0/100,1,0)</f>
        <v>0</v>
      </c>
      <c r="AN431" s="1">
        <f>IF(AL431&gt;20000000.0/100,1,0)</f>
        <v>0</v>
      </c>
    </row>
    <row r="432" spans="1:40" s="1" customFormat="1">
      <c r="A432" s="3">
        <v>45926</v>
      </c>
      <c r="B432" s="2" t="s">
        <v>26</v>
      </c>
      <c r="C432" s="1">
        <f>SUM(PL!H432:J432)</f>
        <v>0</v>
      </c>
      <c r="D432" s="1">
        <f>SUM(PL!K432:M432)</f>
        <v>0</v>
      </c>
      <c r="E432" s="1">
        <f>SUM(PL!N432:P432)</f>
        <v>0</v>
      </c>
      <c r="F432" s="1">
        <f>SUM(PL!Q432:S432)</f>
        <v>0</v>
      </c>
      <c r="G432" s="1">
        <f>SUM(PL!T432:V432)</f>
        <v>0</v>
      </c>
      <c r="H432" s="1">
        <f>SUM(C432:G432)</f>
        <v>0</v>
      </c>
      <c r="I432" s="1">
        <f>IF(C432 + I431 &lt; 0, C432 + I431, 0)</f>
        <v>0</v>
      </c>
      <c r="J432" s="1">
        <f>IF(D432 + J431 &lt; 0, D432 + J431, 0)</f>
        <v>0</v>
      </c>
      <c r="K432" s="1">
        <f>IF(E432 + K431 &lt; 0, E432 + K431, 0)</f>
        <v>0</v>
      </c>
      <c r="L432" s="1">
        <f>IF(F432 + L431 &lt; 0, F432 + L431, 0)</f>
        <v>0</v>
      </c>
      <c r="M432" s="1">
        <f>IF(G432 + M431 &lt; 0, G432 + M431, 0)</f>
        <v>0</v>
      </c>
      <c r="N432" s="1">
        <f>IF(H432 + N431 &lt; 0, H432 + N431, 0)</f>
        <v>0</v>
      </c>
      <c r="O432" s="1">
        <f>IF(N432 &lt; 0, 1 + O431, 0)</f>
        <v>0</v>
      </c>
      <c r="P432" s="1">
        <f>C432-((ABS(SUM(PL!H432:J432)))*0.125)</f>
        <v>0</v>
      </c>
      <c r="Q432" s="1">
        <f>D432-((ABS(SUM(PL!K432:M432)))*0.125)</f>
        <v>0</v>
      </c>
      <c r="R432" s="1">
        <f>E432-((ABS(SUM(PL!N432:P432)))*0.125)</f>
        <v>0</v>
      </c>
      <c r="S432" s="1">
        <f>F432-((ABS(SUM(PL!Q432:S432)))*0.125)</f>
        <v>0</v>
      </c>
      <c r="T432" s="1">
        <f>G432-((ABS(SUM(PL!T432:V432)))*0.125)</f>
        <v>0</v>
      </c>
      <c r="U432" s="1">
        <f>P432 + Q432 + R432 + S432 + T432</f>
        <v>0</v>
      </c>
      <c r="V432" s="1">
        <f>IF(P432 + V431 &lt; 0, P432 + V431, 0)</f>
        <v>0</v>
      </c>
      <c r="W432" s="1">
        <f>IF(Q432 + W431 &lt; 0, Q432 + W431, 0)</f>
        <v>0</v>
      </c>
      <c r="X432" s="1">
        <f>IF(R432 + X431 &lt; 0, R432 + X431, 0)</f>
        <v>0</v>
      </c>
      <c r="Y432" s="1">
        <f>IF(S432 + Y431 &lt; 0, S432 + Y431, 0)</f>
        <v>0</v>
      </c>
      <c r="Z432" s="1">
        <f>IF(T432 + Z431 &lt; 0, T432 + Z431, 0)</f>
        <v>0</v>
      </c>
      <c r="AA432" s="1">
        <f>IF(U432 + AA431 &lt; 0, U432 + AA431, 0)</f>
        <v>0</v>
      </c>
      <c r="AB432" s="1">
        <f>IF(AA432 &lt; 0, 1 + AB431, 0)</f>
        <v>0</v>
      </c>
      <c r="AC432" s="1">
        <f>IF(H432&lt;0,1,0)</f>
        <v>0</v>
      </c>
      <c r="AD432" s="1">
        <f>IF(AC432=1,H432,0)</f>
        <v>0</v>
      </c>
      <c r="AE432" s="1">
        <f>IF(H432&gt;0,1,0)</f>
        <v>0</v>
      </c>
      <c r="AF432" s="1">
        <f>IF(AE432=1,H432,0)</f>
        <v>0</v>
      </c>
      <c r="AG432" s="1">
        <f>IF(AD432&lt;-20000000.0/100,1,0)</f>
        <v>0</v>
      </c>
      <c r="AH432" s="1">
        <f>IF(AF432&gt;20000000.0/100,1,0)</f>
        <v>0</v>
      </c>
      <c r="AI432" s="1">
        <f>IF(U432&lt;0,1,0)</f>
        <v>0</v>
      </c>
      <c r="AJ432" s="1">
        <f>IF(AI432=1,U432,0)</f>
        <v>0</v>
      </c>
      <c r="AK432" s="1">
        <f>IF(U432&gt;0,1,0)</f>
        <v>0</v>
      </c>
      <c r="AL432" s="1">
        <f>IF(AK432=1,U432,0)</f>
        <v>0</v>
      </c>
      <c r="AM432" s="1">
        <f>IF(AJ432&lt;-20000000.0/100,1,0)</f>
        <v>0</v>
      </c>
      <c r="AN432" s="1">
        <f>IF(AL432&gt;20000000.0/100,1,0)</f>
        <v>0</v>
      </c>
    </row>
    <row r="433" spans="1:40" s="1" customFormat="1">
      <c r="A433" s="3">
        <v>45929</v>
      </c>
      <c r="B433" s="2" t="s">
        <v>22</v>
      </c>
      <c r="C433" s="1">
        <f>SUM(PL!H433:J433)</f>
        <v>0</v>
      </c>
      <c r="D433" s="1">
        <f>SUM(PL!K433:M433)</f>
        <v>0</v>
      </c>
      <c r="E433" s="1">
        <f>SUM(PL!N433:P433)</f>
        <v>0</v>
      </c>
      <c r="F433" s="1">
        <f>SUM(PL!Q433:S433)</f>
        <v>0</v>
      </c>
      <c r="G433" s="1">
        <f>SUM(PL!T433:V433)</f>
        <v>0</v>
      </c>
      <c r="H433" s="1">
        <f>SUM(C433:G433)</f>
        <v>0</v>
      </c>
      <c r="I433" s="1">
        <f>IF(C433 + I432 &lt; 0, C433 + I432, 0)</f>
        <v>0</v>
      </c>
      <c r="J433" s="1">
        <f>IF(D433 + J432 &lt; 0, D433 + J432, 0)</f>
        <v>0</v>
      </c>
      <c r="K433" s="1">
        <f>IF(E433 + K432 &lt; 0, E433 + K432, 0)</f>
        <v>0</v>
      </c>
      <c r="L433" s="1">
        <f>IF(F433 + L432 &lt; 0, F433 + L432, 0)</f>
        <v>0</v>
      </c>
      <c r="M433" s="1">
        <f>IF(G433 + M432 &lt; 0, G433 + M432, 0)</f>
        <v>0</v>
      </c>
      <c r="N433" s="1">
        <f>IF(H433 + N432 &lt; 0, H433 + N432, 0)</f>
        <v>0</v>
      </c>
      <c r="O433" s="1">
        <f>IF(N433 &lt; 0, 1 + O432, 0)</f>
        <v>0</v>
      </c>
      <c r="P433" s="1">
        <f>C433-((ABS(SUM(PL!H433:J433)))*0.125)</f>
        <v>0</v>
      </c>
      <c r="Q433" s="1">
        <f>D433-((ABS(SUM(PL!K433:M433)))*0.125)</f>
        <v>0</v>
      </c>
      <c r="R433" s="1">
        <f>E433-((ABS(SUM(PL!N433:P433)))*0.125)</f>
        <v>0</v>
      </c>
      <c r="S433" s="1">
        <f>F433-((ABS(SUM(PL!Q433:S433)))*0.125)</f>
        <v>0</v>
      </c>
      <c r="T433" s="1">
        <f>G433-((ABS(SUM(PL!T433:V433)))*0.125)</f>
        <v>0</v>
      </c>
      <c r="U433" s="1">
        <f>P433 + Q433 + R433 + S433 + T433</f>
        <v>0</v>
      </c>
      <c r="V433" s="1">
        <f>IF(P433 + V432 &lt; 0, P433 + V432, 0)</f>
        <v>0</v>
      </c>
      <c r="W433" s="1">
        <f>IF(Q433 + W432 &lt; 0, Q433 + W432, 0)</f>
        <v>0</v>
      </c>
      <c r="X433" s="1">
        <f>IF(R433 + X432 &lt; 0, R433 + X432, 0)</f>
        <v>0</v>
      </c>
      <c r="Y433" s="1">
        <f>IF(S433 + Y432 &lt; 0, S433 + Y432, 0)</f>
        <v>0</v>
      </c>
      <c r="Z433" s="1">
        <f>IF(T433 + Z432 &lt; 0, T433 + Z432, 0)</f>
        <v>0</v>
      </c>
      <c r="AA433" s="1">
        <f>IF(U433 + AA432 &lt; 0, U433 + AA432, 0)</f>
        <v>0</v>
      </c>
      <c r="AB433" s="1">
        <f>IF(AA433 &lt; 0, 1 + AB432, 0)</f>
        <v>0</v>
      </c>
      <c r="AC433" s="1">
        <f>IF(H433&lt;0,1,0)</f>
        <v>0</v>
      </c>
      <c r="AD433" s="1">
        <f>IF(AC433=1,H433,0)</f>
        <v>0</v>
      </c>
      <c r="AE433" s="1">
        <f>IF(H433&gt;0,1,0)</f>
        <v>0</v>
      </c>
      <c r="AF433" s="1">
        <f>IF(AE433=1,H433,0)</f>
        <v>0</v>
      </c>
      <c r="AG433" s="1">
        <f>IF(AD433&lt;-20000000.0/100,1,0)</f>
        <v>0</v>
      </c>
      <c r="AH433" s="1">
        <f>IF(AF433&gt;20000000.0/100,1,0)</f>
        <v>0</v>
      </c>
      <c r="AI433" s="1">
        <f>IF(U433&lt;0,1,0)</f>
        <v>0</v>
      </c>
      <c r="AJ433" s="1">
        <f>IF(AI433=1,U433,0)</f>
        <v>0</v>
      </c>
      <c r="AK433" s="1">
        <f>IF(U433&gt;0,1,0)</f>
        <v>0</v>
      </c>
      <c r="AL433" s="1">
        <f>IF(AK433=1,U433,0)</f>
        <v>0</v>
      </c>
      <c r="AM433" s="1">
        <f>IF(AJ433&lt;-20000000.0/100,1,0)</f>
        <v>0</v>
      </c>
      <c r="AN433" s="1">
        <f>IF(AL433&gt;20000000.0/100,1,0)</f>
        <v>0</v>
      </c>
    </row>
    <row r="434" spans="1:40" s="1" customFormat="1">
      <c r="A434" s="3">
        <v>45930</v>
      </c>
      <c r="B434" s="2" t="s">
        <v>23</v>
      </c>
      <c r="C434" s="1">
        <f>SUM(PL!H434:J434)</f>
        <v>0</v>
      </c>
      <c r="D434" s="1">
        <f>SUM(PL!K434:M434)</f>
        <v>0</v>
      </c>
      <c r="E434" s="1">
        <f>SUM(PL!N434:P434)</f>
        <v>0</v>
      </c>
      <c r="F434" s="1">
        <f>SUM(PL!Q434:S434)</f>
        <v>0</v>
      </c>
      <c r="G434" s="1">
        <f>SUM(PL!T434:V434)</f>
        <v>0</v>
      </c>
      <c r="H434" s="1">
        <f>SUM(C434:G434)</f>
        <v>0</v>
      </c>
      <c r="I434" s="1">
        <f>IF(C434 + I433 &lt; 0, C434 + I433, 0)</f>
        <v>0</v>
      </c>
      <c r="J434" s="1">
        <f>IF(D434 + J433 &lt; 0, D434 + J433, 0)</f>
        <v>0</v>
      </c>
      <c r="K434" s="1">
        <f>IF(E434 + K433 &lt; 0, E434 + K433, 0)</f>
        <v>0</v>
      </c>
      <c r="L434" s="1">
        <f>IF(F434 + L433 &lt; 0, F434 + L433, 0)</f>
        <v>0</v>
      </c>
      <c r="M434" s="1">
        <f>IF(G434 + M433 &lt; 0, G434 + M433, 0)</f>
        <v>0</v>
      </c>
      <c r="N434" s="1">
        <f>IF(H434 + N433 &lt; 0, H434 + N433, 0)</f>
        <v>0</v>
      </c>
      <c r="O434" s="1">
        <f>IF(N434 &lt; 0, 1 + O433, 0)</f>
        <v>0</v>
      </c>
      <c r="P434" s="1">
        <f>C434-((ABS(SUM(PL!H434:J434)))*0.125)</f>
        <v>0</v>
      </c>
      <c r="Q434" s="1">
        <f>D434-((ABS(SUM(PL!K434:M434)))*0.125)</f>
        <v>0</v>
      </c>
      <c r="R434" s="1">
        <f>E434-((ABS(SUM(PL!N434:P434)))*0.125)</f>
        <v>0</v>
      </c>
      <c r="S434" s="1">
        <f>F434-((ABS(SUM(PL!Q434:S434)))*0.125)</f>
        <v>0</v>
      </c>
      <c r="T434" s="1">
        <f>G434-((ABS(SUM(PL!T434:V434)))*0.125)</f>
        <v>0</v>
      </c>
      <c r="U434" s="1">
        <f>P434 + Q434 + R434 + S434 + T434</f>
        <v>0</v>
      </c>
      <c r="V434" s="1">
        <f>IF(P434 + V433 &lt; 0, P434 + V433, 0)</f>
        <v>0</v>
      </c>
      <c r="W434" s="1">
        <f>IF(Q434 + W433 &lt; 0, Q434 + W433, 0)</f>
        <v>0</v>
      </c>
      <c r="X434" s="1">
        <f>IF(R434 + X433 &lt; 0, R434 + X433, 0)</f>
        <v>0</v>
      </c>
      <c r="Y434" s="1">
        <f>IF(S434 + Y433 &lt; 0, S434 + Y433, 0)</f>
        <v>0</v>
      </c>
      <c r="Z434" s="1">
        <f>IF(T434 + Z433 &lt; 0, T434 + Z433, 0)</f>
        <v>0</v>
      </c>
      <c r="AA434" s="1">
        <f>IF(U434 + AA433 &lt; 0, U434 + AA433, 0)</f>
        <v>0</v>
      </c>
      <c r="AB434" s="1">
        <f>IF(AA434 &lt; 0, 1 + AB433, 0)</f>
        <v>0</v>
      </c>
      <c r="AC434" s="1">
        <f>IF(H434&lt;0,1,0)</f>
        <v>0</v>
      </c>
      <c r="AD434" s="1">
        <f>IF(AC434=1,H434,0)</f>
        <v>0</v>
      </c>
      <c r="AE434" s="1">
        <f>IF(H434&gt;0,1,0)</f>
        <v>0</v>
      </c>
      <c r="AF434" s="1">
        <f>IF(AE434=1,H434,0)</f>
        <v>0</v>
      </c>
      <c r="AG434" s="1">
        <f>IF(AD434&lt;-20000000.0/100,1,0)</f>
        <v>0</v>
      </c>
      <c r="AH434" s="1">
        <f>IF(AF434&gt;20000000.0/100,1,0)</f>
        <v>0</v>
      </c>
      <c r="AI434" s="1">
        <f>IF(U434&lt;0,1,0)</f>
        <v>0</v>
      </c>
      <c r="AJ434" s="1">
        <f>IF(AI434=1,U434,0)</f>
        <v>0</v>
      </c>
      <c r="AK434" s="1">
        <f>IF(U434&gt;0,1,0)</f>
        <v>0</v>
      </c>
      <c r="AL434" s="1">
        <f>IF(AK434=1,U434,0)</f>
        <v>0</v>
      </c>
      <c r="AM434" s="1">
        <f>IF(AJ434&lt;-20000000.0/100,1,0)</f>
        <v>0</v>
      </c>
      <c r="AN434" s="1">
        <f>IF(AL434&gt;20000000.0/100,1,0)</f>
        <v>0</v>
      </c>
    </row>
    <row r="435" spans="1:40" s="1" customFormat="1">
      <c r="A435" s="3">
        <v>45931</v>
      </c>
      <c r="B435" s="2" t="s">
        <v>24</v>
      </c>
      <c r="C435" s="1">
        <f>SUM(PL!H435:J435)</f>
        <v>0</v>
      </c>
      <c r="D435" s="1">
        <f>SUM(PL!K435:M435)</f>
        <v>0</v>
      </c>
      <c r="E435" s="1">
        <f>SUM(PL!N435:P435)</f>
        <v>0</v>
      </c>
      <c r="F435" s="1">
        <f>SUM(PL!Q435:S435)</f>
        <v>0</v>
      </c>
      <c r="G435" s="1">
        <f>SUM(PL!T435:V435)</f>
        <v>0</v>
      </c>
      <c r="H435" s="1">
        <f>SUM(C435:G435)</f>
        <v>0</v>
      </c>
      <c r="I435" s="1">
        <f>IF(C435 + I434 &lt; 0, C435 + I434, 0)</f>
        <v>0</v>
      </c>
      <c r="J435" s="1">
        <f>IF(D435 + J434 &lt; 0, D435 + J434, 0)</f>
        <v>0</v>
      </c>
      <c r="K435" s="1">
        <f>IF(E435 + K434 &lt; 0, E435 + K434, 0)</f>
        <v>0</v>
      </c>
      <c r="L435" s="1">
        <f>IF(F435 + L434 &lt; 0, F435 + L434, 0)</f>
        <v>0</v>
      </c>
      <c r="M435" s="1">
        <f>IF(G435 + M434 &lt; 0, G435 + M434, 0)</f>
        <v>0</v>
      </c>
      <c r="N435" s="1">
        <f>IF(H435 + N434 &lt; 0, H435 + N434, 0)</f>
        <v>0</v>
      </c>
      <c r="O435" s="1">
        <f>IF(N435 &lt; 0, 1 + O434, 0)</f>
        <v>0</v>
      </c>
      <c r="P435" s="1">
        <f>C435-((ABS(SUM(PL!H435:J435)))*0.125)</f>
        <v>0</v>
      </c>
      <c r="Q435" s="1">
        <f>D435-((ABS(SUM(PL!K435:M435)))*0.125)</f>
        <v>0</v>
      </c>
      <c r="R435" s="1">
        <f>E435-((ABS(SUM(PL!N435:P435)))*0.125)</f>
        <v>0</v>
      </c>
      <c r="S435" s="1">
        <f>F435-((ABS(SUM(PL!Q435:S435)))*0.125)</f>
        <v>0</v>
      </c>
      <c r="T435" s="1">
        <f>G435-((ABS(SUM(PL!T435:V435)))*0.125)</f>
        <v>0</v>
      </c>
      <c r="U435" s="1">
        <f>P435 + Q435 + R435 + S435 + T435</f>
        <v>0</v>
      </c>
      <c r="V435" s="1">
        <f>IF(P435 + V434 &lt; 0, P435 + V434, 0)</f>
        <v>0</v>
      </c>
      <c r="W435" s="1">
        <f>IF(Q435 + W434 &lt; 0, Q435 + W434, 0)</f>
        <v>0</v>
      </c>
      <c r="X435" s="1">
        <f>IF(R435 + X434 &lt; 0, R435 + X434, 0)</f>
        <v>0</v>
      </c>
      <c r="Y435" s="1">
        <f>IF(S435 + Y434 &lt; 0, S435 + Y434, 0)</f>
        <v>0</v>
      </c>
      <c r="Z435" s="1">
        <f>IF(T435 + Z434 &lt; 0, T435 + Z434, 0)</f>
        <v>0</v>
      </c>
      <c r="AA435" s="1">
        <f>IF(U435 + AA434 &lt; 0, U435 + AA434, 0)</f>
        <v>0</v>
      </c>
      <c r="AB435" s="1">
        <f>IF(AA435 &lt; 0, 1 + AB434, 0)</f>
        <v>0</v>
      </c>
      <c r="AC435" s="1">
        <f>IF(H435&lt;0,1,0)</f>
        <v>0</v>
      </c>
      <c r="AD435" s="1">
        <f>IF(AC435=1,H435,0)</f>
        <v>0</v>
      </c>
      <c r="AE435" s="1">
        <f>IF(H435&gt;0,1,0)</f>
        <v>0</v>
      </c>
      <c r="AF435" s="1">
        <f>IF(AE435=1,H435,0)</f>
        <v>0</v>
      </c>
      <c r="AG435" s="1">
        <f>IF(AD435&lt;-20000000.0/100,1,0)</f>
        <v>0</v>
      </c>
      <c r="AH435" s="1">
        <f>IF(AF435&gt;20000000.0/100,1,0)</f>
        <v>0</v>
      </c>
      <c r="AI435" s="1">
        <f>IF(U435&lt;0,1,0)</f>
        <v>0</v>
      </c>
      <c r="AJ435" s="1">
        <f>IF(AI435=1,U435,0)</f>
        <v>0</v>
      </c>
      <c r="AK435" s="1">
        <f>IF(U435&gt;0,1,0)</f>
        <v>0</v>
      </c>
      <c r="AL435" s="1">
        <f>IF(AK435=1,U435,0)</f>
        <v>0</v>
      </c>
      <c r="AM435" s="1">
        <f>IF(AJ435&lt;-20000000.0/100,1,0)</f>
        <v>0</v>
      </c>
      <c r="AN435" s="1">
        <f>IF(AL435&gt;20000000.0/100,1,0)</f>
        <v>0</v>
      </c>
    </row>
    <row r="436" spans="1:40" s="1" customFormat="1">
      <c r="A436" s="3">
        <v>45933</v>
      </c>
      <c r="B436" s="2" t="s">
        <v>26</v>
      </c>
      <c r="C436" s="1">
        <f>SUM(PL!H436:J436)</f>
        <v>0</v>
      </c>
      <c r="D436" s="1">
        <f>SUM(PL!K436:M436)</f>
        <v>0</v>
      </c>
      <c r="E436" s="1">
        <f>SUM(PL!N436:P436)</f>
        <v>0</v>
      </c>
      <c r="F436" s="1">
        <f>SUM(PL!Q436:S436)</f>
        <v>0</v>
      </c>
      <c r="G436" s="1">
        <f>SUM(PL!T436:V436)</f>
        <v>0</v>
      </c>
      <c r="H436" s="1">
        <f>SUM(C436:G436)</f>
        <v>0</v>
      </c>
      <c r="I436" s="1">
        <f>IF(C436 + I435 &lt; 0, C436 + I435, 0)</f>
        <v>0</v>
      </c>
      <c r="J436" s="1">
        <f>IF(D436 + J435 &lt; 0, D436 + J435, 0)</f>
        <v>0</v>
      </c>
      <c r="K436" s="1">
        <f>IF(E436 + K435 &lt; 0, E436 + K435, 0)</f>
        <v>0</v>
      </c>
      <c r="L436" s="1">
        <f>IF(F436 + L435 &lt; 0, F436 + L435, 0)</f>
        <v>0</v>
      </c>
      <c r="M436" s="1">
        <f>IF(G436 + M435 &lt; 0, G436 + M435, 0)</f>
        <v>0</v>
      </c>
      <c r="N436" s="1">
        <f>IF(H436 + N435 &lt; 0, H436 + N435, 0)</f>
        <v>0</v>
      </c>
      <c r="O436" s="1">
        <f>IF(N436 &lt; 0, 1 + O435, 0)</f>
        <v>0</v>
      </c>
      <c r="P436" s="1">
        <f>C436-((ABS(SUM(PL!H436:J436)))*0.125)</f>
        <v>0</v>
      </c>
      <c r="Q436" s="1">
        <f>D436-((ABS(SUM(PL!K436:M436)))*0.125)</f>
        <v>0</v>
      </c>
      <c r="R436" s="1">
        <f>E436-((ABS(SUM(PL!N436:P436)))*0.125)</f>
        <v>0</v>
      </c>
      <c r="S436" s="1">
        <f>F436-((ABS(SUM(PL!Q436:S436)))*0.125)</f>
        <v>0</v>
      </c>
      <c r="T436" s="1">
        <f>G436-((ABS(SUM(PL!T436:V436)))*0.125)</f>
        <v>0</v>
      </c>
      <c r="U436" s="1">
        <f>P436 + Q436 + R436 + S436 + T436</f>
        <v>0</v>
      </c>
      <c r="V436" s="1">
        <f>IF(P436 + V435 &lt; 0, P436 + V435, 0)</f>
        <v>0</v>
      </c>
      <c r="W436" s="1">
        <f>IF(Q436 + W435 &lt; 0, Q436 + W435, 0)</f>
        <v>0</v>
      </c>
      <c r="X436" s="1">
        <f>IF(R436 + X435 &lt; 0, R436 + X435, 0)</f>
        <v>0</v>
      </c>
      <c r="Y436" s="1">
        <f>IF(S436 + Y435 &lt; 0, S436 + Y435, 0)</f>
        <v>0</v>
      </c>
      <c r="Z436" s="1">
        <f>IF(T436 + Z435 &lt; 0, T436 + Z435, 0)</f>
        <v>0</v>
      </c>
      <c r="AA436" s="1">
        <f>IF(U436 + AA435 &lt; 0, U436 + AA435, 0)</f>
        <v>0</v>
      </c>
      <c r="AB436" s="1">
        <f>IF(AA436 &lt; 0, 1 + AB435, 0)</f>
        <v>0</v>
      </c>
      <c r="AC436" s="1">
        <f>IF(H436&lt;0,1,0)</f>
        <v>0</v>
      </c>
      <c r="AD436" s="1">
        <f>IF(AC436=1,H436,0)</f>
        <v>0</v>
      </c>
      <c r="AE436" s="1">
        <f>IF(H436&gt;0,1,0)</f>
        <v>0</v>
      </c>
      <c r="AF436" s="1">
        <f>IF(AE436=1,H436,0)</f>
        <v>0</v>
      </c>
      <c r="AG436" s="1">
        <f>IF(AD436&lt;-20000000.0/100,1,0)</f>
        <v>0</v>
      </c>
      <c r="AH436" s="1">
        <f>IF(AF436&gt;20000000.0/100,1,0)</f>
        <v>0</v>
      </c>
      <c r="AI436" s="1">
        <f>IF(U436&lt;0,1,0)</f>
        <v>0</v>
      </c>
      <c r="AJ436" s="1">
        <f>IF(AI436=1,U436,0)</f>
        <v>0</v>
      </c>
      <c r="AK436" s="1">
        <f>IF(U436&gt;0,1,0)</f>
        <v>0</v>
      </c>
      <c r="AL436" s="1">
        <f>IF(AK436=1,U436,0)</f>
        <v>0</v>
      </c>
      <c r="AM436" s="1">
        <f>IF(AJ436&lt;-20000000.0/100,1,0)</f>
        <v>0</v>
      </c>
      <c r="AN436" s="1">
        <f>IF(AL436&gt;20000000.0/100,1,0)</f>
        <v>0</v>
      </c>
    </row>
    <row r="437" spans="1:40" s="1" customFormat="1">
      <c r="A437" s="3">
        <v>45936</v>
      </c>
      <c r="B437" s="2" t="s">
        <v>22</v>
      </c>
      <c r="C437" s="1">
        <f>SUM(PL!H437:J437)</f>
        <v>0</v>
      </c>
      <c r="D437" s="1">
        <f>SUM(PL!K437:M437)</f>
        <v>0</v>
      </c>
      <c r="E437" s="1">
        <f>SUM(PL!N437:P437)</f>
        <v>0</v>
      </c>
      <c r="F437" s="1">
        <f>SUM(PL!Q437:S437)</f>
        <v>0</v>
      </c>
      <c r="G437" s="1">
        <f>SUM(PL!T437:V437)</f>
        <v>0</v>
      </c>
      <c r="H437" s="1">
        <f>SUM(C437:G437)</f>
        <v>0</v>
      </c>
      <c r="I437" s="1">
        <f>IF(C437 + I436 &lt; 0, C437 + I436, 0)</f>
        <v>0</v>
      </c>
      <c r="J437" s="1">
        <f>IF(D437 + J436 &lt; 0, D437 + J436, 0)</f>
        <v>0</v>
      </c>
      <c r="K437" s="1">
        <f>IF(E437 + K436 &lt; 0, E437 + K436, 0)</f>
        <v>0</v>
      </c>
      <c r="L437" s="1">
        <f>IF(F437 + L436 &lt; 0, F437 + L436, 0)</f>
        <v>0</v>
      </c>
      <c r="M437" s="1">
        <f>IF(G437 + M436 &lt; 0, G437 + M436, 0)</f>
        <v>0</v>
      </c>
      <c r="N437" s="1">
        <f>IF(H437 + N436 &lt; 0, H437 + N436, 0)</f>
        <v>0</v>
      </c>
      <c r="O437" s="1">
        <f>IF(N437 &lt; 0, 1 + O436, 0)</f>
        <v>0</v>
      </c>
      <c r="P437" s="1">
        <f>C437-((ABS(SUM(PL!H437:J437)))*0.125)</f>
        <v>0</v>
      </c>
      <c r="Q437" s="1">
        <f>D437-((ABS(SUM(PL!K437:M437)))*0.125)</f>
        <v>0</v>
      </c>
      <c r="R437" s="1">
        <f>E437-((ABS(SUM(PL!N437:P437)))*0.125)</f>
        <v>0</v>
      </c>
      <c r="S437" s="1">
        <f>F437-((ABS(SUM(PL!Q437:S437)))*0.125)</f>
        <v>0</v>
      </c>
      <c r="T437" s="1">
        <f>G437-((ABS(SUM(PL!T437:V437)))*0.125)</f>
        <v>0</v>
      </c>
      <c r="U437" s="1">
        <f>P437 + Q437 + R437 + S437 + T437</f>
        <v>0</v>
      </c>
      <c r="V437" s="1">
        <f>IF(P437 + V436 &lt; 0, P437 + V436, 0)</f>
        <v>0</v>
      </c>
      <c r="W437" s="1">
        <f>IF(Q437 + W436 &lt; 0, Q437 + W436, 0)</f>
        <v>0</v>
      </c>
      <c r="X437" s="1">
        <f>IF(R437 + X436 &lt; 0, R437 + X436, 0)</f>
        <v>0</v>
      </c>
      <c r="Y437" s="1">
        <f>IF(S437 + Y436 &lt; 0, S437 + Y436, 0)</f>
        <v>0</v>
      </c>
      <c r="Z437" s="1">
        <f>IF(T437 + Z436 &lt; 0, T437 + Z436, 0)</f>
        <v>0</v>
      </c>
      <c r="AA437" s="1">
        <f>IF(U437 + AA436 &lt; 0, U437 + AA436, 0)</f>
        <v>0</v>
      </c>
      <c r="AB437" s="1">
        <f>IF(AA437 &lt; 0, 1 + AB436, 0)</f>
        <v>0</v>
      </c>
      <c r="AC437" s="1">
        <f>IF(H437&lt;0,1,0)</f>
        <v>0</v>
      </c>
      <c r="AD437" s="1">
        <f>IF(AC437=1,H437,0)</f>
        <v>0</v>
      </c>
      <c r="AE437" s="1">
        <f>IF(H437&gt;0,1,0)</f>
        <v>0</v>
      </c>
      <c r="AF437" s="1">
        <f>IF(AE437=1,H437,0)</f>
        <v>0</v>
      </c>
      <c r="AG437" s="1">
        <f>IF(AD437&lt;-20000000.0/100,1,0)</f>
        <v>0</v>
      </c>
      <c r="AH437" s="1">
        <f>IF(AF437&gt;20000000.0/100,1,0)</f>
        <v>0</v>
      </c>
      <c r="AI437" s="1">
        <f>IF(U437&lt;0,1,0)</f>
        <v>0</v>
      </c>
      <c r="AJ437" s="1">
        <f>IF(AI437=1,U437,0)</f>
        <v>0</v>
      </c>
      <c r="AK437" s="1">
        <f>IF(U437&gt;0,1,0)</f>
        <v>0</v>
      </c>
      <c r="AL437" s="1">
        <f>IF(AK437=1,U437,0)</f>
        <v>0</v>
      </c>
      <c r="AM437" s="1">
        <f>IF(AJ437&lt;-20000000.0/100,1,0)</f>
        <v>0</v>
      </c>
      <c r="AN437" s="1">
        <f>IF(AL437&gt;20000000.0/100,1,0)</f>
        <v>0</v>
      </c>
    </row>
    <row r="438" spans="1:40" s="1" customFormat="1">
      <c r="A438" s="3">
        <v>45937</v>
      </c>
      <c r="B438" s="2" t="s">
        <v>23</v>
      </c>
      <c r="C438" s="1">
        <f>SUM(PL!H438:J438)</f>
        <v>0</v>
      </c>
      <c r="D438" s="1">
        <f>SUM(PL!K438:M438)</f>
        <v>0</v>
      </c>
      <c r="E438" s="1">
        <f>SUM(PL!N438:P438)</f>
        <v>0</v>
      </c>
      <c r="F438" s="1">
        <f>SUM(PL!Q438:S438)</f>
        <v>0</v>
      </c>
      <c r="G438" s="1">
        <f>SUM(PL!T438:V438)</f>
        <v>0</v>
      </c>
      <c r="H438" s="1">
        <f>SUM(C438:G438)</f>
        <v>0</v>
      </c>
      <c r="I438" s="1">
        <f>IF(C438 + I437 &lt; 0, C438 + I437, 0)</f>
        <v>0</v>
      </c>
      <c r="J438" s="1">
        <f>IF(D438 + J437 &lt; 0, D438 + J437, 0)</f>
        <v>0</v>
      </c>
      <c r="K438" s="1">
        <f>IF(E438 + K437 &lt; 0, E438 + K437, 0)</f>
        <v>0</v>
      </c>
      <c r="L438" s="1">
        <f>IF(F438 + L437 &lt; 0, F438 + L437, 0)</f>
        <v>0</v>
      </c>
      <c r="M438" s="1">
        <f>IF(G438 + M437 &lt; 0, G438 + M437, 0)</f>
        <v>0</v>
      </c>
      <c r="N438" s="1">
        <f>IF(H438 + N437 &lt; 0, H438 + N437, 0)</f>
        <v>0</v>
      </c>
      <c r="O438" s="1">
        <f>IF(N438 &lt; 0, 1 + O437, 0)</f>
        <v>0</v>
      </c>
      <c r="P438" s="1">
        <f>C438-((ABS(SUM(PL!H438:J438)))*0.125)</f>
        <v>0</v>
      </c>
      <c r="Q438" s="1">
        <f>D438-((ABS(SUM(PL!K438:M438)))*0.125)</f>
        <v>0</v>
      </c>
      <c r="R438" s="1">
        <f>E438-((ABS(SUM(PL!N438:P438)))*0.125)</f>
        <v>0</v>
      </c>
      <c r="S438" s="1">
        <f>F438-((ABS(SUM(PL!Q438:S438)))*0.125)</f>
        <v>0</v>
      </c>
      <c r="T438" s="1">
        <f>G438-((ABS(SUM(PL!T438:V438)))*0.125)</f>
        <v>0</v>
      </c>
      <c r="U438" s="1">
        <f>P438 + Q438 + R438 + S438 + T438</f>
        <v>0</v>
      </c>
      <c r="V438" s="1">
        <f>IF(P438 + V437 &lt; 0, P438 + V437, 0)</f>
        <v>0</v>
      </c>
      <c r="W438" s="1">
        <f>IF(Q438 + W437 &lt; 0, Q438 + W437, 0)</f>
        <v>0</v>
      </c>
      <c r="X438" s="1">
        <f>IF(R438 + X437 &lt; 0, R438 + X437, 0)</f>
        <v>0</v>
      </c>
      <c r="Y438" s="1">
        <f>IF(S438 + Y437 &lt; 0, S438 + Y437, 0)</f>
        <v>0</v>
      </c>
      <c r="Z438" s="1">
        <f>IF(T438 + Z437 &lt; 0, T438 + Z437, 0)</f>
        <v>0</v>
      </c>
      <c r="AA438" s="1">
        <f>IF(U438 + AA437 &lt; 0, U438 + AA437, 0)</f>
        <v>0</v>
      </c>
      <c r="AB438" s="1">
        <f>IF(AA438 &lt; 0, 1 + AB437, 0)</f>
        <v>0</v>
      </c>
      <c r="AC438" s="1">
        <f>IF(H438&lt;0,1,0)</f>
        <v>0</v>
      </c>
      <c r="AD438" s="1">
        <f>IF(AC438=1,H438,0)</f>
        <v>0</v>
      </c>
      <c r="AE438" s="1">
        <f>IF(H438&gt;0,1,0)</f>
        <v>0</v>
      </c>
      <c r="AF438" s="1">
        <f>IF(AE438=1,H438,0)</f>
        <v>0</v>
      </c>
      <c r="AG438" s="1">
        <f>IF(AD438&lt;-20000000.0/100,1,0)</f>
        <v>0</v>
      </c>
      <c r="AH438" s="1">
        <f>IF(AF438&gt;20000000.0/100,1,0)</f>
        <v>0</v>
      </c>
      <c r="AI438" s="1">
        <f>IF(U438&lt;0,1,0)</f>
        <v>0</v>
      </c>
      <c r="AJ438" s="1">
        <f>IF(AI438=1,U438,0)</f>
        <v>0</v>
      </c>
      <c r="AK438" s="1">
        <f>IF(U438&gt;0,1,0)</f>
        <v>0</v>
      </c>
      <c r="AL438" s="1">
        <f>IF(AK438=1,U438,0)</f>
        <v>0</v>
      </c>
      <c r="AM438" s="1">
        <f>IF(AJ438&lt;-20000000.0/100,1,0)</f>
        <v>0</v>
      </c>
      <c r="AN438" s="1">
        <f>IF(AL438&gt;20000000.0/100,1,0)</f>
        <v>0</v>
      </c>
    </row>
    <row r="439" spans="1:40" s="1" customFormat="1">
      <c r="A439" s="3">
        <v>45938</v>
      </c>
      <c r="B439" s="2" t="s">
        <v>24</v>
      </c>
      <c r="C439" s="1">
        <f>SUM(PL!H439:J439)</f>
        <v>0</v>
      </c>
      <c r="D439" s="1">
        <f>SUM(PL!K439:M439)</f>
        <v>0</v>
      </c>
      <c r="E439" s="1">
        <f>SUM(PL!N439:P439)</f>
        <v>0</v>
      </c>
      <c r="F439" s="1">
        <f>SUM(PL!Q439:S439)</f>
        <v>0</v>
      </c>
      <c r="G439" s="1">
        <f>SUM(PL!T439:V439)</f>
        <v>0</v>
      </c>
      <c r="H439" s="1">
        <f>SUM(C439:G439)</f>
        <v>0</v>
      </c>
      <c r="I439" s="1">
        <f>IF(C439 + I438 &lt; 0, C439 + I438, 0)</f>
        <v>0</v>
      </c>
      <c r="J439" s="1">
        <f>IF(D439 + J438 &lt; 0, D439 + J438, 0)</f>
        <v>0</v>
      </c>
      <c r="K439" s="1">
        <f>IF(E439 + K438 &lt; 0, E439 + K438, 0)</f>
        <v>0</v>
      </c>
      <c r="L439" s="1">
        <f>IF(F439 + L438 &lt; 0, F439 + L438, 0)</f>
        <v>0</v>
      </c>
      <c r="M439" s="1">
        <f>IF(G439 + M438 &lt; 0, G439 + M438, 0)</f>
        <v>0</v>
      </c>
      <c r="N439" s="1">
        <f>IF(H439 + N438 &lt; 0, H439 + N438, 0)</f>
        <v>0</v>
      </c>
      <c r="O439" s="1">
        <f>IF(N439 &lt; 0, 1 + O438, 0)</f>
        <v>0</v>
      </c>
      <c r="P439" s="1">
        <f>C439-((ABS(SUM(PL!H439:J439)))*0.125)</f>
        <v>0</v>
      </c>
      <c r="Q439" s="1">
        <f>D439-((ABS(SUM(PL!K439:M439)))*0.125)</f>
        <v>0</v>
      </c>
      <c r="R439" s="1">
        <f>E439-((ABS(SUM(PL!N439:P439)))*0.125)</f>
        <v>0</v>
      </c>
      <c r="S439" s="1">
        <f>F439-((ABS(SUM(PL!Q439:S439)))*0.125)</f>
        <v>0</v>
      </c>
      <c r="T439" s="1">
        <f>G439-((ABS(SUM(PL!T439:V439)))*0.125)</f>
        <v>0</v>
      </c>
      <c r="U439" s="1">
        <f>P439 + Q439 + R439 + S439 + T439</f>
        <v>0</v>
      </c>
      <c r="V439" s="1">
        <f>IF(P439 + V438 &lt; 0, P439 + V438, 0)</f>
        <v>0</v>
      </c>
      <c r="W439" s="1">
        <f>IF(Q439 + W438 &lt; 0, Q439 + W438, 0)</f>
        <v>0</v>
      </c>
      <c r="X439" s="1">
        <f>IF(R439 + X438 &lt; 0, R439 + X438, 0)</f>
        <v>0</v>
      </c>
      <c r="Y439" s="1">
        <f>IF(S439 + Y438 &lt; 0, S439 + Y438, 0)</f>
        <v>0</v>
      </c>
      <c r="Z439" s="1">
        <f>IF(T439 + Z438 &lt; 0, T439 + Z438, 0)</f>
        <v>0</v>
      </c>
      <c r="AA439" s="1">
        <f>IF(U439 + AA438 &lt; 0, U439 + AA438, 0)</f>
        <v>0</v>
      </c>
      <c r="AB439" s="1">
        <f>IF(AA439 &lt; 0, 1 + AB438, 0)</f>
        <v>0</v>
      </c>
      <c r="AC439" s="1">
        <f>IF(H439&lt;0,1,0)</f>
        <v>0</v>
      </c>
      <c r="AD439" s="1">
        <f>IF(AC439=1,H439,0)</f>
        <v>0</v>
      </c>
      <c r="AE439" s="1">
        <f>IF(H439&gt;0,1,0)</f>
        <v>0</v>
      </c>
      <c r="AF439" s="1">
        <f>IF(AE439=1,H439,0)</f>
        <v>0</v>
      </c>
      <c r="AG439" s="1">
        <f>IF(AD439&lt;-20000000.0/100,1,0)</f>
        <v>0</v>
      </c>
      <c r="AH439" s="1">
        <f>IF(AF439&gt;20000000.0/100,1,0)</f>
        <v>0</v>
      </c>
      <c r="AI439" s="1">
        <f>IF(U439&lt;0,1,0)</f>
        <v>0</v>
      </c>
      <c r="AJ439" s="1">
        <f>IF(AI439=1,U439,0)</f>
        <v>0</v>
      </c>
      <c r="AK439" s="1">
        <f>IF(U439&gt;0,1,0)</f>
        <v>0</v>
      </c>
      <c r="AL439" s="1">
        <f>IF(AK439=1,U439,0)</f>
        <v>0</v>
      </c>
      <c r="AM439" s="1">
        <f>IF(AJ439&lt;-20000000.0/100,1,0)</f>
        <v>0</v>
      </c>
      <c r="AN439" s="1">
        <f>IF(AL439&gt;20000000.0/100,1,0)</f>
        <v>0</v>
      </c>
    </row>
    <row r="440" spans="1:40" s="1" customFormat="1">
      <c r="A440" s="3">
        <v>45939</v>
      </c>
      <c r="B440" s="2" t="s">
        <v>25</v>
      </c>
      <c r="C440" s="1">
        <f>SUM(PL!H440:J440)</f>
        <v>0</v>
      </c>
      <c r="D440" s="1">
        <f>SUM(PL!K440:M440)</f>
        <v>0</v>
      </c>
      <c r="E440" s="1">
        <f>SUM(PL!N440:P440)</f>
        <v>0</v>
      </c>
      <c r="F440" s="1">
        <f>SUM(PL!Q440:S440)</f>
        <v>0</v>
      </c>
      <c r="G440" s="1">
        <f>SUM(PL!T440:V440)</f>
        <v>0</v>
      </c>
      <c r="H440" s="1">
        <f>SUM(C440:G440)</f>
        <v>0</v>
      </c>
      <c r="I440" s="1">
        <f>IF(C440 + I439 &lt; 0, C440 + I439, 0)</f>
        <v>0</v>
      </c>
      <c r="J440" s="1">
        <f>IF(D440 + J439 &lt; 0, D440 + J439, 0)</f>
        <v>0</v>
      </c>
      <c r="K440" s="1">
        <f>IF(E440 + K439 &lt; 0, E440 + K439, 0)</f>
        <v>0</v>
      </c>
      <c r="L440" s="1">
        <f>IF(F440 + L439 &lt; 0, F440 + L439, 0)</f>
        <v>0</v>
      </c>
      <c r="M440" s="1">
        <f>IF(G440 + M439 &lt; 0, G440 + M439, 0)</f>
        <v>0</v>
      </c>
      <c r="N440" s="1">
        <f>IF(H440 + N439 &lt; 0, H440 + N439, 0)</f>
        <v>0</v>
      </c>
      <c r="O440" s="1">
        <f>IF(N440 &lt; 0, 1 + O439, 0)</f>
        <v>0</v>
      </c>
      <c r="P440" s="1">
        <f>C440-((ABS(SUM(PL!H440:J440)))*0.125)</f>
        <v>0</v>
      </c>
      <c r="Q440" s="1">
        <f>D440-((ABS(SUM(PL!K440:M440)))*0.125)</f>
        <v>0</v>
      </c>
      <c r="R440" s="1">
        <f>E440-((ABS(SUM(PL!N440:P440)))*0.125)</f>
        <v>0</v>
      </c>
      <c r="S440" s="1">
        <f>F440-((ABS(SUM(PL!Q440:S440)))*0.125)</f>
        <v>0</v>
      </c>
      <c r="T440" s="1">
        <f>G440-((ABS(SUM(PL!T440:V440)))*0.125)</f>
        <v>0</v>
      </c>
      <c r="U440" s="1">
        <f>P440 + Q440 + R440 + S440 + T440</f>
        <v>0</v>
      </c>
      <c r="V440" s="1">
        <f>IF(P440 + V439 &lt; 0, P440 + V439, 0)</f>
        <v>0</v>
      </c>
      <c r="W440" s="1">
        <f>IF(Q440 + W439 &lt; 0, Q440 + W439, 0)</f>
        <v>0</v>
      </c>
      <c r="X440" s="1">
        <f>IF(R440 + X439 &lt; 0, R440 + X439, 0)</f>
        <v>0</v>
      </c>
      <c r="Y440" s="1">
        <f>IF(S440 + Y439 &lt; 0, S440 + Y439, 0)</f>
        <v>0</v>
      </c>
      <c r="Z440" s="1">
        <f>IF(T440 + Z439 &lt; 0, T440 + Z439, 0)</f>
        <v>0</v>
      </c>
      <c r="AA440" s="1">
        <f>IF(U440 + AA439 &lt; 0, U440 + AA439, 0)</f>
        <v>0</v>
      </c>
      <c r="AB440" s="1">
        <f>IF(AA440 &lt; 0, 1 + AB439, 0)</f>
        <v>0</v>
      </c>
      <c r="AC440" s="1">
        <f>IF(H440&lt;0,1,0)</f>
        <v>0</v>
      </c>
      <c r="AD440" s="1">
        <f>IF(AC440=1,H440,0)</f>
        <v>0</v>
      </c>
      <c r="AE440" s="1">
        <f>IF(H440&gt;0,1,0)</f>
        <v>0</v>
      </c>
      <c r="AF440" s="1">
        <f>IF(AE440=1,H440,0)</f>
        <v>0</v>
      </c>
      <c r="AG440" s="1">
        <f>IF(AD440&lt;-20000000.0/100,1,0)</f>
        <v>0</v>
      </c>
      <c r="AH440" s="1">
        <f>IF(AF440&gt;20000000.0/100,1,0)</f>
        <v>0</v>
      </c>
      <c r="AI440" s="1">
        <f>IF(U440&lt;0,1,0)</f>
        <v>0</v>
      </c>
      <c r="AJ440" s="1">
        <f>IF(AI440=1,U440,0)</f>
        <v>0</v>
      </c>
      <c r="AK440" s="1">
        <f>IF(U440&gt;0,1,0)</f>
        <v>0</v>
      </c>
      <c r="AL440" s="1">
        <f>IF(AK440=1,U440,0)</f>
        <v>0</v>
      </c>
      <c r="AM440" s="1">
        <f>IF(AJ440&lt;-20000000.0/100,1,0)</f>
        <v>0</v>
      </c>
      <c r="AN440" s="1">
        <f>IF(AL440&gt;20000000.0/100,1,0)</f>
        <v>0</v>
      </c>
    </row>
    <row r="441" spans="1:40" s="1" customFormat="1">
      <c r="A441" s="3">
        <v>45940</v>
      </c>
      <c r="B441" s="2" t="s">
        <v>26</v>
      </c>
      <c r="C441" s="1">
        <f>SUM(PL!H441:J441)</f>
        <v>0</v>
      </c>
      <c r="D441" s="1">
        <f>SUM(PL!K441:M441)</f>
        <v>0</v>
      </c>
      <c r="E441" s="1">
        <f>SUM(PL!N441:P441)</f>
        <v>0</v>
      </c>
      <c r="F441" s="1">
        <f>SUM(PL!Q441:S441)</f>
        <v>0</v>
      </c>
      <c r="G441" s="1">
        <f>SUM(PL!T441:V441)</f>
        <v>0</v>
      </c>
      <c r="H441" s="1">
        <f>SUM(C441:G441)</f>
        <v>0</v>
      </c>
      <c r="I441" s="1">
        <f>IF(C441 + I440 &lt; 0, C441 + I440, 0)</f>
        <v>0</v>
      </c>
      <c r="J441" s="1">
        <f>IF(D441 + J440 &lt; 0, D441 + J440, 0)</f>
        <v>0</v>
      </c>
      <c r="K441" s="1">
        <f>IF(E441 + K440 &lt; 0, E441 + K440, 0)</f>
        <v>0</v>
      </c>
      <c r="L441" s="1">
        <f>IF(F441 + L440 &lt; 0, F441 + L440, 0)</f>
        <v>0</v>
      </c>
      <c r="M441" s="1">
        <f>IF(G441 + M440 &lt; 0, G441 + M440, 0)</f>
        <v>0</v>
      </c>
      <c r="N441" s="1">
        <f>IF(H441 + N440 &lt; 0, H441 + N440, 0)</f>
        <v>0</v>
      </c>
      <c r="O441" s="1">
        <f>IF(N441 &lt; 0, 1 + O440, 0)</f>
        <v>0</v>
      </c>
      <c r="P441" s="1">
        <f>C441-((ABS(SUM(PL!H441:J441)))*0.125)</f>
        <v>0</v>
      </c>
      <c r="Q441" s="1">
        <f>D441-((ABS(SUM(PL!K441:M441)))*0.125)</f>
        <v>0</v>
      </c>
      <c r="R441" s="1">
        <f>E441-((ABS(SUM(PL!N441:P441)))*0.125)</f>
        <v>0</v>
      </c>
      <c r="S441" s="1">
        <f>F441-((ABS(SUM(PL!Q441:S441)))*0.125)</f>
        <v>0</v>
      </c>
      <c r="T441" s="1">
        <f>G441-((ABS(SUM(PL!T441:V441)))*0.125)</f>
        <v>0</v>
      </c>
      <c r="U441" s="1">
        <f>P441 + Q441 + R441 + S441 + T441</f>
        <v>0</v>
      </c>
      <c r="V441" s="1">
        <f>IF(P441 + V440 &lt; 0, P441 + V440, 0)</f>
        <v>0</v>
      </c>
      <c r="W441" s="1">
        <f>IF(Q441 + W440 &lt; 0, Q441 + W440, 0)</f>
        <v>0</v>
      </c>
      <c r="X441" s="1">
        <f>IF(R441 + X440 &lt; 0, R441 + X440, 0)</f>
        <v>0</v>
      </c>
      <c r="Y441" s="1">
        <f>IF(S441 + Y440 &lt; 0, S441 + Y440, 0)</f>
        <v>0</v>
      </c>
      <c r="Z441" s="1">
        <f>IF(T441 + Z440 &lt; 0, T441 + Z440, 0)</f>
        <v>0</v>
      </c>
      <c r="AA441" s="1">
        <f>IF(U441 + AA440 &lt; 0, U441 + AA440, 0)</f>
        <v>0</v>
      </c>
      <c r="AB441" s="1">
        <f>IF(AA441 &lt; 0, 1 + AB440, 0)</f>
        <v>0</v>
      </c>
      <c r="AC441" s="1">
        <f>IF(H441&lt;0,1,0)</f>
        <v>0</v>
      </c>
      <c r="AD441" s="1">
        <f>IF(AC441=1,H441,0)</f>
        <v>0</v>
      </c>
      <c r="AE441" s="1">
        <f>IF(H441&gt;0,1,0)</f>
        <v>0</v>
      </c>
      <c r="AF441" s="1">
        <f>IF(AE441=1,H441,0)</f>
        <v>0</v>
      </c>
      <c r="AG441" s="1">
        <f>IF(AD441&lt;-20000000.0/100,1,0)</f>
        <v>0</v>
      </c>
      <c r="AH441" s="1">
        <f>IF(AF441&gt;20000000.0/100,1,0)</f>
        <v>0</v>
      </c>
      <c r="AI441" s="1">
        <f>IF(U441&lt;0,1,0)</f>
        <v>0</v>
      </c>
      <c r="AJ441" s="1">
        <f>IF(AI441=1,U441,0)</f>
        <v>0</v>
      </c>
      <c r="AK441" s="1">
        <f>IF(U441&gt;0,1,0)</f>
        <v>0</v>
      </c>
      <c r="AL441" s="1">
        <f>IF(AK441=1,U441,0)</f>
        <v>0</v>
      </c>
      <c r="AM441" s="1">
        <f>IF(AJ441&lt;-20000000.0/100,1,0)</f>
        <v>0</v>
      </c>
      <c r="AN441" s="1">
        <f>IF(AL441&gt;20000000.0/100,1,0)</f>
        <v>0</v>
      </c>
    </row>
    <row r="442" spans="1:40" s="1" customFormat="1">
      <c r="A442" s="3">
        <v>45943</v>
      </c>
      <c r="B442" s="2" t="s">
        <v>22</v>
      </c>
      <c r="C442" s="1">
        <f>SUM(PL!H442:J442)</f>
        <v>0</v>
      </c>
      <c r="D442" s="1">
        <f>SUM(PL!K442:M442)</f>
        <v>0</v>
      </c>
      <c r="E442" s="1">
        <f>SUM(PL!N442:P442)</f>
        <v>0</v>
      </c>
      <c r="F442" s="1">
        <f>SUM(PL!Q442:S442)</f>
        <v>0</v>
      </c>
      <c r="G442" s="1">
        <f>SUM(PL!T442:V442)</f>
        <v>0</v>
      </c>
      <c r="H442" s="1">
        <f>SUM(C442:G442)</f>
        <v>0</v>
      </c>
      <c r="I442" s="1">
        <f>IF(C442 + I441 &lt; 0, C442 + I441, 0)</f>
        <v>0</v>
      </c>
      <c r="J442" s="1">
        <f>IF(D442 + J441 &lt; 0, D442 + J441, 0)</f>
        <v>0</v>
      </c>
      <c r="K442" s="1">
        <f>IF(E442 + K441 &lt; 0, E442 + K441, 0)</f>
        <v>0</v>
      </c>
      <c r="L442" s="1">
        <f>IF(F442 + L441 &lt; 0, F442 + L441, 0)</f>
        <v>0</v>
      </c>
      <c r="M442" s="1">
        <f>IF(G442 + M441 &lt; 0, G442 + M441, 0)</f>
        <v>0</v>
      </c>
      <c r="N442" s="1">
        <f>IF(H442 + N441 &lt; 0, H442 + N441, 0)</f>
        <v>0</v>
      </c>
      <c r="O442" s="1">
        <f>IF(N442 &lt; 0, 1 + O441, 0)</f>
        <v>0</v>
      </c>
      <c r="P442" s="1">
        <f>C442-((ABS(SUM(PL!H442:J442)))*0.125)</f>
        <v>0</v>
      </c>
      <c r="Q442" s="1">
        <f>D442-((ABS(SUM(PL!K442:M442)))*0.125)</f>
        <v>0</v>
      </c>
      <c r="R442" s="1">
        <f>E442-((ABS(SUM(PL!N442:P442)))*0.125)</f>
        <v>0</v>
      </c>
      <c r="S442" s="1">
        <f>F442-((ABS(SUM(PL!Q442:S442)))*0.125)</f>
        <v>0</v>
      </c>
      <c r="T442" s="1">
        <f>G442-((ABS(SUM(PL!T442:V442)))*0.125)</f>
        <v>0</v>
      </c>
      <c r="U442" s="1">
        <f>P442 + Q442 + R442 + S442 + T442</f>
        <v>0</v>
      </c>
      <c r="V442" s="1">
        <f>IF(P442 + V441 &lt; 0, P442 + V441, 0)</f>
        <v>0</v>
      </c>
      <c r="W442" s="1">
        <f>IF(Q442 + W441 &lt; 0, Q442 + W441, 0)</f>
        <v>0</v>
      </c>
      <c r="X442" s="1">
        <f>IF(R442 + X441 &lt; 0, R442 + X441, 0)</f>
        <v>0</v>
      </c>
      <c r="Y442" s="1">
        <f>IF(S442 + Y441 &lt; 0, S442 + Y441, 0)</f>
        <v>0</v>
      </c>
      <c r="Z442" s="1">
        <f>IF(T442 + Z441 &lt; 0, T442 + Z441, 0)</f>
        <v>0</v>
      </c>
      <c r="AA442" s="1">
        <f>IF(U442 + AA441 &lt; 0, U442 + AA441, 0)</f>
        <v>0</v>
      </c>
      <c r="AB442" s="1">
        <f>IF(AA442 &lt; 0, 1 + AB441, 0)</f>
        <v>0</v>
      </c>
      <c r="AC442" s="1">
        <f>IF(H442&lt;0,1,0)</f>
        <v>0</v>
      </c>
      <c r="AD442" s="1">
        <f>IF(AC442=1,H442,0)</f>
        <v>0</v>
      </c>
      <c r="AE442" s="1">
        <f>IF(H442&gt;0,1,0)</f>
        <v>0</v>
      </c>
      <c r="AF442" s="1">
        <f>IF(AE442=1,H442,0)</f>
        <v>0</v>
      </c>
      <c r="AG442" s="1">
        <f>IF(AD442&lt;-20000000.0/100,1,0)</f>
        <v>0</v>
      </c>
      <c r="AH442" s="1">
        <f>IF(AF442&gt;20000000.0/100,1,0)</f>
        <v>0</v>
      </c>
      <c r="AI442" s="1">
        <f>IF(U442&lt;0,1,0)</f>
        <v>0</v>
      </c>
      <c r="AJ442" s="1">
        <f>IF(AI442=1,U442,0)</f>
        <v>0</v>
      </c>
      <c r="AK442" s="1">
        <f>IF(U442&gt;0,1,0)</f>
        <v>0</v>
      </c>
      <c r="AL442" s="1">
        <f>IF(AK442=1,U442,0)</f>
        <v>0</v>
      </c>
      <c r="AM442" s="1">
        <f>IF(AJ442&lt;-20000000.0/100,1,0)</f>
        <v>0</v>
      </c>
      <c r="AN442" s="1">
        <f>IF(AL442&gt;20000000.0/100,1,0)</f>
        <v>0</v>
      </c>
    </row>
    <row r="443" spans="1:40" s="1" customFormat="1">
      <c r="A443" s="3">
        <v>45944</v>
      </c>
      <c r="B443" s="2" t="s">
        <v>23</v>
      </c>
      <c r="C443" s="1">
        <f>SUM(PL!H443:J443)</f>
        <v>0</v>
      </c>
      <c r="D443" s="1">
        <f>SUM(PL!K443:M443)</f>
        <v>0</v>
      </c>
      <c r="E443" s="1">
        <f>SUM(PL!N443:P443)</f>
        <v>0</v>
      </c>
      <c r="F443" s="1">
        <f>SUM(PL!Q443:S443)</f>
        <v>0</v>
      </c>
      <c r="G443" s="1">
        <f>SUM(PL!T443:V443)</f>
        <v>0</v>
      </c>
      <c r="H443" s="1">
        <f>SUM(C443:G443)</f>
        <v>0</v>
      </c>
      <c r="I443" s="1">
        <f>IF(C443 + I442 &lt; 0, C443 + I442, 0)</f>
        <v>0</v>
      </c>
      <c r="J443" s="1">
        <f>IF(D443 + J442 &lt; 0, D443 + J442, 0)</f>
        <v>0</v>
      </c>
      <c r="K443" s="1">
        <f>IF(E443 + K442 &lt; 0, E443 + K442, 0)</f>
        <v>0</v>
      </c>
      <c r="L443" s="1">
        <f>IF(F443 + L442 &lt; 0, F443 + L442, 0)</f>
        <v>0</v>
      </c>
      <c r="M443" s="1">
        <f>IF(G443 + M442 &lt; 0, G443 + M442, 0)</f>
        <v>0</v>
      </c>
      <c r="N443" s="1">
        <f>IF(H443 + N442 &lt; 0, H443 + N442, 0)</f>
        <v>0</v>
      </c>
      <c r="O443" s="1">
        <f>IF(N443 &lt; 0, 1 + O442, 0)</f>
        <v>0</v>
      </c>
      <c r="P443" s="1">
        <f>C443-((ABS(SUM(PL!H443:J443)))*0.125)</f>
        <v>0</v>
      </c>
      <c r="Q443" s="1">
        <f>D443-((ABS(SUM(PL!K443:M443)))*0.125)</f>
        <v>0</v>
      </c>
      <c r="R443" s="1">
        <f>E443-((ABS(SUM(PL!N443:P443)))*0.125)</f>
        <v>0</v>
      </c>
      <c r="S443" s="1">
        <f>F443-((ABS(SUM(PL!Q443:S443)))*0.125)</f>
        <v>0</v>
      </c>
      <c r="T443" s="1">
        <f>G443-((ABS(SUM(PL!T443:V443)))*0.125)</f>
        <v>0</v>
      </c>
      <c r="U443" s="1">
        <f>P443 + Q443 + R443 + S443 + T443</f>
        <v>0</v>
      </c>
      <c r="V443" s="1">
        <f>IF(P443 + V442 &lt; 0, P443 + V442, 0)</f>
        <v>0</v>
      </c>
      <c r="W443" s="1">
        <f>IF(Q443 + W442 &lt; 0, Q443 + W442, 0)</f>
        <v>0</v>
      </c>
      <c r="X443" s="1">
        <f>IF(R443 + X442 &lt; 0, R443 + X442, 0)</f>
        <v>0</v>
      </c>
      <c r="Y443" s="1">
        <f>IF(S443 + Y442 &lt; 0, S443 + Y442, 0)</f>
        <v>0</v>
      </c>
      <c r="Z443" s="1">
        <f>IF(T443 + Z442 &lt; 0, T443 + Z442, 0)</f>
        <v>0</v>
      </c>
      <c r="AA443" s="1">
        <f>IF(U443 + AA442 &lt; 0, U443 + AA442, 0)</f>
        <v>0</v>
      </c>
      <c r="AB443" s="1">
        <f>IF(AA443 &lt; 0, 1 + AB442, 0)</f>
        <v>0</v>
      </c>
      <c r="AC443" s="1">
        <f>IF(H443&lt;0,1,0)</f>
        <v>0</v>
      </c>
      <c r="AD443" s="1">
        <f>IF(AC443=1,H443,0)</f>
        <v>0</v>
      </c>
      <c r="AE443" s="1">
        <f>IF(H443&gt;0,1,0)</f>
        <v>0</v>
      </c>
      <c r="AF443" s="1">
        <f>IF(AE443=1,H443,0)</f>
        <v>0</v>
      </c>
      <c r="AG443" s="1">
        <f>IF(AD443&lt;-20000000.0/100,1,0)</f>
        <v>0</v>
      </c>
      <c r="AH443" s="1">
        <f>IF(AF443&gt;20000000.0/100,1,0)</f>
        <v>0</v>
      </c>
      <c r="AI443" s="1">
        <f>IF(U443&lt;0,1,0)</f>
        <v>0</v>
      </c>
      <c r="AJ443" s="1">
        <f>IF(AI443=1,U443,0)</f>
        <v>0</v>
      </c>
      <c r="AK443" s="1">
        <f>IF(U443&gt;0,1,0)</f>
        <v>0</v>
      </c>
      <c r="AL443" s="1">
        <f>IF(AK443=1,U443,0)</f>
        <v>0</v>
      </c>
      <c r="AM443" s="1">
        <f>IF(AJ443&lt;-20000000.0/100,1,0)</f>
        <v>0</v>
      </c>
      <c r="AN443" s="1">
        <f>IF(AL443&gt;20000000.0/100,1,0)</f>
        <v>0</v>
      </c>
    </row>
    <row r="444" spans="1:40" s="1" customFormat="1">
      <c r="A444" s="3">
        <v>45945</v>
      </c>
      <c r="B444" s="2" t="s">
        <v>24</v>
      </c>
      <c r="C444" s="1">
        <f>SUM(PL!H444:J444)</f>
        <v>0</v>
      </c>
      <c r="D444" s="1">
        <f>SUM(PL!K444:M444)</f>
        <v>0</v>
      </c>
      <c r="E444" s="1">
        <f>SUM(PL!N444:P444)</f>
        <v>0</v>
      </c>
      <c r="F444" s="1">
        <f>SUM(PL!Q444:S444)</f>
        <v>0</v>
      </c>
      <c r="G444" s="1">
        <f>SUM(PL!T444:V444)</f>
        <v>0</v>
      </c>
      <c r="H444" s="1">
        <f>SUM(C444:G444)</f>
        <v>0</v>
      </c>
      <c r="I444" s="1">
        <f>IF(C444 + I443 &lt; 0, C444 + I443, 0)</f>
        <v>0</v>
      </c>
      <c r="J444" s="1">
        <f>IF(D444 + J443 &lt; 0, D444 + J443, 0)</f>
        <v>0</v>
      </c>
      <c r="K444" s="1">
        <f>IF(E444 + K443 &lt; 0, E444 + K443, 0)</f>
        <v>0</v>
      </c>
      <c r="L444" s="1">
        <f>IF(F444 + L443 &lt; 0, F444 + L443, 0)</f>
        <v>0</v>
      </c>
      <c r="M444" s="1">
        <f>IF(G444 + M443 &lt; 0, G444 + M443, 0)</f>
        <v>0</v>
      </c>
      <c r="N444" s="1">
        <f>IF(H444 + N443 &lt; 0, H444 + N443, 0)</f>
        <v>0</v>
      </c>
      <c r="O444" s="1">
        <f>IF(N444 &lt; 0, 1 + O443, 0)</f>
        <v>0</v>
      </c>
      <c r="P444" s="1">
        <f>C444-((ABS(SUM(PL!H444:J444)))*0.125)</f>
        <v>0</v>
      </c>
      <c r="Q444" s="1">
        <f>D444-((ABS(SUM(PL!K444:M444)))*0.125)</f>
        <v>0</v>
      </c>
      <c r="R444" s="1">
        <f>E444-((ABS(SUM(PL!N444:P444)))*0.125)</f>
        <v>0</v>
      </c>
      <c r="S444" s="1">
        <f>F444-((ABS(SUM(PL!Q444:S444)))*0.125)</f>
        <v>0</v>
      </c>
      <c r="T444" s="1">
        <f>G444-((ABS(SUM(PL!T444:V444)))*0.125)</f>
        <v>0</v>
      </c>
      <c r="U444" s="1">
        <f>P444 + Q444 + R444 + S444 + T444</f>
        <v>0</v>
      </c>
      <c r="V444" s="1">
        <f>IF(P444 + V443 &lt; 0, P444 + V443, 0)</f>
        <v>0</v>
      </c>
      <c r="W444" s="1">
        <f>IF(Q444 + W443 &lt; 0, Q444 + W443, 0)</f>
        <v>0</v>
      </c>
      <c r="X444" s="1">
        <f>IF(R444 + X443 &lt; 0, R444 + X443, 0)</f>
        <v>0</v>
      </c>
      <c r="Y444" s="1">
        <f>IF(S444 + Y443 &lt; 0, S444 + Y443, 0)</f>
        <v>0</v>
      </c>
      <c r="Z444" s="1">
        <f>IF(T444 + Z443 &lt; 0, T444 + Z443, 0)</f>
        <v>0</v>
      </c>
      <c r="AA444" s="1">
        <f>IF(U444 + AA443 &lt; 0, U444 + AA443, 0)</f>
        <v>0</v>
      </c>
      <c r="AB444" s="1">
        <f>IF(AA444 &lt; 0, 1 + AB443, 0)</f>
        <v>0</v>
      </c>
      <c r="AC444" s="1">
        <f>IF(H444&lt;0,1,0)</f>
        <v>0</v>
      </c>
      <c r="AD444" s="1">
        <f>IF(AC444=1,H444,0)</f>
        <v>0</v>
      </c>
      <c r="AE444" s="1">
        <f>IF(H444&gt;0,1,0)</f>
        <v>0</v>
      </c>
      <c r="AF444" s="1">
        <f>IF(AE444=1,H444,0)</f>
        <v>0</v>
      </c>
      <c r="AG444" s="1">
        <f>IF(AD444&lt;-20000000.0/100,1,0)</f>
        <v>0</v>
      </c>
      <c r="AH444" s="1">
        <f>IF(AF444&gt;20000000.0/100,1,0)</f>
        <v>0</v>
      </c>
      <c r="AI444" s="1">
        <f>IF(U444&lt;0,1,0)</f>
        <v>0</v>
      </c>
      <c r="AJ444" s="1">
        <f>IF(AI444=1,U444,0)</f>
        <v>0</v>
      </c>
      <c r="AK444" s="1">
        <f>IF(U444&gt;0,1,0)</f>
        <v>0</v>
      </c>
      <c r="AL444" s="1">
        <f>IF(AK444=1,U444,0)</f>
        <v>0</v>
      </c>
      <c r="AM444" s="1">
        <f>IF(AJ444&lt;-20000000.0/100,1,0)</f>
        <v>0</v>
      </c>
      <c r="AN444" s="1">
        <f>IF(AL444&gt;20000000.0/100,1,0)</f>
        <v>0</v>
      </c>
    </row>
    <row r="445" spans="1:40" s="1" customFormat="1">
      <c r="A445" s="3">
        <v>45946</v>
      </c>
      <c r="B445" s="2" t="s">
        <v>25</v>
      </c>
      <c r="C445" s="1">
        <f>SUM(PL!H445:J445)</f>
        <v>0</v>
      </c>
      <c r="D445" s="1">
        <f>SUM(PL!K445:M445)</f>
        <v>0</v>
      </c>
      <c r="E445" s="1">
        <f>SUM(PL!N445:P445)</f>
        <v>0</v>
      </c>
      <c r="F445" s="1">
        <f>SUM(PL!Q445:S445)</f>
        <v>0</v>
      </c>
      <c r="G445" s="1">
        <f>SUM(PL!T445:V445)</f>
        <v>0</v>
      </c>
      <c r="H445" s="1">
        <f>SUM(C445:G445)</f>
        <v>0</v>
      </c>
      <c r="I445" s="1">
        <f>IF(C445 + I444 &lt; 0, C445 + I444, 0)</f>
        <v>0</v>
      </c>
      <c r="J445" s="1">
        <f>IF(D445 + J444 &lt; 0, D445 + J444, 0)</f>
        <v>0</v>
      </c>
      <c r="K445" s="1">
        <f>IF(E445 + K444 &lt; 0, E445 + K444, 0)</f>
        <v>0</v>
      </c>
      <c r="L445" s="1">
        <f>IF(F445 + L444 &lt; 0, F445 + L444, 0)</f>
        <v>0</v>
      </c>
      <c r="M445" s="1">
        <f>IF(G445 + M444 &lt; 0, G445 + M444, 0)</f>
        <v>0</v>
      </c>
      <c r="N445" s="1">
        <f>IF(H445 + N444 &lt; 0, H445 + N444, 0)</f>
        <v>0</v>
      </c>
      <c r="O445" s="1">
        <f>IF(N445 &lt; 0, 1 + O444, 0)</f>
        <v>0</v>
      </c>
      <c r="P445" s="1">
        <f>C445-((ABS(SUM(PL!H445:J445)))*0.125)</f>
        <v>0</v>
      </c>
      <c r="Q445" s="1">
        <f>D445-((ABS(SUM(PL!K445:M445)))*0.125)</f>
        <v>0</v>
      </c>
      <c r="R445" s="1">
        <f>E445-((ABS(SUM(PL!N445:P445)))*0.125)</f>
        <v>0</v>
      </c>
      <c r="S445" s="1">
        <f>F445-((ABS(SUM(PL!Q445:S445)))*0.125)</f>
        <v>0</v>
      </c>
      <c r="T445" s="1">
        <f>G445-((ABS(SUM(PL!T445:V445)))*0.125)</f>
        <v>0</v>
      </c>
      <c r="U445" s="1">
        <f>P445 + Q445 + R445 + S445 + T445</f>
        <v>0</v>
      </c>
      <c r="V445" s="1">
        <f>IF(P445 + V444 &lt; 0, P445 + V444, 0)</f>
        <v>0</v>
      </c>
      <c r="W445" s="1">
        <f>IF(Q445 + W444 &lt; 0, Q445 + W444, 0)</f>
        <v>0</v>
      </c>
      <c r="X445" s="1">
        <f>IF(R445 + X444 &lt; 0, R445 + X444, 0)</f>
        <v>0</v>
      </c>
      <c r="Y445" s="1">
        <f>IF(S445 + Y444 &lt; 0, S445 + Y444, 0)</f>
        <v>0</v>
      </c>
      <c r="Z445" s="1">
        <f>IF(T445 + Z444 &lt; 0, T445 + Z444, 0)</f>
        <v>0</v>
      </c>
      <c r="AA445" s="1">
        <f>IF(U445 + AA444 &lt; 0, U445 + AA444, 0)</f>
        <v>0</v>
      </c>
      <c r="AB445" s="1">
        <f>IF(AA445 &lt; 0, 1 + AB444, 0)</f>
        <v>0</v>
      </c>
      <c r="AC445" s="1">
        <f>IF(H445&lt;0,1,0)</f>
        <v>0</v>
      </c>
      <c r="AD445" s="1">
        <f>IF(AC445=1,H445,0)</f>
        <v>0</v>
      </c>
      <c r="AE445" s="1">
        <f>IF(H445&gt;0,1,0)</f>
        <v>0</v>
      </c>
      <c r="AF445" s="1">
        <f>IF(AE445=1,H445,0)</f>
        <v>0</v>
      </c>
      <c r="AG445" s="1">
        <f>IF(AD445&lt;-20000000.0/100,1,0)</f>
        <v>0</v>
      </c>
      <c r="AH445" s="1">
        <f>IF(AF445&gt;20000000.0/100,1,0)</f>
        <v>0</v>
      </c>
      <c r="AI445" s="1">
        <f>IF(U445&lt;0,1,0)</f>
        <v>0</v>
      </c>
      <c r="AJ445" s="1">
        <f>IF(AI445=1,U445,0)</f>
        <v>0</v>
      </c>
      <c r="AK445" s="1">
        <f>IF(U445&gt;0,1,0)</f>
        <v>0</v>
      </c>
      <c r="AL445" s="1">
        <f>IF(AK445=1,U445,0)</f>
        <v>0</v>
      </c>
      <c r="AM445" s="1">
        <f>IF(AJ445&lt;-20000000.0/100,1,0)</f>
        <v>0</v>
      </c>
      <c r="AN445" s="1">
        <f>IF(AL445&gt;20000000.0/100,1,0)</f>
        <v>0</v>
      </c>
    </row>
    <row r="446" spans="1:40" s="1" customFormat="1">
      <c r="A446" s="3">
        <v>45947</v>
      </c>
      <c r="B446" s="2" t="s">
        <v>26</v>
      </c>
      <c r="C446" s="1">
        <f>SUM(PL!H446:J446)</f>
        <v>0</v>
      </c>
      <c r="D446" s="1">
        <f>SUM(PL!K446:M446)</f>
        <v>0</v>
      </c>
      <c r="E446" s="1">
        <f>SUM(PL!N446:P446)</f>
        <v>0</v>
      </c>
      <c r="F446" s="1">
        <f>SUM(PL!Q446:S446)</f>
        <v>0</v>
      </c>
      <c r="G446" s="1">
        <f>SUM(PL!T446:V446)</f>
        <v>0</v>
      </c>
      <c r="H446" s="1">
        <f>SUM(C446:G446)</f>
        <v>0</v>
      </c>
      <c r="I446" s="1">
        <f>IF(C446 + I445 &lt; 0, C446 + I445, 0)</f>
        <v>0</v>
      </c>
      <c r="J446" s="1">
        <f>IF(D446 + J445 &lt; 0, D446 + J445, 0)</f>
        <v>0</v>
      </c>
      <c r="K446" s="1">
        <f>IF(E446 + K445 &lt; 0, E446 + K445, 0)</f>
        <v>0</v>
      </c>
      <c r="L446" s="1">
        <f>IF(F446 + L445 &lt; 0, F446 + L445, 0)</f>
        <v>0</v>
      </c>
      <c r="M446" s="1">
        <f>IF(G446 + M445 &lt; 0, G446 + M445, 0)</f>
        <v>0</v>
      </c>
      <c r="N446" s="1">
        <f>IF(H446 + N445 &lt; 0, H446 + N445, 0)</f>
        <v>0</v>
      </c>
      <c r="O446" s="1">
        <f>IF(N446 &lt; 0, 1 + O445, 0)</f>
        <v>0</v>
      </c>
      <c r="P446" s="1">
        <f>C446-((ABS(SUM(PL!H446:J446)))*0.125)</f>
        <v>0</v>
      </c>
      <c r="Q446" s="1">
        <f>D446-((ABS(SUM(PL!K446:M446)))*0.125)</f>
        <v>0</v>
      </c>
      <c r="R446" s="1">
        <f>E446-((ABS(SUM(PL!N446:P446)))*0.125)</f>
        <v>0</v>
      </c>
      <c r="S446" s="1">
        <f>F446-((ABS(SUM(PL!Q446:S446)))*0.125)</f>
        <v>0</v>
      </c>
      <c r="T446" s="1">
        <f>G446-((ABS(SUM(PL!T446:V446)))*0.125)</f>
        <v>0</v>
      </c>
      <c r="U446" s="1">
        <f>P446 + Q446 + R446 + S446 + T446</f>
        <v>0</v>
      </c>
      <c r="V446" s="1">
        <f>IF(P446 + V445 &lt; 0, P446 + V445, 0)</f>
        <v>0</v>
      </c>
      <c r="W446" s="1">
        <f>IF(Q446 + W445 &lt; 0, Q446 + W445, 0)</f>
        <v>0</v>
      </c>
      <c r="X446" s="1">
        <f>IF(R446 + X445 &lt; 0, R446 + X445, 0)</f>
        <v>0</v>
      </c>
      <c r="Y446" s="1">
        <f>IF(S446 + Y445 &lt; 0, S446 + Y445, 0)</f>
        <v>0</v>
      </c>
      <c r="Z446" s="1">
        <f>IF(T446 + Z445 &lt; 0, T446 + Z445, 0)</f>
        <v>0</v>
      </c>
      <c r="AA446" s="1">
        <f>IF(U446 + AA445 &lt; 0, U446 + AA445, 0)</f>
        <v>0</v>
      </c>
      <c r="AB446" s="1">
        <f>IF(AA446 &lt; 0, 1 + AB445, 0)</f>
        <v>0</v>
      </c>
      <c r="AC446" s="1">
        <f>IF(H446&lt;0,1,0)</f>
        <v>0</v>
      </c>
      <c r="AD446" s="1">
        <f>IF(AC446=1,H446,0)</f>
        <v>0</v>
      </c>
      <c r="AE446" s="1">
        <f>IF(H446&gt;0,1,0)</f>
        <v>0</v>
      </c>
      <c r="AF446" s="1">
        <f>IF(AE446=1,H446,0)</f>
        <v>0</v>
      </c>
      <c r="AG446" s="1">
        <f>IF(AD446&lt;-20000000.0/100,1,0)</f>
        <v>0</v>
      </c>
      <c r="AH446" s="1">
        <f>IF(AF446&gt;20000000.0/100,1,0)</f>
        <v>0</v>
      </c>
      <c r="AI446" s="1">
        <f>IF(U446&lt;0,1,0)</f>
        <v>0</v>
      </c>
      <c r="AJ446" s="1">
        <f>IF(AI446=1,U446,0)</f>
        <v>0</v>
      </c>
      <c r="AK446" s="1">
        <f>IF(U446&gt;0,1,0)</f>
        <v>0</v>
      </c>
      <c r="AL446" s="1">
        <f>IF(AK446=1,U446,0)</f>
        <v>0</v>
      </c>
      <c r="AM446" s="1">
        <f>IF(AJ446&lt;-20000000.0/100,1,0)</f>
        <v>0</v>
      </c>
      <c r="AN446" s="1">
        <f>IF(AL446&gt;20000000.0/100,1,0)</f>
        <v>0</v>
      </c>
    </row>
    <row r="447" spans="1:40" s="1" customFormat="1">
      <c r="A447" s="3">
        <v>45950</v>
      </c>
      <c r="B447" s="2" t="s">
        <v>22</v>
      </c>
      <c r="C447" s="1">
        <f>SUM(PL!H447:J447)</f>
        <v>0</v>
      </c>
      <c r="D447" s="1">
        <f>SUM(PL!K447:M447)</f>
        <v>0</v>
      </c>
      <c r="E447" s="1">
        <f>SUM(PL!N447:P447)</f>
        <v>0</v>
      </c>
      <c r="F447" s="1">
        <f>SUM(PL!Q447:S447)</f>
        <v>0</v>
      </c>
      <c r="G447" s="1">
        <f>SUM(PL!T447:V447)</f>
        <v>0</v>
      </c>
      <c r="H447" s="1">
        <f>SUM(C447:G447)</f>
        <v>0</v>
      </c>
      <c r="I447" s="1">
        <f>IF(C447 + I446 &lt; 0, C447 + I446, 0)</f>
        <v>0</v>
      </c>
      <c r="J447" s="1">
        <f>IF(D447 + J446 &lt; 0, D447 + J446, 0)</f>
        <v>0</v>
      </c>
      <c r="K447" s="1">
        <f>IF(E447 + K446 &lt; 0, E447 + K446, 0)</f>
        <v>0</v>
      </c>
      <c r="L447" s="1">
        <f>IF(F447 + L446 &lt; 0, F447 + L446, 0)</f>
        <v>0</v>
      </c>
      <c r="M447" s="1">
        <f>IF(G447 + M446 &lt; 0, G447 + M446, 0)</f>
        <v>0</v>
      </c>
      <c r="N447" s="1">
        <f>IF(H447 + N446 &lt; 0, H447 + N446, 0)</f>
        <v>0</v>
      </c>
      <c r="O447" s="1">
        <f>IF(N447 &lt; 0, 1 + O446, 0)</f>
        <v>0</v>
      </c>
      <c r="P447" s="1">
        <f>C447-((ABS(SUM(PL!H447:J447)))*0.125)</f>
        <v>0</v>
      </c>
      <c r="Q447" s="1">
        <f>D447-((ABS(SUM(PL!K447:M447)))*0.125)</f>
        <v>0</v>
      </c>
      <c r="R447" s="1">
        <f>E447-((ABS(SUM(PL!N447:P447)))*0.125)</f>
        <v>0</v>
      </c>
      <c r="S447" s="1">
        <f>F447-((ABS(SUM(PL!Q447:S447)))*0.125)</f>
        <v>0</v>
      </c>
      <c r="T447" s="1">
        <f>G447-((ABS(SUM(PL!T447:V447)))*0.125)</f>
        <v>0</v>
      </c>
      <c r="U447" s="1">
        <f>P447 + Q447 + R447 + S447 + T447</f>
        <v>0</v>
      </c>
      <c r="V447" s="1">
        <f>IF(P447 + V446 &lt; 0, P447 + V446, 0)</f>
        <v>0</v>
      </c>
      <c r="W447" s="1">
        <f>IF(Q447 + W446 &lt; 0, Q447 + W446, 0)</f>
        <v>0</v>
      </c>
      <c r="X447" s="1">
        <f>IF(R447 + X446 &lt; 0, R447 + X446, 0)</f>
        <v>0</v>
      </c>
      <c r="Y447" s="1">
        <f>IF(S447 + Y446 &lt; 0, S447 + Y446, 0)</f>
        <v>0</v>
      </c>
      <c r="Z447" s="1">
        <f>IF(T447 + Z446 &lt; 0, T447 + Z446, 0)</f>
        <v>0</v>
      </c>
      <c r="AA447" s="1">
        <f>IF(U447 + AA446 &lt; 0, U447 + AA446, 0)</f>
        <v>0</v>
      </c>
      <c r="AB447" s="1">
        <f>IF(AA447 &lt; 0, 1 + AB446, 0)</f>
        <v>0</v>
      </c>
      <c r="AC447" s="1">
        <f>IF(H447&lt;0,1,0)</f>
        <v>0</v>
      </c>
      <c r="AD447" s="1">
        <f>IF(AC447=1,H447,0)</f>
        <v>0</v>
      </c>
      <c r="AE447" s="1">
        <f>IF(H447&gt;0,1,0)</f>
        <v>0</v>
      </c>
      <c r="AF447" s="1">
        <f>IF(AE447=1,H447,0)</f>
        <v>0</v>
      </c>
      <c r="AG447" s="1">
        <f>IF(AD447&lt;-20000000.0/100,1,0)</f>
        <v>0</v>
      </c>
      <c r="AH447" s="1">
        <f>IF(AF447&gt;20000000.0/100,1,0)</f>
        <v>0</v>
      </c>
      <c r="AI447" s="1">
        <f>IF(U447&lt;0,1,0)</f>
        <v>0</v>
      </c>
      <c r="AJ447" s="1">
        <f>IF(AI447=1,U447,0)</f>
        <v>0</v>
      </c>
      <c r="AK447" s="1">
        <f>IF(U447&gt;0,1,0)</f>
        <v>0</v>
      </c>
      <c r="AL447" s="1">
        <f>IF(AK447=1,U447,0)</f>
        <v>0</v>
      </c>
      <c r="AM447" s="1">
        <f>IF(AJ447&lt;-20000000.0/100,1,0)</f>
        <v>0</v>
      </c>
      <c r="AN447" s="1">
        <f>IF(AL447&gt;20000000.0/100,1,0)</f>
        <v>0</v>
      </c>
    </row>
    <row r="448" spans="1:40" s="1" customFormat="1">
      <c r="A448" s="3">
        <v>45953</v>
      </c>
      <c r="B448" s="2" t="s">
        <v>25</v>
      </c>
      <c r="C448" s="1">
        <f>SUM(PL!H448:J448)</f>
        <v>0</v>
      </c>
      <c r="D448" s="1">
        <f>SUM(PL!K448:M448)</f>
        <v>0</v>
      </c>
      <c r="E448" s="1">
        <f>SUM(PL!N448:P448)</f>
        <v>0</v>
      </c>
      <c r="F448" s="1">
        <f>SUM(PL!Q448:S448)</f>
        <v>0</v>
      </c>
      <c r="G448" s="1">
        <f>SUM(PL!T448:V448)</f>
        <v>0</v>
      </c>
      <c r="H448" s="1">
        <f>SUM(C448:G448)</f>
        <v>0</v>
      </c>
      <c r="I448" s="1">
        <f>IF(C448 + I447 &lt; 0, C448 + I447, 0)</f>
        <v>0</v>
      </c>
      <c r="J448" s="1">
        <f>IF(D448 + J447 &lt; 0, D448 + J447, 0)</f>
        <v>0</v>
      </c>
      <c r="K448" s="1">
        <f>IF(E448 + K447 &lt; 0, E448 + K447, 0)</f>
        <v>0</v>
      </c>
      <c r="L448" s="1">
        <f>IF(F448 + L447 &lt; 0, F448 + L447, 0)</f>
        <v>0</v>
      </c>
      <c r="M448" s="1">
        <f>IF(G448 + M447 &lt; 0, G448 + M447, 0)</f>
        <v>0</v>
      </c>
      <c r="N448" s="1">
        <f>IF(H448 + N447 &lt; 0, H448 + N447, 0)</f>
        <v>0</v>
      </c>
      <c r="O448" s="1">
        <f>IF(N448 &lt; 0, 1 + O447, 0)</f>
        <v>0</v>
      </c>
      <c r="P448" s="1">
        <f>C448-((ABS(SUM(PL!H448:J448)))*0.125)</f>
        <v>0</v>
      </c>
      <c r="Q448" s="1">
        <f>D448-((ABS(SUM(PL!K448:M448)))*0.125)</f>
        <v>0</v>
      </c>
      <c r="R448" s="1">
        <f>E448-((ABS(SUM(PL!N448:P448)))*0.125)</f>
        <v>0</v>
      </c>
      <c r="S448" s="1">
        <f>F448-((ABS(SUM(PL!Q448:S448)))*0.125)</f>
        <v>0</v>
      </c>
      <c r="T448" s="1">
        <f>G448-((ABS(SUM(PL!T448:V448)))*0.125)</f>
        <v>0</v>
      </c>
      <c r="U448" s="1">
        <f>P448 + Q448 + R448 + S448 + T448</f>
        <v>0</v>
      </c>
      <c r="V448" s="1">
        <f>IF(P448 + V447 &lt; 0, P448 + V447, 0)</f>
        <v>0</v>
      </c>
      <c r="W448" s="1">
        <f>IF(Q448 + W447 &lt; 0, Q448 + W447, 0)</f>
        <v>0</v>
      </c>
      <c r="X448" s="1">
        <f>IF(R448 + X447 &lt; 0, R448 + X447, 0)</f>
        <v>0</v>
      </c>
      <c r="Y448" s="1">
        <f>IF(S448 + Y447 &lt; 0, S448 + Y447, 0)</f>
        <v>0</v>
      </c>
      <c r="Z448" s="1">
        <f>IF(T448 + Z447 &lt; 0, T448 + Z447, 0)</f>
        <v>0</v>
      </c>
      <c r="AA448" s="1">
        <f>IF(U448 + AA447 &lt; 0, U448 + AA447, 0)</f>
        <v>0</v>
      </c>
      <c r="AB448" s="1">
        <f>IF(AA448 &lt; 0, 1 + AB447, 0)</f>
        <v>0</v>
      </c>
      <c r="AC448" s="1">
        <f>IF(H448&lt;0,1,0)</f>
        <v>0</v>
      </c>
      <c r="AD448" s="1">
        <f>IF(AC448=1,H448,0)</f>
        <v>0</v>
      </c>
      <c r="AE448" s="1">
        <f>IF(H448&gt;0,1,0)</f>
        <v>0</v>
      </c>
      <c r="AF448" s="1">
        <f>IF(AE448=1,H448,0)</f>
        <v>0</v>
      </c>
      <c r="AG448" s="1">
        <f>IF(AD448&lt;-20000000.0/100,1,0)</f>
        <v>0</v>
      </c>
      <c r="AH448" s="1">
        <f>IF(AF448&gt;20000000.0/100,1,0)</f>
        <v>0</v>
      </c>
      <c r="AI448" s="1">
        <f>IF(U448&lt;0,1,0)</f>
        <v>0</v>
      </c>
      <c r="AJ448" s="1">
        <f>IF(AI448=1,U448,0)</f>
        <v>0</v>
      </c>
      <c r="AK448" s="1">
        <f>IF(U448&gt;0,1,0)</f>
        <v>0</v>
      </c>
      <c r="AL448" s="1">
        <f>IF(AK448=1,U448,0)</f>
        <v>0</v>
      </c>
      <c r="AM448" s="1">
        <f>IF(AJ448&lt;-20000000.0/100,1,0)</f>
        <v>0</v>
      </c>
      <c r="AN448" s="1">
        <f>IF(AL448&gt;20000000.0/100,1,0)</f>
        <v>0</v>
      </c>
    </row>
    <row r="449" spans="1:40" s="1" customFormat="1">
      <c r="A449" s="3">
        <v>45954</v>
      </c>
      <c r="B449" s="2" t="s">
        <v>26</v>
      </c>
      <c r="C449" s="1">
        <f>SUM(PL!H449:J449)</f>
        <v>0</v>
      </c>
      <c r="D449" s="1">
        <f>SUM(PL!K449:M449)</f>
        <v>0</v>
      </c>
      <c r="E449" s="1">
        <f>SUM(PL!N449:P449)</f>
        <v>0</v>
      </c>
      <c r="F449" s="1">
        <f>SUM(PL!Q449:S449)</f>
        <v>0</v>
      </c>
      <c r="G449" s="1">
        <f>SUM(PL!T449:V449)</f>
        <v>0</v>
      </c>
      <c r="H449" s="1">
        <f>SUM(C449:G449)</f>
        <v>0</v>
      </c>
      <c r="I449" s="1">
        <f>IF(C449 + I448 &lt; 0, C449 + I448, 0)</f>
        <v>0</v>
      </c>
      <c r="J449" s="1">
        <f>IF(D449 + J448 &lt; 0, D449 + J448, 0)</f>
        <v>0</v>
      </c>
      <c r="K449" s="1">
        <f>IF(E449 + K448 &lt; 0, E449 + K448, 0)</f>
        <v>0</v>
      </c>
      <c r="L449" s="1">
        <f>IF(F449 + L448 &lt; 0, F449 + L448, 0)</f>
        <v>0</v>
      </c>
      <c r="M449" s="1">
        <f>IF(G449 + M448 &lt; 0, G449 + M448, 0)</f>
        <v>0</v>
      </c>
      <c r="N449" s="1">
        <f>IF(H449 + N448 &lt; 0, H449 + N448, 0)</f>
        <v>0</v>
      </c>
      <c r="O449" s="1">
        <f>IF(N449 &lt; 0, 1 + O448, 0)</f>
        <v>0</v>
      </c>
      <c r="P449" s="1">
        <f>C449-((ABS(SUM(PL!H449:J449)))*0.125)</f>
        <v>0</v>
      </c>
      <c r="Q449" s="1">
        <f>D449-((ABS(SUM(PL!K449:M449)))*0.125)</f>
        <v>0</v>
      </c>
      <c r="R449" s="1">
        <f>E449-((ABS(SUM(PL!N449:P449)))*0.125)</f>
        <v>0</v>
      </c>
      <c r="S449" s="1">
        <f>F449-((ABS(SUM(PL!Q449:S449)))*0.125)</f>
        <v>0</v>
      </c>
      <c r="T449" s="1">
        <f>G449-((ABS(SUM(PL!T449:V449)))*0.125)</f>
        <v>0</v>
      </c>
      <c r="U449" s="1">
        <f>P449 + Q449 + R449 + S449 + T449</f>
        <v>0</v>
      </c>
      <c r="V449" s="1">
        <f>IF(P449 + V448 &lt; 0, P449 + V448, 0)</f>
        <v>0</v>
      </c>
      <c r="W449" s="1">
        <f>IF(Q449 + W448 &lt; 0, Q449 + W448, 0)</f>
        <v>0</v>
      </c>
      <c r="X449" s="1">
        <f>IF(R449 + X448 &lt; 0, R449 + X448, 0)</f>
        <v>0</v>
      </c>
      <c r="Y449" s="1">
        <f>IF(S449 + Y448 &lt; 0, S449 + Y448, 0)</f>
        <v>0</v>
      </c>
      <c r="Z449" s="1">
        <f>IF(T449 + Z448 &lt; 0, T449 + Z448, 0)</f>
        <v>0</v>
      </c>
      <c r="AA449" s="1">
        <f>IF(U449 + AA448 &lt; 0, U449 + AA448, 0)</f>
        <v>0</v>
      </c>
      <c r="AB449" s="1">
        <f>IF(AA449 &lt; 0, 1 + AB448, 0)</f>
        <v>0</v>
      </c>
      <c r="AC449" s="1">
        <f>IF(H449&lt;0,1,0)</f>
        <v>0</v>
      </c>
      <c r="AD449" s="1">
        <f>IF(AC449=1,H449,0)</f>
        <v>0</v>
      </c>
      <c r="AE449" s="1">
        <f>IF(H449&gt;0,1,0)</f>
        <v>0</v>
      </c>
      <c r="AF449" s="1">
        <f>IF(AE449=1,H449,0)</f>
        <v>0</v>
      </c>
      <c r="AG449" s="1">
        <f>IF(AD449&lt;-20000000.0/100,1,0)</f>
        <v>0</v>
      </c>
      <c r="AH449" s="1">
        <f>IF(AF449&gt;20000000.0/100,1,0)</f>
        <v>0</v>
      </c>
      <c r="AI449" s="1">
        <f>IF(U449&lt;0,1,0)</f>
        <v>0</v>
      </c>
      <c r="AJ449" s="1">
        <f>IF(AI449=1,U449,0)</f>
        <v>0</v>
      </c>
      <c r="AK449" s="1">
        <f>IF(U449&gt;0,1,0)</f>
        <v>0</v>
      </c>
      <c r="AL449" s="1">
        <f>IF(AK449=1,U449,0)</f>
        <v>0</v>
      </c>
      <c r="AM449" s="1">
        <f>IF(AJ449&lt;-20000000.0/100,1,0)</f>
        <v>0</v>
      </c>
      <c r="AN449" s="1">
        <f>IF(AL449&gt;20000000.0/100,1,0)</f>
        <v>0</v>
      </c>
    </row>
    <row r="450" spans="1:40" s="1" customFormat="1">
      <c r="A450" s="3">
        <v>45957</v>
      </c>
      <c r="B450" s="2" t="s">
        <v>22</v>
      </c>
      <c r="C450" s="1">
        <f>SUM(PL!H450:J450)</f>
        <v>0</v>
      </c>
      <c r="D450" s="1">
        <f>SUM(PL!K450:M450)</f>
        <v>0</v>
      </c>
      <c r="E450" s="1">
        <f>SUM(PL!N450:P450)</f>
        <v>0</v>
      </c>
      <c r="F450" s="1">
        <f>SUM(PL!Q450:S450)</f>
        <v>0</v>
      </c>
      <c r="G450" s="1">
        <f>SUM(PL!T450:V450)</f>
        <v>0</v>
      </c>
      <c r="H450" s="1">
        <f>SUM(C450:G450)</f>
        <v>0</v>
      </c>
      <c r="I450" s="1">
        <f>IF(C450 + I449 &lt; 0, C450 + I449, 0)</f>
        <v>0</v>
      </c>
      <c r="J450" s="1">
        <f>IF(D450 + J449 &lt; 0, D450 + J449, 0)</f>
        <v>0</v>
      </c>
      <c r="K450" s="1">
        <f>IF(E450 + K449 &lt; 0, E450 + K449, 0)</f>
        <v>0</v>
      </c>
      <c r="L450" s="1">
        <f>IF(F450 + L449 &lt; 0, F450 + L449, 0)</f>
        <v>0</v>
      </c>
      <c r="M450" s="1">
        <f>IF(G450 + M449 &lt; 0, G450 + M449, 0)</f>
        <v>0</v>
      </c>
      <c r="N450" s="1">
        <f>IF(H450 + N449 &lt; 0, H450 + N449, 0)</f>
        <v>0</v>
      </c>
      <c r="O450" s="1">
        <f>IF(N450 &lt; 0, 1 + O449, 0)</f>
        <v>0</v>
      </c>
      <c r="P450" s="1">
        <f>C450-((ABS(SUM(PL!H450:J450)))*0.125)</f>
        <v>0</v>
      </c>
      <c r="Q450" s="1">
        <f>D450-((ABS(SUM(PL!K450:M450)))*0.125)</f>
        <v>0</v>
      </c>
      <c r="R450" s="1">
        <f>E450-((ABS(SUM(PL!N450:P450)))*0.125)</f>
        <v>0</v>
      </c>
      <c r="S450" s="1">
        <f>F450-((ABS(SUM(PL!Q450:S450)))*0.125)</f>
        <v>0</v>
      </c>
      <c r="T450" s="1">
        <f>G450-((ABS(SUM(PL!T450:V450)))*0.125)</f>
        <v>0</v>
      </c>
      <c r="U450" s="1">
        <f>P450 + Q450 + R450 + S450 + T450</f>
        <v>0</v>
      </c>
      <c r="V450" s="1">
        <f>IF(P450 + V449 &lt; 0, P450 + V449, 0)</f>
        <v>0</v>
      </c>
      <c r="W450" s="1">
        <f>IF(Q450 + W449 &lt; 0, Q450 + W449, 0)</f>
        <v>0</v>
      </c>
      <c r="X450" s="1">
        <f>IF(R450 + X449 &lt; 0, R450 + X449, 0)</f>
        <v>0</v>
      </c>
      <c r="Y450" s="1">
        <f>IF(S450 + Y449 &lt; 0, S450 + Y449, 0)</f>
        <v>0</v>
      </c>
      <c r="Z450" s="1">
        <f>IF(T450 + Z449 &lt; 0, T450 + Z449, 0)</f>
        <v>0</v>
      </c>
      <c r="AA450" s="1">
        <f>IF(U450 + AA449 &lt; 0, U450 + AA449, 0)</f>
        <v>0</v>
      </c>
      <c r="AB450" s="1">
        <f>IF(AA450 &lt; 0, 1 + AB449, 0)</f>
        <v>0</v>
      </c>
      <c r="AC450" s="1">
        <f>IF(H450&lt;0,1,0)</f>
        <v>0</v>
      </c>
      <c r="AD450" s="1">
        <f>IF(AC450=1,H450,0)</f>
        <v>0</v>
      </c>
      <c r="AE450" s="1">
        <f>IF(H450&gt;0,1,0)</f>
        <v>0</v>
      </c>
      <c r="AF450" s="1">
        <f>IF(AE450=1,H450,0)</f>
        <v>0</v>
      </c>
      <c r="AG450" s="1">
        <f>IF(AD450&lt;-20000000.0/100,1,0)</f>
        <v>0</v>
      </c>
      <c r="AH450" s="1">
        <f>IF(AF450&gt;20000000.0/100,1,0)</f>
        <v>0</v>
      </c>
      <c r="AI450" s="1">
        <f>IF(U450&lt;0,1,0)</f>
        <v>0</v>
      </c>
      <c r="AJ450" s="1">
        <f>IF(AI450=1,U450,0)</f>
        <v>0</v>
      </c>
      <c r="AK450" s="1">
        <f>IF(U450&gt;0,1,0)</f>
        <v>0</v>
      </c>
      <c r="AL450" s="1">
        <f>IF(AK450=1,U450,0)</f>
        <v>0</v>
      </c>
      <c r="AM450" s="1">
        <f>IF(AJ450&lt;-20000000.0/100,1,0)</f>
        <v>0</v>
      </c>
      <c r="AN450" s="1">
        <f>IF(AL450&gt;20000000.0/100,1,0)</f>
        <v>0</v>
      </c>
    </row>
    <row r="451" spans="1:40" s="1" customFormat="1">
      <c r="A451" s="3">
        <v>45958</v>
      </c>
      <c r="B451" s="2" t="s">
        <v>23</v>
      </c>
      <c r="C451" s="1">
        <f>SUM(PL!H451:J451)</f>
        <v>0</v>
      </c>
      <c r="D451" s="1">
        <f>SUM(PL!K451:M451)</f>
        <v>0</v>
      </c>
      <c r="E451" s="1">
        <f>SUM(PL!N451:P451)</f>
        <v>0</v>
      </c>
      <c r="F451" s="1">
        <f>SUM(PL!Q451:S451)</f>
        <v>0</v>
      </c>
      <c r="G451" s="1">
        <f>SUM(PL!T451:V451)</f>
        <v>0</v>
      </c>
      <c r="H451" s="1">
        <f>SUM(C451:G451)</f>
        <v>0</v>
      </c>
      <c r="I451" s="1">
        <f>IF(C451 + I450 &lt; 0, C451 + I450, 0)</f>
        <v>0</v>
      </c>
      <c r="J451" s="1">
        <f>IF(D451 + J450 &lt; 0, D451 + J450, 0)</f>
        <v>0</v>
      </c>
      <c r="K451" s="1">
        <f>IF(E451 + K450 &lt; 0, E451 + K450, 0)</f>
        <v>0</v>
      </c>
      <c r="L451" s="1">
        <f>IF(F451 + L450 &lt; 0, F451 + L450, 0)</f>
        <v>0</v>
      </c>
      <c r="M451" s="1">
        <f>IF(G451 + M450 &lt; 0, G451 + M450, 0)</f>
        <v>0</v>
      </c>
      <c r="N451" s="1">
        <f>IF(H451 + N450 &lt; 0, H451 + N450, 0)</f>
        <v>0</v>
      </c>
      <c r="O451" s="1">
        <f>IF(N451 &lt; 0, 1 + O450, 0)</f>
        <v>0</v>
      </c>
      <c r="P451" s="1">
        <f>C451-((ABS(SUM(PL!H451:J451)))*0.125)</f>
        <v>0</v>
      </c>
      <c r="Q451" s="1">
        <f>D451-((ABS(SUM(PL!K451:M451)))*0.125)</f>
        <v>0</v>
      </c>
      <c r="R451" s="1">
        <f>E451-((ABS(SUM(PL!N451:P451)))*0.125)</f>
        <v>0</v>
      </c>
      <c r="S451" s="1">
        <f>F451-((ABS(SUM(PL!Q451:S451)))*0.125)</f>
        <v>0</v>
      </c>
      <c r="T451" s="1">
        <f>G451-((ABS(SUM(PL!T451:V451)))*0.125)</f>
        <v>0</v>
      </c>
      <c r="U451" s="1">
        <f>P451 + Q451 + R451 + S451 + T451</f>
        <v>0</v>
      </c>
      <c r="V451" s="1">
        <f>IF(P451 + V450 &lt; 0, P451 + V450, 0)</f>
        <v>0</v>
      </c>
      <c r="W451" s="1">
        <f>IF(Q451 + W450 &lt; 0, Q451 + W450, 0)</f>
        <v>0</v>
      </c>
      <c r="X451" s="1">
        <f>IF(R451 + X450 &lt; 0, R451 + X450, 0)</f>
        <v>0</v>
      </c>
      <c r="Y451" s="1">
        <f>IF(S451 + Y450 &lt; 0, S451 + Y450, 0)</f>
        <v>0</v>
      </c>
      <c r="Z451" s="1">
        <f>IF(T451 + Z450 &lt; 0, T451 + Z450, 0)</f>
        <v>0</v>
      </c>
      <c r="AA451" s="1">
        <f>IF(U451 + AA450 &lt; 0, U451 + AA450, 0)</f>
        <v>0</v>
      </c>
      <c r="AB451" s="1">
        <f>IF(AA451 &lt; 0, 1 + AB450, 0)</f>
        <v>0</v>
      </c>
      <c r="AC451" s="1">
        <f>IF(H451&lt;0,1,0)</f>
        <v>0</v>
      </c>
      <c r="AD451" s="1">
        <f>IF(AC451=1,H451,0)</f>
        <v>0</v>
      </c>
      <c r="AE451" s="1">
        <f>IF(H451&gt;0,1,0)</f>
        <v>0</v>
      </c>
      <c r="AF451" s="1">
        <f>IF(AE451=1,H451,0)</f>
        <v>0</v>
      </c>
      <c r="AG451" s="1">
        <f>IF(AD451&lt;-20000000.0/100,1,0)</f>
        <v>0</v>
      </c>
      <c r="AH451" s="1">
        <f>IF(AF451&gt;20000000.0/100,1,0)</f>
        <v>0</v>
      </c>
      <c r="AI451" s="1">
        <f>IF(U451&lt;0,1,0)</f>
        <v>0</v>
      </c>
      <c r="AJ451" s="1">
        <f>IF(AI451=1,U451,0)</f>
        <v>0</v>
      </c>
      <c r="AK451" s="1">
        <f>IF(U451&gt;0,1,0)</f>
        <v>0</v>
      </c>
      <c r="AL451" s="1">
        <f>IF(AK451=1,U451,0)</f>
        <v>0</v>
      </c>
      <c r="AM451" s="1">
        <f>IF(AJ451&lt;-20000000.0/100,1,0)</f>
        <v>0</v>
      </c>
      <c r="AN451" s="1">
        <f>IF(AL451&gt;20000000.0/100,1,0)</f>
        <v>0</v>
      </c>
    </row>
    <row r="452" spans="1:40" s="1" customFormat="1">
      <c r="A452" s="3">
        <v>45959</v>
      </c>
      <c r="B452" s="2" t="s">
        <v>24</v>
      </c>
      <c r="C452" s="1">
        <f>SUM(PL!H452:J452)</f>
        <v>0</v>
      </c>
      <c r="D452" s="1">
        <f>SUM(PL!K452:M452)</f>
        <v>0</v>
      </c>
      <c r="E452" s="1">
        <f>SUM(PL!N452:P452)</f>
        <v>0</v>
      </c>
      <c r="F452" s="1">
        <f>SUM(PL!Q452:S452)</f>
        <v>0</v>
      </c>
      <c r="G452" s="1">
        <f>SUM(PL!T452:V452)</f>
        <v>0</v>
      </c>
      <c r="H452" s="1">
        <f>SUM(C452:G452)</f>
        <v>0</v>
      </c>
      <c r="I452" s="1">
        <f>IF(C452 + I451 &lt; 0, C452 + I451, 0)</f>
        <v>0</v>
      </c>
      <c r="J452" s="1">
        <f>IF(D452 + J451 &lt; 0, D452 + J451, 0)</f>
        <v>0</v>
      </c>
      <c r="K452" s="1">
        <f>IF(E452 + K451 &lt; 0, E452 + K451, 0)</f>
        <v>0</v>
      </c>
      <c r="L452" s="1">
        <f>IF(F452 + L451 &lt; 0, F452 + L451, 0)</f>
        <v>0</v>
      </c>
      <c r="M452" s="1">
        <f>IF(G452 + M451 &lt; 0, G452 + M451, 0)</f>
        <v>0</v>
      </c>
      <c r="N452" s="1">
        <f>IF(H452 + N451 &lt; 0, H452 + N451, 0)</f>
        <v>0</v>
      </c>
      <c r="O452" s="1">
        <f>IF(N452 &lt; 0, 1 + O451, 0)</f>
        <v>0</v>
      </c>
      <c r="P452" s="1">
        <f>C452-((ABS(SUM(PL!H452:J452)))*0.125)</f>
        <v>0</v>
      </c>
      <c r="Q452" s="1">
        <f>D452-((ABS(SUM(PL!K452:M452)))*0.125)</f>
        <v>0</v>
      </c>
      <c r="R452" s="1">
        <f>E452-((ABS(SUM(PL!N452:P452)))*0.125)</f>
        <v>0</v>
      </c>
      <c r="S452" s="1">
        <f>F452-((ABS(SUM(PL!Q452:S452)))*0.125)</f>
        <v>0</v>
      </c>
      <c r="T452" s="1">
        <f>G452-((ABS(SUM(PL!T452:V452)))*0.125)</f>
        <v>0</v>
      </c>
      <c r="U452" s="1">
        <f>P452 + Q452 + R452 + S452 + T452</f>
        <v>0</v>
      </c>
      <c r="V452" s="1">
        <f>IF(P452 + V451 &lt; 0, P452 + V451, 0)</f>
        <v>0</v>
      </c>
      <c r="W452" s="1">
        <f>IF(Q452 + W451 &lt; 0, Q452 + W451, 0)</f>
        <v>0</v>
      </c>
      <c r="X452" s="1">
        <f>IF(R452 + X451 &lt; 0, R452 + X451, 0)</f>
        <v>0</v>
      </c>
      <c r="Y452" s="1">
        <f>IF(S452 + Y451 &lt; 0, S452 + Y451, 0)</f>
        <v>0</v>
      </c>
      <c r="Z452" s="1">
        <f>IF(T452 + Z451 &lt; 0, T452 + Z451, 0)</f>
        <v>0</v>
      </c>
      <c r="AA452" s="1">
        <f>IF(U452 + AA451 &lt; 0, U452 + AA451, 0)</f>
        <v>0</v>
      </c>
      <c r="AB452" s="1">
        <f>IF(AA452 &lt; 0, 1 + AB451, 0)</f>
        <v>0</v>
      </c>
      <c r="AC452" s="1">
        <f>IF(H452&lt;0,1,0)</f>
        <v>0</v>
      </c>
      <c r="AD452" s="1">
        <f>IF(AC452=1,H452,0)</f>
        <v>0</v>
      </c>
      <c r="AE452" s="1">
        <f>IF(H452&gt;0,1,0)</f>
        <v>0</v>
      </c>
      <c r="AF452" s="1">
        <f>IF(AE452=1,H452,0)</f>
        <v>0</v>
      </c>
      <c r="AG452" s="1">
        <f>IF(AD452&lt;-20000000.0/100,1,0)</f>
        <v>0</v>
      </c>
      <c r="AH452" s="1">
        <f>IF(AF452&gt;20000000.0/100,1,0)</f>
        <v>0</v>
      </c>
      <c r="AI452" s="1">
        <f>IF(U452&lt;0,1,0)</f>
        <v>0</v>
      </c>
      <c r="AJ452" s="1">
        <f>IF(AI452=1,U452,0)</f>
        <v>0</v>
      </c>
      <c r="AK452" s="1">
        <f>IF(U452&gt;0,1,0)</f>
        <v>0</v>
      </c>
      <c r="AL452" s="1">
        <f>IF(AK452=1,U452,0)</f>
        <v>0</v>
      </c>
      <c r="AM452" s="1">
        <f>IF(AJ452&lt;-20000000.0/100,1,0)</f>
        <v>0</v>
      </c>
      <c r="AN452" s="1">
        <f>IF(AL452&gt;20000000.0/100,1,0)</f>
        <v>0</v>
      </c>
    </row>
    <row r="453" spans="1:40" s="1" customFormat="1">
      <c r="A453" s="3">
        <v>45960</v>
      </c>
      <c r="B453" s="2" t="s">
        <v>25</v>
      </c>
      <c r="C453" s="1">
        <f>SUM(PL!H453:J453)</f>
        <v>0</v>
      </c>
      <c r="D453" s="1">
        <f>SUM(PL!K453:M453)</f>
        <v>0</v>
      </c>
      <c r="E453" s="1">
        <f>SUM(PL!N453:P453)</f>
        <v>0</v>
      </c>
      <c r="F453" s="1">
        <f>SUM(PL!Q453:S453)</f>
        <v>0</v>
      </c>
      <c r="G453" s="1">
        <f>SUM(PL!T453:V453)</f>
        <v>0</v>
      </c>
      <c r="H453" s="1">
        <f>SUM(C453:G453)</f>
        <v>0</v>
      </c>
      <c r="I453" s="1">
        <f>IF(C453 + I452 &lt; 0, C453 + I452, 0)</f>
        <v>0</v>
      </c>
      <c r="J453" s="1">
        <f>IF(D453 + J452 &lt; 0, D453 + J452, 0)</f>
        <v>0</v>
      </c>
      <c r="K453" s="1">
        <f>IF(E453 + K452 &lt; 0, E453 + K452, 0)</f>
        <v>0</v>
      </c>
      <c r="L453" s="1">
        <f>IF(F453 + L452 &lt; 0, F453 + L452, 0)</f>
        <v>0</v>
      </c>
      <c r="M453" s="1">
        <f>IF(G453 + M452 &lt; 0, G453 + M452, 0)</f>
        <v>0</v>
      </c>
      <c r="N453" s="1">
        <f>IF(H453 + N452 &lt; 0, H453 + N452, 0)</f>
        <v>0</v>
      </c>
      <c r="O453" s="1">
        <f>IF(N453 &lt; 0, 1 + O452, 0)</f>
        <v>0</v>
      </c>
      <c r="P453" s="1">
        <f>C453-((ABS(SUM(PL!H453:J453)))*0.125)</f>
        <v>0</v>
      </c>
      <c r="Q453" s="1">
        <f>D453-((ABS(SUM(PL!K453:M453)))*0.125)</f>
        <v>0</v>
      </c>
      <c r="R453" s="1">
        <f>E453-((ABS(SUM(PL!N453:P453)))*0.125)</f>
        <v>0</v>
      </c>
      <c r="S453" s="1">
        <f>F453-((ABS(SUM(PL!Q453:S453)))*0.125)</f>
        <v>0</v>
      </c>
      <c r="T453" s="1">
        <f>G453-((ABS(SUM(PL!T453:V453)))*0.125)</f>
        <v>0</v>
      </c>
      <c r="U453" s="1">
        <f>P453 + Q453 + R453 + S453 + T453</f>
        <v>0</v>
      </c>
      <c r="V453" s="1">
        <f>IF(P453 + V452 &lt; 0, P453 + V452, 0)</f>
        <v>0</v>
      </c>
      <c r="W453" s="1">
        <f>IF(Q453 + W452 &lt; 0, Q453 + W452, 0)</f>
        <v>0</v>
      </c>
      <c r="X453" s="1">
        <f>IF(R453 + X452 &lt; 0, R453 + X452, 0)</f>
        <v>0</v>
      </c>
      <c r="Y453" s="1">
        <f>IF(S453 + Y452 &lt; 0, S453 + Y452, 0)</f>
        <v>0</v>
      </c>
      <c r="Z453" s="1">
        <f>IF(T453 + Z452 &lt; 0, T453 + Z452, 0)</f>
        <v>0</v>
      </c>
      <c r="AA453" s="1">
        <f>IF(U453 + AA452 &lt; 0, U453 + AA452, 0)</f>
        <v>0</v>
      </c>
      <c r="AB453" s="1">
        <f>IF(AA453 &lt; 0, 1 + AB452, 0)</f>
        <v>0</v>
      </c>
      <c r="AC453" s="1">
        <f>IF(H453&lt;0,1,0)</f>
        <v>0</v>
      </c>
      <c r="AD453" s="1">
        <f>IF(AC453=1,H453,0)</f>
        <v>0</v>
      </c>
      <c r="AE453" s="1">
        <f>IF(H453&gt;0,1,0)</f>
        <v>0</v>
      </c>
      <c r="AF453" s="1">
        <f>IF(AE453=1,H453,0)</f>
        <v>0</v>
      </c>
      <c r="AG453" s="1">
        <f>IF(AD453&lt;-20000000.0/100,1,0)</f>
        <v>0</v>
      </c>
      <c r="AH453" s="1">
        <f>IF(AF453&gt;20000000.0/100,1,0)</f>
        <v>0</v>
      </c>
      <c r="AI453" s="1">
        <f>IF(U453&lt;0,1,0)</f>
        <v>0</v>
      </c>
      <c r="AJ453" s="1">
        <f>IF(AI453=1,U453,0)</f>
        <v>0</v>
      </c>
      <c r="AK453" s="1">
        <f>IF(U453&gt;0,1,0)</f>
        <v>0</v>
      </c>
      <c r="AL453" s="1">
        <f>IF(AK453=1,U453,0)</f>
        <v>0</v>
      </c>
      <c r="AM453" s="1">
        <f>IF(AJ453&lt;-20000000.0/100,1,0)</f>
        <v>0</v>
      </c>
      <c r="AN453" s="1">
        <f>IF(AL453&gt;20000000.0/100,1,0)</f>
        <v>0</v>
      </c>
    </row>
    <row r="454" spans="1:40" s="1" customFormat="1">
      <c r="A454" s="3">
        <v>45961</v>
      </c>
      <c r="B454" s="2" t="s">
        <v>26</v>
      </c>
      <c r="C454" s="1">
        <f>SUM(PL!H454:J454)</f>
        <v>0</v>
      </c>
      <c r="D454" s="1">
        <f>SUM(PL!K454:M454)</f>
        <v>0</v>
      </c>
      <c r="E454" s="1">
        <f>SUM(PL!N454:P454)</f>
        <v>0</v>
      </c>
      <c r="F454" s="1">
        <f>SUM(PL!Q454:S454)</f>
        <v>0</v>
      </c>
      <c r="G454" s="1">
        <f>SUM(PL!T454:V454)</f>
        <v>0</v>
      </c>
      <c r="H454" s="1">
        <f>SUM(C454:G454)</f>
        <v>0</v>
      </c>
      <c r="I454" s="1">
        <f>IF(C454 + I453 &lt; 0, C454 + I453, 0)</f>
        <v>0</v>
      </c>
      <c r="J454" s="1">
        <f>IF(D454 + J453 &lt; 0, D454 + J453, 0)</f>
        <v>0</v>
      </c>
      <c r="K454" s="1">
        <f>IF(E454 + K453 &lt; 0, E454 + K453, 0)</f>
        <v>0</v>
      </c>
      <c r="L454" s="1">
        <f>IF(F454 + L453 &lt; 0, F454 + L453, 0)</f>
        <v>0</v>
      </c>
      <c r="M454" s="1">
        <f>IF(G454 + M453 &lt; 0, G454 + M453, 0)</f>
        <v>0</v>
      </c>
      <c r="N454" s="1">
        <f>IF(H454 + N453 &lt; 0, H454 + N453, 0)</f>
        <v>0</v>
      </c>
      <c r="O454" s="1">
        <f>IF(N454 &lt; 0, 1 + O453, 0)</f>
        <v>0</v>
      </c>
      <c r="P454" s="1">
        <f>C454-((ABS(SUM(PL!H454:J454)))*0.125)</f>
        <v>0</v>
      </c>
      <c r="Q454" s="1">
        <f>D454-((ABS(SUM(PL!K454:M454)))*0.125)</f>
        <v>0</v>
      </c>
      <c r="R454" s="1">
        <f>E454-((ABS(SUM(PL!N454:P454)))*0.125)</f>
        <v>0</v>
      </c>
      <c r="S454" s="1">
        <f>F454-((ABS(SUM(PL!Q454:S454)))*0.125)</f>
        <v>0</v>
      </c>
      <c r="T454" s="1">
        <f>G454-((ABS(SUM(PL!T454:V454)))*0.125)</f>
        <v>0</v>
      </c>
      <c r="U454" s="1">
        <f>P454 + Q454 + R454 + S454 + T454</f>
        <v>0</v>
      </c>
      <c r="V454" s="1">
        <f>IF(P454 + V453 &lt; 0, P454 + V453, 0)</f>
        <v>0</v>
      </c>
      <c r="W454" s="1">
        <f>IF(Q454 + W453 &lt; 0, Q454 + W453, 0)</f>
        <v>0</v>
      </c>
      <c r="X454" s="1">
        <f>IF(R454 + X453 &lt; 0, R454 + X453, 0)</f>
        <v>0</v>
      </c>
      <c r="Y454" s="1">
        <f>IF(S454 + Y453 &lt; 0, S454 + Y453, 0)</f>
        <v>0</v>
      </c>
      <c r="Z454" s="1">
        <f>IF(T454 + Z453 &lt; 0, T454 + Z453, 0)</f>
        <v>0</v>
      </c>
      <c r="AA454" s="1">
        <f>IF(U454 + AA453 &lt; 0, U454 + AA453, 0)</f>
        <v>0</v>
      </c>
      <c r="AB454" s="1">
        <f>IF(AA454 &lt; 0, 1 + AB453, 0)</f>
        <v>0</v>
      </c>
      <c r="AC454" s="1">
        <f>IF(H454&lt;0,1,0)</f>
        <v>0</v>
      </c>
      <c r="AD454" s="1">
        <f>IF(AC454=1,H454,0)</f>
        <v>0</v>
      </c>
      <c r="AE454" s="1">
        <f>IF(H454&gt;0,1,0)</f>
        <v>0</v>
      </c>
      <c r="AF454" s="1">
        <f>IF(AE454=1,H454,0)</f>
        <v>0</v>
      </c>
      <c r="AG454" s="1">
        <f>IF(AD454&lt;-20000000.0/100,1,0)</f>
        <v>0</v>
      </c>
      <c r="AH454" s="1">
        <f>IF(AF454&gt;20000000.0/100,1,0)</f>
        <v>0</v>
      </c>
      <c r="AI454" s="1">
        <f>IF(U454&lt;0,1,0)</f>
        <v>0</v>
      </c>
      <c r="AJ454" s="1">
        <f>IF(AI454=1,U454,0)</f>
        <v>0</v>
      </c>
      <c r="AK454" s="1">
        <f>IF(U454&gt;0,1,0)</f>
        <v>0</v>
      </c>
      <c r="AL454" s="1">
        <f>IF(AK454=1,U454,0)</f>
        <v>0</v>
      </c>
      <c r="AM454" s="1">
        <f>IF(AJ454&lt;-20000000.0/100,1,0)</f>
        <v>0</v>
      </c>
      <c r="AN454" s="1">
        <f>IF(AL454&gt;20000000.0/100,1,0)</f>
        <v>0</v>
      </c>
    </row>
    <row r="455" spans="1:40" s="1" customFormat="1">
      <c r="A455" s="3">
        <v>45964</v>
      </c>
      <c r="B455" s="2" t="s">
        <v>22</v>
      </c>
      <c r="C455" s="1">
        <f>SUM(PL!H455:J455)</f>
        <v>0</v>
      </c>
      <c r="D455" s="1">
        <f>SUM(PL!K455:M455)</f>
        <v>0</v>
      </c>
      <c r="E455" s="1">
        <f>SUM(PL!N455:P455)</f>
        <v>0</v>
      </c>
      <c r="F455" s="1">
        <f>SUM(PL!Q455:S455)</f>
        <v>0</v>
      </c>
      <c r="G455" s="1">
        <f>SUM(PL!T455:V455)</f>
        <v>0</v>
      </c>
      <c r="H455" s="1">
        <f>SUM(C455:G455)</f>
        <v>0</v>
      </c>
      <c r="I455" s="1">
        <f>IF(C455 + I454 &lt; 0, C455 + I454, 0)</f>
        <v>0</v>
      </c>
      <c r="J455" s="1">
        <f>IF(D455 + J454 &lt; 0, D455 + J454, 0)</f>
        <v>0</v>
      </c>
      <c r="K455" s="1">
        <f>IF(E455 + K454 &lt; 0, E455 + K454, 0)</f>
        <v>0</v>
      </c>
      <c r="L455" s="1">
        <f>IF(F455 + L454 &lt; 0, F455 + L454, 0)</f>
        <v>0</v>
      </c>
      <c r="M455" s="1">
        <f>IF(G455 + M454 &lt; 0, G455 + M454, 0)</f>
        <v>0</v>
      </c>
      <c r="N455" s="1">
        <f>IF(H455 + N454 &lt; 0, H455 + N454, 0)</f>
        <v>0</v>
      </c>
      <c r="O455" s="1">
        <f>IF(N455 &lt; 0, 1 + O454, 0)</f>
        <v>0</v>
      </c>
      <c r="P455" s="1">
        <f>C455-((ABS(SUM(PL!H455:J455)))*0.125)</f>
        <v>0</v>
      </c>
      <c r="Q455" s="1">
        <f>D455-((ABS(SUM(PL!K455:M455)))*0.125)</f>
        <v>0</v>
      </c>
      <c r="R455" s="1">
        <f>E455-((ABS(SUM(PL!N455:P455)))*0.125)</f>
        <v>0</v>
      </c>
      <c r="S455" s="1">
        <f>F455-((ABS(SUM(PL!Q455:S455)))*0.125)</f>
        <v>0</v>
      </c>
      <c r="T455" s="1">
        <f>G455-((ABS(SUM(PL!T455:V455)))*0.125)</f>
        <v>0</v>
      </c>
      <c r="U455" s="1">
        <f>P455 + Q455 + R455 + S455 + T455</f>
        <v>0</v>
      </c>
      <c r="V455" s="1">
        <f>IF(P455 + V454 &lt; 0, P455 + V454, 0)</f>
        <v>0</v>
      </c>
      <c r="W455" s="1">
        <f>IF(Q455 + W454 &lt; 0, Q455 + W454, 0)</f>
        <v>0</v>
      </c>
      <c r="X455" s="1">
        <f>IF(R455 + X454 &lt; 0, R455 + X454, 0)</f>
        <v>0</v>
      </c>
      <c r="Y455" s="1">
        <f>IF(S455 + Y454 &lt; 0, S455 + Y454, 0)</f>
        <v>0</v>
      </c>
      <c r="Z455" s="1">
        <f>IF(T455 + Z454 &lt; 0, T455 + Z454, 0)</f>
        <v>0</v>
      </c>
      <c r="AA455" s="1">
        <f>IF(U455 + AA454 &lt; 0, U455 + AA454, 0)</f>
        <v>0</v>
      </c>
      <c r="AB455" s="1">
        <f>IF(AA455 &lt; 0, 1 + AB454, 0)</f>
        <v>0</v>
      </c>
      <c r="AC455" s="1">
        <f>IF(H455&lt;0,1,0)</f>
        <v>0</v>
      </c>
      <c r="AD455" s="1">
        <f>IF(AC455=1,H455,0)</f>
        <v>0</v>
      </c>
      <c r="AE455" s="1">
        <f>IF(H455&gt;0,1,0)</f>
        <v>0</v>
      </c>
      <c r="AF455" s="1">
        <f>IF(AE455=1,H455,0)</f>
        <v>0</v>
      </c>
      <c r="AG455" s="1">
        <f>IF(AD455&lt;-20000000.0/100,1,0)</f>
        <v>0</v>
      </c>
      <c r="AH455" s="1">
        <f>IF(AF455&gt;20000000.0/100,1,0)</f>
        <v>0</v>
      </c>
      <c r="AI455" s="1">
        <f>IF(U455&lt;0,1,0)</f>
        <v>0</v>
      </c>
      <c r="AJ455" s="1">
        <f>IF(AI455=1,U455,0)</f>
        <v>0</v>
      </c>
      <c r="AK455" s="1">
        <f>IF(U455&gt;0,1,0)</f>
        <v>0</v>
      </c>
      <c r="AL455" s="1">
        <f>IF(AK455=1,U455,0)</f>
        <v>0</v>
      </c>
      <c r="AM455" s="1">
        <f>IF(AJ455&lt;-20000000.0/100,1,0)</f>
        <v>0</v>
      </c>
      <c r="AN455" s="1">
        <f>IF(AL455&gt;20000000.0/100,1,0)</f>
        <v>0</v>
      </c>
    </row>
    <row r="456" spans="1:40" s="1" customFormat="1">
      <c r="A456" s="3">
        <v>45965</v>
      </c>
      <c r="B456" s="2" t="s">
        <v>23</v>
      </c>
      <c r="C456" s="1">
        <f>SUM(PL!H456:J456)</f>
        <v>0</v>
      </c>
      <c r="D456" s="1">
        <f>SUM(PL!K456:M456)</f>
        <v>0</v>
      </c>
      <c r="E456" s="1">
        <f>SUM(PL!N456:P456)</f>
        <v>0</v>
      </c>
      <c r="F456" s="1">
        <f>SUM(PL!Q456:S456)</f>
        <v>0</v>
      </c>
      <c r="G456" s="1">
        <f>SUM(PL!T456:V456)</f>
        <v>0</v>
      </c>
      <c r="H456" s="1">
        <f>SUM(C456:G456)</f>
        <v>0</v>
      </c>
      <c r="I456" s="1">
        <f>IF(C456 + I455 &lt; 0, C456 + I455, 0)</f>
        <v>0</v>
      </c>
      <c r="J456" s="1">
        <f>IF(D456 + J455 &lt; 0, D456 + J455, 0)</f>
        <v>0</v>
      </c>
      <c r="K456" s="1">
        <f>IF(E456 + K455 &lt; 0, E456 + K455, 0)</f>
        <v>0</v>
      </c>
      <c r="L456" s="1">
        <f>IF(F456 + L455 &lt; 0, F456 + L455, 0)</f>
        <v>0</v>
      </c>
      <c r="M456" s="1">
        <f>IF(G456 + M455 &lt; 0, G456 + M455, 0)</f>
        <v>0</v>
      </c>
      <c r="N456" s="1">
        <f>IF(H456 + N455 &lt; 0, H456 + N455, 0)</f>
        <v>0</v>
      </c>
      <c r="O456" s="1">
        <f>IF(N456 &lt; 0, 1 + O455, 0)</f>
        <v>0</v>
      </c>
      <c r="P456" s="1">
        <f>C456-((ABS(SUM(PL!H456:J456)))*0.125)</f>
        <v>0</v>
      </c>
      <c r="Q456" s="1">
        <f>D456-((ABS(SUM(PL!K456:M456)))*0.125)</f>
        <v>0</v>
      </c>
      <c r="R456" s="1">
        <f>E456-((ABS(SUM(PL!N456:P456)))*0.125)</f>
        <v>0</v>
      </c>
      <c r="S456" s="1">
        <f>F456-((ABS(SUM(PL!Q456:S456)))*0.125)</f>
        <v>0</v>
      </c>
      <c r="T456" s="1">
        <f>G456-((ABS(SUM(PL!T456:V456)))*0.125)</f>
        <v>0</v>
      </c>
      <c r="U456" s="1">
        <f>P456 + Q456 + R456 + S456 + T456</f>
        <v>0</v>
      </c>
      <c r="V456" s="1">
        <f>IF(P456 + V455 &lt; 0, P456 + V455, 0)</f>
        <v>0</v>
      </c>
      <c r="W456" s="1">
        <f>IF(Q456 + W455 &lt; 0, Q456 + W455, 0)</f>
        <v>0</v>
      </c>
      <c r="X456" s="1">
        <f>IF(R456 + X455 &lt; 0, R456 + X455, 0)</f>
        <v>0</v>
      </c>
      <c r="Y456" s="1">
        <f>IF(S456 + Y455 &lt; 0, S456 + Y455, 0)</f>
        <v>0</v>
      </c>
      <c r="Z456" s="1">
        <f>IF(T456 + Z455 &lt; 0, T456 + Z455, 0)</f>
        <v>0</v>
      </c>
      <c r="AA456" s="1">
        <f>IF(U456 + AA455 &lt; 0, U456 + AA455, 0)</f>
        <v>0</v>
      </c>
      <c r="AB456" s="1">
        <f>IF(AA456 &lt; 0, 1 + AB455, 0)</f>
        <v>0</v>
      </c>
      <c r="AC456" s="1">
        <f>IF(H456&lt;0,1,0)</f>
        <v>0</v>
      </c>
      <c r="AD456" s="1">
        <f>IF(AC456=1,H456,0)</f>
        <v>0</v>
      </c>
      <c r="AE456" s="1">
        <f>IF(H456&gt;0,1,0)</f>
        <v>0</v>
      </c>
      <c r="AF456" s="1">
        <f>IF(AE456=1,H456,0)</f>
        <v>0</v>
      </c>
      <c r="AG456" s="1">
        <f>IF(AD456&lt;-20000000.0/100,1,0)</f>
        <v>0</v>
      </c>
      <c r="AH456" s="1">
        <f>IF(AF456&gt;20000000.0/100,1,0)</f>
        <v>0</v>
      </c>
      <c r="AI456" s="1">
        <f>IF(U456&lt;0,1,0)</f>
        <v>0</v>
      </c>
      <c r="AJ456" s="1">
        <f>IF(AI456=1,U456,0)</f>
        <v>0</v>
      </c>
      <c r="AK456" s="1">
        <f>IF(U456&gt;0,1,0)</f>
        <v>0</v>
      </c>
      <c r="AL456" s="1">
        <f>IF(AK456=1,U456,0)</f>
        <v>0</v>
      </c>
      <c r="AM456" s="1">
        <f>IF(AJ456&lt;-20000000.0/100,1,0)</f>
        <v>0</v>
      </c>
      <c r="AN456" s="1">
        <f>IF(AL456&gt;20000000.0/100,1,0)</f>
        <v>0</v>
      </c>
    </row>
    <row r="457" spans="1:40" s="1" customFormat="1">
      <c r="A457" s="3">
        <v>45967</v>
      </c>
      <c r="B457" s="2" t="s">
        <v>25</v>
      </c>
      <c r="C457" s="1">
        <f>SUM(PL!H457:J457)</f>
        <v>0</v>
      </c>
      <c r="D457" s="1">
        <f>SUM(PL!K457:M457)</f>
        <v>0</v>
      </c>
      <c r="E457" s="1">
        <f>SUM(PL!N457:P457)</f>
        <v>0</v>
      </c>
      <c r="F457" s="1">
        <f>SUM(PL!Q457:S457)</f>
        <v>0</v>
      </c>
      <c r="G457" s="1">
        <f>SUM(PL!T457:V457)</f>
        <v>0</v>
      </c>
      <c r="H457" s="1">
        <f>SUM(C457:G457)</f>
        <v>0</v>
      </c>
      <c r="I457" s="1">
        <f>IF(C457 + I456 &lt; 0, C457 + I456, 0)</f>
        <v>0</v>
      </c>
      <c r="J457" s="1">
        <f>IF(D457 + J456 &lt; 0, D457 + J456, 0)</f>
        <v>0</v>
      </c>
      <c r="K457" s="1">
        <f>IF(E457 + K456 &lt; 0, E457 + K456, 0)</f>
        <v>0</v>
      </c>
      <c r="L457" s="1">
        <f>IF(F457 + L456 &lt; 0, F457 + L456, 0)</f>
        <v>0</v>
      </c>
      <c r="M457" s="1">
        <f>IF(G457 + M456 &lt; 0, G457 + M456, 0)</f>
        <v>0</v>
      </c>
      <c r="N457" s="1">
        <f>IF(H457 + N456 &lt; 0, H457 + N456, 0)</f>
        <v>0</v>
      </c>
      <c r="O457" s="1">
        <f>IF(N457 &lt; 0, 1 + O456, 0)</f>
        <v>0</v>
      </c>
      <c r="P457" s="1">
        <f>C457-((ABS(SUM(PL!H457:J457)))*0.125)</f>
        <v>0</v>
      </c>
      <c r="Q457" s="1">
        <f>D457-((ABS(SUM(PL!K457:M457)))*0.125)</f>
        <v>0</v>
      </c>
      <c r="R457" s="1">
        <f>E457-((ABS(SUM(PL!N457:P457)))*0.125)</f>
        <v>0</v>
      </c>
      <c r="S457" s="1">
        <f>F457-((ABS(SUM(PL!Q457:S457)))*0.125)</f>
        <v>0</v>
      </c>
      <c r="T457" s="1">
        <f>G457-((ABS(SUM(PL!T457:V457)))*0.125)</f>
        <v>0</v>
      </c>
      <c r="U457" s="1">
        <f>P457 + Q457 + R457 + S457 + T457</f>
        <v>0</v>
      </c>
      <c r="V457" s="1">
        <f>IF(P457 + V456 &lt; 0, P457 + V456, 0)</f>
        <v>0</v>
      </c>
      <c r="W457" s="1">
        <f>IF(Q457 + W456 &lt; 0, Q457 + W456, 0)</f>
        <v>0</v>
      </c>
      <c r="X457" s="1">
        <f>IF(R457 + X456 &lt; 0, R457 + X456, 0)</f>
        <v>0</v>
      </c>
      <c r="Y457" s="1">
        <f>IF(S457 + Y456 &lt; 0, S457 + Y456, 0)</f>
        <v>0</v>
      </c>
      <c r="Z457" s="1">
        <f>IF(T457 + Z456 &lt; 0, T457 + Z456, 0)</f>
        <v>0</v>
      </c>
      <c r="AA457" s="1">
        <f>IF(U457 + AA456 &lt; 0, U457 + AA456, 0)</f>
        <v>0</v>
      </c>
      <c r="AB457" s="1">
        <f>IF(AA457 &lt; 0, 1 + AB456, 0)</f>
        <v>0</v>
      </c>
      <c r="AC457" s="1">
        <f>IF(H457&lt;0,1,0)</f>
        <v>0</v>
      </c>
      <c r="AD457" s="1">
        <f>IF(AC457=1,H457,0)</f>
        <v>0</v>
      </c>
      <c r="AE457" s="1">
        <f>IF(H457&gt;0,1,0)</f>
        <v>0</v>
      </c>
      <c r="AF457" s="1">
        <f>IF(AE457=1,H457,0)</f>
        <v>0</v>
      </c>
      <c r="AG457" s="1">
        <f>IF(AD457&lt;-20000000.0/100,1,0)</f>
        <v>0</v>
      </c>
      <c r="AH457" s="1">
        <f>IF(AF457&gt;20000000.0/100,1,0)</f>
        <v>0</v>
      </c>
      <c r="AI457" s="1">
        <f>IF(U457&lt;0,1,0)</f>
        <v>0</v>
      </c>
      <c r="AJ457" s="1">
        <f>IF(AI457=1,U457,0)</f>
        <v>0</v>
      </c>
      <c r="AK457" s="1">
        <f>IF(U457&gt;0,1,0)</f>
        <v>0</v>
      </c>
      <c r="AL457" s="1">
        <f>IF(AK457=1,U457,0)</f>
        <v>0</v>
      </c>
      <c r="AM457" s="1">
        <f>IF(AJ457&lt;-20000000.0/100,1,0)</f>
        <v>0</v>
      </c>
      <c r="AN457" s="1">
        <f>IF(AL457&gt;20000000.0/100,1,0)</f>
        <v>0</v>
      </c>
    </row>
    <row r="458" spans="1:40" s="1" customFormat="1">
      <c r="A458" s="3">
        <v>45968</v>
      </c>
      <c r="B458" s="2" t="s">
        <v>26</v>
      </c>
      <c r="C458" s="1">
        <f>SUM(PL!H458:J458)</f>
        <v>0</v>
      </c>
      <c r="D458" s="1">
        <f>SUM(PL!K458:M458)</f>
        <v>0</v>
      </c>
      <c r="E458" s="1">
        <f>SUM(PL!N458:P458)</f>
        <v>0</v>
      </c>
      <c r="F458" s="1">
        <f>SUM(PL!Q458:S458)</f>
        <v>0</v>
      </c>
      <c r="G458" s="1">
        <f>SUM(PL!T458:V458)</f>
        <v>0</v>
      </c>
      <c r="H458" s="1">
        <f>SUM(C458:G458)</f>
        <v>0</v>
      </c>
      <c r="I458" s="1">
        <f>IF(C458 + I457 &lt; 0, C458 + I457, 0)</f>
        <v>0</v>
      </c>
      <c r="J458" s="1">
        <f>IF(D458 + J457 &lt; 0, D458 + J457, 0)</f>
        <v>0</v>
      </c>
      <c r="K458" s="1">
        <f>IF(E458 + K457 &lt; 0, E458 + K457, 0)</f>
        <v>0</v>
      </c>
      <c r="L458" s="1">
        <f>IF(F458 + L457 &lt; 0, F458 + L457, 0)</f>
        <v>0</v>
      </c>
      <c r="M458" s="1">
        <f>IF(G458 + M457 &lt; 0, G458 + M457, 0)</f>
        <v>0</v>
      </c>
      <c r="N458" s="1">
        <f>IF(H458 + N457 &lt; 0, H458 + N457, 0)</f>
        <v>0</v>
      </c>
      <c r="O458" s="1">
        <f>IF(N458 &lt; 0, 1 + O457, 0)</f>
        <v>0</v>
      </c>
      <c r="P458" s="1">
        <f>C458-((ABS(SUM(PL!H458:J458)))*0.125)</f>
        <v>0</v>
      </c>
      <c r="Q458" s="1">
        <f>D458-((ABS(SUM(PL!K458:M458)))*0.125)</f>
        <v>0</v>
      </c>
      <c r="R458" s="1">
        <f>E458-((ABS(SUM(PL!N458:P458)))*0.125)</f>
        <v>0</v>
      </c>
      <c r="S458" s="1">
        <f>F458-((ABS(SUM(PL!Q458:S458)))*0.125)</f>
        <v>0</v>
      </c>
      <c r="T458" s="1">
        <f>G458-((ABS(SUM(PL!T458:V458)))*0.125)</f>
        <v>0</v>
      </c>
      <c r="U458" s="1">
        <f>P458 + Q458 + R458 + S458 + T458</f>
        <v>0</v>
      </c>
      <c r="V458" s="1">
        <f>IF(P458 + V457 &lt; 0, P458 + V457, 0)</f>
        <v>0</v>
      </c>
      <c r="W458" s="1">
        <f>IF(Q458 + W457 &lt; 0, Q458 + W457, 0)</f>
        <v>0</v>
      </c>
      <c r="X458" s="1">
        <f>IF(R458 + X457 &lt; 0, R458 + X457, 0)</f>
        <v>0</v>
      </c>
      <c r="Y458" s="1">
        <f>IF(S458 + Y457 &lt; 0, S458 + Y457, 0)</f>
        <v>0</v>
      </c>
      <c r="Z458" s="1">
        <f>IF(T458 + Z457 &lt; 0, T458 + Z457, 0)</f>
        <v>0</v>
      </c>
      <c r="AA458" s="1">
        <f>IF(U458 + AA457 &lt; 0, U458 + AA457, 0)</f>
        <v>0</v>
      </c>
      <c r="AB458" s="1">
        <f>IF(AA458 &lt; 0, 1 + AB457, 0)</f>
        <v>0</v>
      </c>
      <c r="AC458" s="1">
        <f>IF(H458&lt;0,1,0)</f>
        <v>0</v>
      </c>
      <c r="AD458" s="1">
        <f>IF(AC458=1,H458,0)</f>
        <v>0</v>
      </c>
      <c r="AE458" s="1">
        <f>IF(H458&gt;0,1,0)</f>
        <v>0</v>
      </c>
      <c r="AF458" s="1">
        <f>IF(AE458=1,H458,0)</f>
        <v>0</v>
      </c>
      <c r="AG458" s="1">
        <f>IF(AD458&lt;-20000000.0/100,1,0)</f>
        <v>0</v>
      </c>
      <c r="AH458" s="1">
        <f>IF(AF458&gt;20000000.0/100,1,0)</f>
        <v>0</v>
      </c>
      <c r="AI458" s="1">
        <f>IF(U458&lt;0,1,0)</f>
        <v>0</v>
      </c>
      <c r="AJ458" s="1">
        <f>IF(AI458=1,U458,0)</f>
        <v>0</v>
      </c>
      <c r="AK458" s="1">
        <f>IF(U458&gt;0,1,0)</f>
        <v>0</v>
      </c>
      <c r="AL458" s="1">
        <f>IF(AK458=1,U458,0)</f>
        <v>0</v>
      </c>
      <c r="AM458" s="1">
        <f>IF(AJ458&lt;-20000000.0/100,1,0)</f>
        <v>0</v>
      </c>
      <c r="AN458" s="1">
        <f>IF(AL458&gt;20000000.0/100,1,0)</f>
        <v>0</v>
      </c>
    </row>
    <row r="459" spans="1:40" s="1" customFormat="1">
      <c r="A459" s="3">
        <v>45971</v>
      </c>
      <c r="B459" s="2" t="s">
        <v>22</v>
      </c>
      <c r="C459" s="1">
        <f>SUM(PL!H459:J459)</f>
        <v>0</v>
      </c>
      <c r="D459" s="1">
        <f>SUM(PL!K459:M459)</f>
        <v>0</v>
      </c>
      <c r="E459" s="1">
        <f>SUM(PL!N459:P459)</f>
        <v>0</v>
      </c>
      <c r="F459" s="1">
        <f>SUM(PL!Q459:S459)</f>
        <v>0</v>
      </c>
      <c r="G459" s="1">
        <f>SUM(PL!T459:V459)</f>
        <v>0</v>
      </c>
      <c r="H459" s="1">
        <f>SUM(C459:G459)</f>
        <v>0</v>
      </c>
      <c r="I459" s="1">
        <f>IF(C459 + I458 &lt; 0, C459 + I458, 0)</f>
        <v>0</v>
      </c>
      <c r="J459" s="1">
        <f>IF(D459 + J458 &lt; 0, D459 + J458, 0)</f>
        <v>0</v>
      </c>
      <c r="K459" s="1">
        <f>IF(E459 + K458 &lt; 0, E459 + K458, 0)</f>
        <v>0</v>
      </c>
      <c r="L459" s="1">
        <f>IF(F459 + L458 &lt; 0, F459 + L458, 0)</f>
        <v>0</v>
      </c>
      <c r="M459" s="1">
        <f>IF(G459 + M458 &lt; 0, G459 + M458, 0)</f>
        <v>0</v>
      </c>
      <c r="N459" s="1">
        <f>IF(H459 + N458 &lt; 0, H459 + N458, 0)</f>
        <v>0</v>
      </c>
      <c r="O459" s="1">
        <f>IF(N459 &lt; 0, 1 + O458, 0)</f>
        <v>0</v>
      </c>
      <c r="P459" s="1">
        <f>C459-((ABS(SUM(PL!H459:J459)))*0.125)</f>
        <v>0</v>
      </c>
      <c r="Q459" s="1">
        <f>D459-((ABS(SUM(PL!K459:M459)))*0.125)</f>
        <v>0</v>
      </c>
      <c r="R459" s="1">
        <f>E459-((ABS(SUM(PL!N459:P459)))*0.125)</f>
        <v>0</v>
      </c>
      <c r="S459" s="1">
        <f>F459-((ABS(SUM(PL!Q459:S459)))*0.125)</f>
        <v>0</v>
      </c>
      <c r="T459" s="1">
        <f>G459-((ABS(SUM(PL!T459:V459)))*0.125)</f>
        <v>0</v>
      </c>
      <c r="U459" s="1">
        <f>P459 + Q459 + R459 + S459 + T459</f>
        <v>0</v>
      </c>
      <c r="V459" s="1">
        <f>IF(P459 + V458 &lt; 0, P459 + V458, 0)</f>
        <v>0</v>
      </c>
      <c r="W459" s="1">
        <f>IF(Q459 + W458 &lt; 0, Q459 + W458, 0)</f>
        <v>0</v>
      </c>
      <c r="X459" s="1">
        <f>IF(R459 + X458 &lt; 0, R459 + X458, 0)</f>
        <v>0</v>
      </c>
      <c r="Y459" s="1">
        <f>IF(S459 + Y458 &lt; 0, S459 + Y458, 0)</f>
        <v>0</v>
      </c>
      <c r="Z459" s="1">
        <f>IF(T459 + Z458 &lt; 0, T459 + Z458, 0)</f>
        <v>0</v>
      </c>
      <c r="AA459" s="1">
        <f>IF(U459 + AA458 &lt; 0, U459 + AA458, 0)</f>
        <v>0</v>
      </c>
      <c r="AB459" s="1">
        <f>IF(AA459 &lt; 0, 1 + AB458, 0)</f>
        <v>0</v>
      </c>
      <c r="AC459" s="1">
        <f>IF(H459&lt;0,1,0)</f>
        <v>0</v>
      </c>
      <c r="AD459" s="1">
        <f>IF(AC459=1,H459,0)</f>
        <v>0</v>
      </c>
      <c r="AE459" s="1">
        <f>IF(H459&gt;0,1,0)</f>
        <v>0</v>
      </c>
      <c r="AF459" s="1">
        <f>IF(AE459=1,H459,0)</f>
        <v>0</v>
      </c>
      <c r="AG459" s="1">
        <f>IF(AD459&lt;-20000000.0/100,1,0)</f>
        <v>0</v>
      </c>
      <c r="AH459" s="1">
        <f>IF(AF459&gt;20000000.0/100,1,0)</f>
        <v>0</v>
      </c>
      <c r="AI459" s="1">
        <f>IF(U459&lt;0,1,0)</f>
        <v>0</v>
      </c>
      <c r="AJ459" s="1">
        <f>IF(AI459=1,U459,0)</f>
        <v>0</v>
      </c>
      <c r="AK459" s="1">
        <f>IF(U459&gt;0,1,0)</f>
        <v>0</v>
      </c>
      <c r="AL459" s="1">
        <f>IF(AK459=1,U459,0)</f>
        <v>0</v>
      </c>
      <c r="AM459" s="1">
        <f>IF(AJ459&lt;-20000000.0/100,1,0)</f>
        <v>0</v>
      </c>
      <c r="AN459" s="1">
        <f>IF(AL459&gt;20000000.0/100,1,0)</f>
        <v>0</v>
      </c>
    </row>
    <row r="460" spans="1:40" s="1" customFormat="1">
      <c r="A460" s="3">
        <v>45972</v>
      </c>
      <c r="B460" s="2" t="s">
        <v>23</v>
      </c>
      <c r="C460" s="1">
        <f>SUM(PL!H460:J460)</f>
        <v>0</v>
      </c>
      <c r="D460" s="1">
        <f>SUM(PL!K460:M460)</f>
        <v>0</v>
      </c>
      <c r="E460" s="1">
        <f>SUM(PL!N460:P460)</f>
        <v>0</v>
      </c>
      <c r="F460" s="1">
        <f>SUM(PL!Q460:S460)</f>
        <v>0</v>
      </c>
      <c r="G460" s="1">
        <f>SUM(PL!T460:V460)</f>
        <v>0</v>
      </c>
      <c r="H460" s="1">
        <f>SUM(C460:G460)</f>
        <v>0</v>
      </c>
      <c r="I460" s="1">
        <f>IF(C460 + I459 &lt; 0, C460 + I459, 0)</f>
        <v>0</v>
      </c>
      <c r="J460" s="1">
        <f>IF(D460 + J459 &lt; 0, D460 + J459, 0)</f>
        <v>0</v>
      </c>
      <c r="K460" s="1">
        <f>IF(E460 + K459 &lt; 0, E460 + K459, 0)</f>
        <v>0</v>
      </c>
      <c r="L460" s="1">
        <f>IF(F460 + L459 &lt; 0, F460 + L459, 0)</f>
        <v>0</v>
      </c>
      <c r="M460" s="1">
        <f>IF(G460 + M459 &lt; 0, G460 + M459, 0)</f>
        <v>0</v>
      </c>
      <c r="N460" s="1">
        <f>IF(H460 + N459 &lt; 0, H460 + N459, 0)</f>
        <v>0</v>
      </c>
      <c r="O460" s="1">
        <f>IF(N460 &lt; 0, 1 + O459, 0)</f>
        <v>0</v>
      </c>
      <c r="P460" s="1">
        <f>C460-((ABS(SUM(PL!H460:J460)))*0.125)</f>
        <v>0</v>
      </c>
      <c r="Q460" s="1">
        <f>D460-((ABS(SUM(PL!K460:M460)))*0.125)</f>
        <v>0</v>
      </c>
      <c r="R460" s="1">
        <f>E460-((ABS(SUM(PL!N460:P460)))*0.125)</f>
        <v>0</v>
      </c>
      <c r="S460" s="1">
        <f>F460-((ABS(SUM(PL!Q460:S460)))*0.125)</f>
        <v>0</v>
      </c>
      <c r="T460" s="1">
        <f>G460-((ABS(SUM(PL!T460:V460)))*0.125)</f>
        <v>0</v>
      </c>
      <c r="U460" s="1">
        <f>P460 + Q460 + R460 + S460 + T460</f>
        <v>0</v>
      </c>
      <c r="V460" s="1">
        <f>IF(P460 + V459 &lt; 0, P460 + V459, 0)</f>
        <v>0</v>
      </c>
      <c r="W460" s="1">
        <f>IF(Q460 + W459 &lt; 0, Q460 + W459, 0)</f>
        <v>0</v>
      </c>
      <c r="X460" s="1">
        <f>IF(R460 + X459 &lt; 0, R460 + X459, 0)</f>
        <v>0</v>
      </c>
      <c r="Y460" s="1">
        <f>IF(S460 + Y459 &lt; 0, S460 + Y459, 0)</f>
        <v>0</v>
      </c>
      <c r="Z460" s="1">
        <f>IF(T460 + Z459 &lt; 0, T460 + Z459, 0)</f>
        <v>0</v>
      </c>
      <c r="AA460" s="1">
        <f>IF(U460 + AA459 &lt; 0, U460 + AA459, 0)</f>
        <v>0</v>
      </c>
      <c r="AB460" s="1">
        <f>IF(AA460 &lt; 0, 1 + AB459, 0)</f>
        <v>0</v>
      </c>
      <c r="AC460" s="1">
        <f>IF(H460&lt;0,1,0)</f>
        <v>0</v>
      </c>
      <c r="AD460" s="1">
        <f>IF(AC460=1,H460,0)</f>
        <v>0</v>
      </c>
      <c r="AE460" s="1">
        <f>IF(H460&gt;0,1,0)</f>
        <v>0</v>
      </c>
      <c r="AF460" s="1">
        <f>IF(AE460=1,H460,0)</f>
        <v>0</v>
      </c>
      <c r="AG460" s="1">
        <f>IF(AD460&lt;-20000000.0/100,1,0)</f>
        <v>0</v>
      </c>
      <c r="AH460" s="1">
        <f>IF(AF460&gt;20000000.0/100,1,0)</f>
        <v>0</v>
      </c>
      <c r="AI460" s="1">
        <f>IF(U460&lt;0,1,0)</f>
        <v>0</v>
      </c>
      <c r="AJ460" s="1">
        <f>IF(AI460=1,U460,0)</f>
        <v>0</v>
      </c>
      <c r="AK460" s="1">
        <f>IF(U460&gt;0,1,0)</f>
        <v>0</v>
      </c>
      <c r="AL460" s="1">
        <f>IF(AK460=1,U460,0)</f>
        <v>0</v>
      </c>
      <c r="AM460" s="1">
        <f>IF(AJ460&lt;-20000000.0/100,1,0)</f>
        <v>0</v>
      </c>
      <c r="AN460" s="1">
        <f>IF(AL460&gt;20000000.0/100,1,0)</f>
        <v>0</v>
      </c>
    </row>
    <row r="461" spans="1:40" s="1" customFormat="1">
      <c r="A461" s="3">
        <v>45973</v>
      </c>
      <c r="B461" s="2" t="s">
        <v>24</v>
      </c>
      <c r="C461" s="1">
        <f>SUM(PL!H461:J461)</f>
        <v>0</v>
      </c>
      <c r="D461" s="1">
        <f>SUM(PL!K461:M461)</f>
        <v>0</v>
      </c>
      <c r="E461" s="1">
        <f>SUM(PL!N461:P461)</f>
        <v>0</v>
      </c>
      <c r="F461" s="1">
        <f>SUM(PL!Q461:S461)</f>
        <v>0</v>
      </c>
      <c r="G461" s="1">
        <f>SUM(PL!T461:V461)</f>
        <v>0</v>
      </c>
      <c r="H461" s="1">
        <f>SUM(C461:G461)</f>
        <v>0</v>
      </c>
      <c r="I461" s="1">
        <f>IF(C461 + I460 &lt; 0, C461 + I460, 0)</f>
        <v>0</v>
      </c>
      <c r="J461" s="1">
        <f>IF(D461 + J460 &lt; 0, D461 + J460, 0)</f>
        <v>0</v>
      </c>
      <c r="K461" s="1">
        <f>IF(E461 + K460 &lt; 0, E461 + K460, 0)</f>
        <v>0</v>
      </c>
      <c r="L461" s="1">
        <f>IF(F461 + L460 &lt; 0, F461 + L460, 0)</f>
        <v>0</v>
      </c>
      <c r="M461" s="1">
        <f>IF(G461 + M460 &lt; 0, G461 + M460, 0)</f>
        <v>0</v>
      </c>
      <c r="N461" s="1">
        <f>IF(H461 + N460 &lt; 0, H461 + N460, 0)</f>
        <v>0</v>
      </c>
      <c r="O461" s="1">
        <f>IF(N461 &lt; 0, 1 + O460, 0)</f>
        <v>0</v>
      </c>
      <c r="P461" s="1">
        <f>C461-((ABS(SUM(PL!H461:J461)))*0.125)</f>
        <v>0</v>
      </c>
      <c r="Q461" s="1">
        <f>D461-((ABS(SUM(PL!K461:M461)))*0.125)</f>
        <v>0</v>
      </c>
      <c r="R461" s="1">
        <f>E461-((ABS(SUM(PL!N461:P461)))*0.125)</f>
        <v>0</v>
      </c>
      <c r="S461" s="1">
        <f>F461-((ABS(SUM(PL!Q461:S461)))*0.125)</f>
        <v>0</v>
      </c>
      <c r="T461" s="1">
        <f>G461-((ABS(SUM(PL!T461:V461)))*0.125)</f>
        <v>0</v>
      </c>
      <c r="U461" s="1">
        <f>P461 + Q461 + R461 + S461 + T461</f>
        <v>0</v>
      </c>
      <c r="V461" s="1">
        <f>IF(P461 + V460 &lt; 0, P461 + V460, 0)</f>
        <v>0</v>
      </c>
      <c r="W461" s="1">
        <f>IF(Q461 + W460 &lt; 0, Q461 + W460, 0)</f>
        <v>0</v>
      </c>
      <c r="X461" s="1">
        <f>IF(R461 + X460 &lt; 0, R461 + X460, 0)</f>
        <v>0</v>
      </c>
      <c r="Y461" s="1">
        <f>IF(S461 + Y460 &lt; 0, S461 + Y460, 0)</f>
        <v>0</v>
      </c>
      <c r="Z461" s="1">
        <f>IF(T461 + Z460 &lt; 0, T461 + Z460, 0)</f>
        <v>0</v>
      </c>
      <c r="AA461" s="1">
        <f>IF(U461 + AA460 &lt; 0, U461 + AA460, 0)</f>
        <v>0</v>
      </c>
      <c r="AB461" s="1">
        <f>IF(AA461 &lt; 0, 1 + AB460, 0)</f>
        <v>0</v>
      </c>
      <c r="AC461" s="1">
        <f>IF(H461&lt;0,1,0)</f>
        <v>0</v>
      </c>
      <c r="AD461" s="1">
        <f>IF(AC461=1,H461,0)</f>
        <v>0</v>
      </c>
      <c r="AE461" s="1">
        <f>IF(H461&gt;0,1,0)</f>
        <v>0</v>
      </c>
      <c r="AF461" s="1">
        <f>IF(AE461=1,H461,0)</f>
        <v>0</v>
      </c>
      <c r="AG461" s="1">
        <f>IF(AD461&lt;-20000000.0/100,1,0)</f>
        <v>0</v>
      </c>
      <c r="AH461" s="1">
        <f>IF(AF461&gt;20000000.0/100,1,0)</f>
        <v>0</v>
      </c>
      <c r="AI461" s="1">
        <f>IF(U461&lt;0,1,0)</f>
        <v>0</v>
      </c>
      <c r="AJ461" s="1">
        <f>IF(AI461=1,U461,0)</f>
        <v>0</v>
      </c>
      <c r="AK461" s="1">
        <f>IF(U461&gt;0,1,0)</f>
        <v>0</v>
      </c>
      <c r="AL461" s="1">
        <f>IF(AK461=1,U461,0)</f>
        <v>0</v>
      </c>
      <c r="AM461" s="1">
        <f>IF(AJ461&lt;-20000000.0/100,1,0)</f>
        <v>0</v>
      </c>
      <c r="AN461" s="1">
        <f>IF(AL461&gt;20000000.0/100,1,0)</f>
        <v>0</v>
      </c>
    </row>
    <row r="462" spans="1:40" s="1" customFormat="1">
      <c r="A462" s="3">
        <v>45974</v>
      </c>
      <c r="B462" s="2" t="s">
        <v>25</v>
      </c>
      <c r="C462" s="1">
        <f>SUM(PL!H462:J462)</f>
        <v>0</v>
      </c>
      <c r="D462" s="1">
        <f>SUM(PL!K462:M462)</f>
        <v>0</v>
      </c>
      <c r="E462" s="1">
        <f>SUM(PL!N462:P462)</f>
        <v>0</v>
      </c>
      <c r="F462" s="1">
        <f>SUM(PL!Q462:S462)</f>
        <v>0</v>
      </c>
      <c r="G462" s="1">
        <f>SUM(PL!T462:V462)</f>
        <v>0</v>
      </c>
      <c r="H462" s="1">
        <f>SUM(C462:G462)</f>
        <v>0</v>
      </c>
      <c r="I462" s="1">
        <f>IF(C462 + I461 &lt; 0, C462 + I461, 0)</f>
        <v>0</v>
      </c>
      <c r="J462" s="1">
        <f>IF(D462 + J461 &lt; 0, D462 + J461, 0)</f>
        <v>0</v>
      </c>
      <c r="K462" s="1">
        <f>IF(E462 + K461 &lt; 0, E462 + K461, 0)</f>
        <v>0</v>
      </c>
      <c r="L462" s="1">
        <f>IF(F462 + L461 &lt; 0, F462 + L461, 0)</f>
        <v>0</v>
      </c>
      <c r="M462" s="1">
        <f>IF(G462 + M461 &lt; 0, G462 + M461, 0)</f>
        <v>0</v>
      </c>
      <c r="N462" s="1">
        <f>IF(H462 + N461 &lt; 0, H462 + N461, 0)</f>
        <v>0</v>
      </c>
      <c r="O462" s="1">
        <f>IF(N462 &lt; 0, 1 + O461, 0)</f>
        <v>0</v>
      </c>
      <c r="P462" s="1">
        <f>C462-((ABS(SUM(PL!H462:J462)))*0.125)</f>
        <v>0</v>
      </c>
      <c r="Q462" s="1">
        <f>D462-((ABS(SUM(PL!K462:M462)))*0.125)</f>
        <v>0</v>
      </c>
      <c r="R462" s="1">
        <f>E462-((ABS(SUM(PL!N462:P462)))*0.125)</f>
        <v>0</v>
      </c>
      <c r="S462" s="1">
        <f>F462-((ABS(SUM(PL!Q462:S462)))*0.125)</f>
        <v>0</v>
      </c>
      <c r="T462" s="1">
        <f>G462-((ABS(SUM(PL!T462:V462)))*0.125)</f>
        <v>0</v>
      </c>
      <c r="U462" s="1">
        <f>P462 + Q462 + R462 + S462 + T462</f>
        <v>0</v>
      </c>
      <c r="V462" s="1">
        <f>IF(P462 + V461 &lt; 0, P462 + V461, 0)</f>
        <v>0</v>
      </c>
      <c r="W462" s="1">
        <f>IF(Q462 + W461 &lt; 0, Q462 + W461, 0)</f>
        <v>0</v>
      </c>
      <c r="X462" s="1">
        <f>IF(R462 + X461 &lt; 0, R462 + X461, 0)</f>
        <v>0</v>
      </c>
      <c r="Y462" s="1">
        <f>IF(S462 + Y461 &lt; 0, S462 + Y461, 0)</f>
        <v>0</v>
      </c>
      <c r="Z462" s="1">
        <f>IF(T462 + Z461 &lt; 0, T462 + Z461, 0)</f>
        <v>0</v>
      </c>
      <c r="AA462" s="1">
        <f>IF(U462 + AA461 &lt; 0, U462 + AA461, 0)</f>
        <v>0</v>
      </c>
      <c r="AB462" s="1">
        <f>IF(AA462 &lt; 0, 1 + AB461, 0)</f>
        <v>0</v>
      </c>
      <c r="AC462" s="1">
        <f>IF(H462&lt;0,1,0)</f>
        <v>0</v>
      </c>
      <c r="AD462" s="1">
        <f>IF(AC462=1,H462,0)</f>
        <v>0</v>
      </c>
      <c r="AE462" s="1">
        <f>IF(H462&gt;0,1,0)</f>
        <v>0</v>
      </c>
      <c r="AF462" s="1">
        <f>IF(AE462=1,H462,0)</f>
        <v>0</v>
      </c>
      <c r="AG462" s="1">
        <f>IF(AD462&lt;-20000000.0/100,1,0)</f>
        <v>0</v>
      </c>
      <c r="AH462" s="1">
        <f>IF(AF462&gt;20000000.0/100,1,0)</f>
        <v>0</v>
      </c>
      <c r="AI462" s="1">
        <f>IF(U462&lt;0,1,0)</f>
        <v>0</v>
      </c>
      <c r="AJ462" s="1">
        <f>IF(AI462=1,U462,0)</f>
        <v>0</v>
      </c>
      <c r="AK462" s="1">
        <f>IF(U462&gt;0,1,0)</f>
        <v>0</v>
      </c>
      <c r="AL462" s="1">
        <f>IF(AK462=1,U462,0)</f>
        <v>0</v>
      </c>
      <c r="AM462" s="1">
        <f>IF(AJ462&lt;-20000000.0/100,1,0)</f>
        <v>0</v>
      </c>
      <c r="AN462" s="1">
        <f>IF(AL462&gt;20000000.0/100,1,0)</f>
        <v>0</v>
      </c>
    </row>
    <row r="463" spans="1:40" s="1" customFormat="1">
      <c r="A463" s="3">
        <v>45975</v>
      </c>
      <c r="B463" s="2" t="s">
        <v>26</v>
      </c>
      <c r="C463" s="1">
        <f>SUM(PL!H463:J463)</f>
        <v>0</v>
      </c>
      <c r="D463" s="1">
        <f>SUM(PL!K463:M463)</f>
        <v>0</v>
      </c>
      <c r="E463" s="1">
        <f>SUM(PL!N463:P463)</f>
        <v>0</v>
      </c>
      <c r="F463" s="1">
        <f>SUM(PL!Q463:S463)</f>
        <v>0</v>
      </c>
      <c r="G463" s="1">
        <f>SUM(PL!T463:V463)</f>
        <v>0</v>
      </c>
      <c r="H463" s="1">
        <f>SUM(C463:G463)</f>
        <v>0</v>
      </c>
      <c r="I463" s="1">
        <f>IF(C463 + I462 &lt; 0, C463 + I462, 0)</f>
        <v>0</v>
      </c>
      <c r="J463" s="1">
        <f>IF(D463 + J462 &lt; 0, D463 + J462, 0)</f>
        <v>0</v>
      </c>
      <c r="K463" s="1">
        <f>IF(E463 + K462 &lt; 0, E463 + K462, 0)</f>
        <v>0</v>
      </c>
      <c r="L463" s="1">
        <f>IF(F463 + L462 &lt; 0, F463 + L462, 0)</f>
        <v>0</v>
      </c>
      <c r="M463" s="1">
        <f>IF(G463 + M462 &lt; 0, G463 + M462, 0)</f>
        <v>0</v>
      </c>
      <c r="N463" s="1">
        <f>IF(H463 + N462 &lt; 0, H463 + N462, 0)</f>
        <v>0</v>
      </c>
      <c r="O463" s="1">
        <f>IF(N463 &lt; 0, 1 + O462, 0)</f>
        <v>0</v>
      </c>
      <c r="P463" s="1">
        <f>C463-((ABS(SUM(PL!H463:J463)))*0.125)</f>
        <v>0</v>
      </c>
      <c r="Q463" s="1">
        <f>D463-((ABS(SUM(PL!K463:M463)))*0.125)</f>
        <v>0</v>
      </c>
      <c r="R463" s="1">
        <f>E463-((ABS(SUM(PL!N463:P463)))*0.125)</f>
        <v>0</v>
      </c>
      <c r="S463" s="1">
        <f>F463-((ABS(SUM(PL!Q463:S463)))*0.125)</f>
        <v>0</v>
      </c>
      <c r="T463" s="1">
        <f>G463-((ABS(SUM(PL!T463:V463)))*0.125)</f>
        <v>0</v>
      </c>
      <c r="U463" s="1">
        <f>P463 + Q463 + R463 + S463 + T463</f>
        <v>0</v>
      </c>
      <c r="V463" s="1">
        <f>IF(P463 + V462 &lt; 0, P463 + V462, 0)</f>
        <v>0</v>
      </c>
      <c r="W463" s="1">
        <f>IF(Q463 + W462 &lt; 0, Q463 + W462, 0)</f>
        <v>0</v>
      </c>
      <c r="X463" s="1">
        <f>IF(R463 + X462 &lt; 0, R463 + X462, 0)</f>
        <v>0</v>
      </c>
      <c r="Y463" s="1">
        <f>IF(S463 + Y462 &lt; 0, S463 + Y462, 0)</f>
        <v>0</v>
      </c>
      <c r="Z463" s="1">
        <f>IF(T463 + Z462 &lt; 0, T463 + Z462, 0)</f>
        <v>0</v>
      </c>
      <c r="AA463" s="1">
        <f>IF(U463 + AA462 &lt; 0, U463 + AA462, 0)</f>
        <v>0</v>
      </c>
      <c r="AB463" s="1">
        <f>IF(AA463 &lt; 0, 1 + AB462, 0)</f>
        <v>0</v>
      </c>
      <c r="AC463" s="1">
        <f>IF(H463&lt;0,1,0)</f>
        <v>0</v>
      </c>
      <c r="AD463" s="1">
        <f>IF(AC463=1,H463,0)</f>
        <v>0</v>
      </c>
      <c r="AE463" s="1">
        <f>IF(H463&gt;0,1,0)</f>
        <v>0</v>
      </c>
      <c r="AF463" s="1">
        <f>IF(AE463=1,H463,0)</f>
        <v>0</v>
      </c>
      <c r="AG463" s="1">
        <f>IF(AD463&lt;-20000000.0/100,1,0)</f>
        <v>0</v>
      </c>
      <c r="AH463" s="1">
        <f>IF(AF463&gt;20000000.0/100,1,0)</f>
        <v>0</v>
      </c>
      <c r="AI463" s="1">
        <f>IF(U463&lt;0,1,0)</f>
        <v>0</v>
      </c>
      <c r="AJ463" s="1">
        <f>IF(AI463=1,U463,0)</f>
        <v>0</v>
      </c>
      <c r="AK463" s="1">
        <f>IF(U463&gt;0,1,0)</f>
        <v>0</v>
      </c>
      <c r="AL463" s="1">
        <f>IF(AK463=1,U463,0)</f>
        <v>0</v>
      </c>
      <c r="AM463" s="1">
        <f>IF(AJ463&lt;-20000000.0/100,1,0)</f>
        <v>0</v>
      </c>
      <c r="AN463" s="1">
        <f>IF(AL463&gt;20000000.0/100,1,0)</f>
        <v>0</v>
      </c>
    </row>
    <row r="464" spans="1:40" s="1" customFormat="1">
      <c r="A464" s="3">
        <v>45978</v>
      </c>
      <c r="B464" s="2" t="s">
        <v>22</v>
      </c>
      <c r="C464" s="1">
        <f>SUM(PL!H464:J464)</f>
        <v>0</v>
      </c>
      <c r="D464" s="1">
        <f>SUM(PL!K464:M464)</f>
        <v>0</v>
      </c>
      <c r="E464" s="1">
        <f>SUM(PL!N464:P464)</f>
        <v>0</v>
      </c>
      <c r="F464" s="1">
        <f>SUM(PL!Q464:S464)</f>
        <v>0</v>
      </c>
      <c r="G464" s="1">
        <f>SUM(PL!T464:V464)</f>
        <v>0</v>
      </c>
      <c r="H464" s="1">
        <f>SUM(C464:G464)</f>
        <v>0</v>
      </c>
      <c r="I464" s="1">
        <f>IF(C464 + I463 &lt; 0, C464 + I463, 0)</f>
        <v>0</v>
      </c>
      <c r="J464" s="1">
        <f>IF(D464 + J463 &lt; 0, D464 + J463, 0)</f>
        <v>0</v>
      </c>
      <c r="K464" s="1">
        <f>IF(E464 + K463 &lt; 0, E464 + K463, 0)</f>
        <v>0</v>
      </c>
      <c r="L464" s="1">
        <f>IF(F464 + L463 &lt; 0, F464 + L463, 0)</f>
        <v>0</v>
      </c>
      <c r="M464" s="1">
        <f>IF(G464 + M463 &lt; 0, G464 + M463, 0)</f>
        <v>0</v>
      </c>
      <c r="N464" s="1">
        <f>IF(H464 + N463 &lt; 0, H464 + N463, 0)</f>
        <v>0</v>
      </c>
      <c r="O464" s="1">
        <f>IF(N464 &lt; 0, 1 + O463, 0)</f>
        <v>0</v>
      </c>
      <c r="P464" s="1">
        <f>C464-((ABS(SUM(PL!H464:J464)))*0.125)</f>
        <v>0</v>
      </c>
      <c r="Q464" s="1">
        <f>D464-((ABS(SUM(PL!K464:M464)))*0.125)</f>
        <v>0</v>
      </c>
      <c r="R464" s="1">
        <f>E464-((ABS(SUM(PL!N464:P464)))*0.125)</f>
        <v>0</v>
      </c>
      <c r="S464" s="1">
        <f>F464-((ABS(SUM(PL!Q464:S464)))*0.125)</f>
        <v>0</v>
      </c>
      <c r="T464" s="1">
        <f>G464-((ABS(SUM(PL!T464:V464)))*0.125)</f>
        <v>0</v>
      </c>
      <c r="U464" s="1">
        <f>P464 + Q464 + R464 + S464 + T464</f>
        <v>0</v>
      </c>
      <c r="V464" s="1">
        <f>IF(P464 + V463 &lt; 0, P464 + V463, 0)</f>
        <v>0</v>
      </c>
      <c r="W464" s="1">
        <f>IF(Q464 + W463 &lt; 0, Q464 + W463, 0)</f>
        <v>0</v>
      </c>
      <c r="X464" s="1">
        <f>IF(R464 + X463 &lt; 0, R464 + X463, 0)</f>
        <v>0</v>
      </c>
      <c r="Y464" s="1">
        <f>IF(S464 + Y463 &lt; 0, S464 + Y463, 0)</f>
        <v>0</v>
      </c>
      <c r="Z464" s="1">
        <f>IF(T464 + Z463 &lt; 0, T464 + Z463, 0)</f>
        <v>0</v>
      </c>
      <c r="AA464" s="1">
        <f>IF(U464 + AA463 &lt; 0, U464 + AA463, 0)</f>
        <v>0</v>
      </c>
      <c r="AB464" s="1">
        <f>IF(AA464 &lt; 0, 1 + AB463, 0)</f>
        <v>0</v>
      </c>
      <c r="AC464" s="1">
        <f>IF(H464&lt;0,1,0)</f>
        <v>0</v>
      </c>
      <c r="AD464" s="1">
        <f>IF(AC464=1,H464,0)</f>
        <v>0</v>
      </c>
      <c r="AE464" s="1">
        <f>IF(H464&gt;0,1,0)</f>
        <v>0</v>
      </c>
      <c r="AF464" s="1">
        <f>IF(AE464=1,H464,0)</f>
        <v>0</v>
      </c>
      <c r="AG464" s="1">
        <f>IF(AD464&lt;-20000000.0/100,1,0)</f>
        <v>0</v>
      </c>
      <c r="AH464" s="1">
        <f>IF(AF464&gt;20000000.0/100,1,0)</f>
        <v>0</v>
      </c>
      <c r="AI464" s="1">
        <f>IF(U464&lt;0,1,0)</f>
        <v>0</v>
      </c>
      <c r="AJ464" s="1">
        <f>IF(AI464=1,U464,0)</f>
        <v>0</v>
      </c>
      <c r="AK464" s="1">
        <f>IF(U464&gt;0,1,0)</f>
        <v>0</v>
      </c>
      <c r="AL464" s="1">
        <f>IF(AK464=1,U464,0)</f>
        <v>0</v>
      </c>
      <c r="AM464" s="1">
        <f>IF(AJ464&lt;-20000000.0/100,1,0)</f>
        <v>0</v>
      </c>
      <c r="AN464" s="1">
        <f>IF(AL464&gt;20000000.0/100,1,0)</f>
        <v>0</v>
      </c>
    </row>
    <row r="465" spans="1:40" s="1" customFormat="1">
      <c r="A465" s="3">
        <v>45979</v>
      </c>
      <c r="B465" s="2" t="s">
        <v>23</v>
      </c>
      <c r="C465" s="1">
        <f>SUM(PL!H465:J465)</f>
        <v>0</v>
      </c>
      <c r="D465" s="1">
        <f>SUM(PL!K465:M465)</f>
        <v>0</v>
      </c>
      <c r="E465" s="1">
        <f>SUM(PL!N465:P465)</f>
        <v>0</v>
      </c>
      <c r="F465" s="1">
        <f>SUM(PL!Q465:S465)</f>
        <v>0</v>
      </c>
      <c r="G465" s="1">
        <f>SUM(PL!T465:V465)</f>
        <v>0</v>
      </c>
      <c r="H465" s="1">
        <f>SUM(C465:G465)</f>
        <v>0</v>
      </c>
      <c r="I465" s="1">
        <f>IF(C465 + I464 &lt; 0, C465 + I464, 0)</f>
        <v>0</v>
      </c>
      <c r="J465" s="1">
        <f>IF(D465 + J464 &lt; 0, D465 + J464, 0)</f>
        <v>0</v>
      </c>
      <c r="K465" s="1">
        <f>IF(E465 + K464 &lt; 0, E465 + K464, 0)</f>
        <v>0</v>
      </c>
      <c r="L465" s="1">
        <f>IF(F465 + L464 &lt; 0, F465 + L464, 0)</f>
        <v>0</v>
      </c>
      <c r="M465" s="1">
        <f>IF(G465 + M464 &lt; 0, G465 + M464, 0)</f>
        <v>0</v>
      </c>
      <c r="N465" s="1">
        <f>IF(H465 + N464 &lt; 0, H465 + N464, 0)</f>
        <v>0</v>
      </c>
      <c r="O465" s="1">
        <f>IF(N465 &lt; 0, 1 + O464, 0)</f>
        <v>0</v>
      </c>
      <c r="P465" s="1">
        <f>C465-((ABS(SUM(PL!H465:J465)))*0.125)</f>
        <v>0</v>
      </c>
      <c r="Q465" s="1">
        <f>D465-((ABS(SUM(PL!K465:M465)))*0.125)</f>
        <v>0</v>
      </c>
      <c r="R465" s="1">
        <f>E465-((ABS(SUM(PL!N465:P465)))*0.125)</f>
        <v>0</v>
      </c>
      <c r="S465" s="1">
        <f>F465-((ABS(SUM(PL!Q465:S465)))*0.125)</f>
        <v>0</v>
      </c>
      <c r="T465" s="1">
        <f>G465-((ABS(SUM(PL!T465:V465)))*0.125)</f>
        <v>0</v>
      </c>
      <c r="U465" s="1">
        <f>P465 + Q465 + R465 + S465 + T465</f>
        <v>0</v>
      </c>
      <c r="V465" s="1">
        <f>IF(P465 + V464 &lt; 0, P465 + V464, 0)</f>
        <v>0</v>
      </c>
      <c r="W465" s="1">
        <f>IF(Q465 + W464 &lt; 0, Q465 + W464, 0)</f>
        <v>0</v>
      </c>
      <c r="X465" s="1">
        <f>IF(R465 + X464 &lt; 0, R465 + X464, 0)</f>
        <v>0</v>
      </c>
      <c r="Y465" s="1">
        <f>IF(S465 + Y464 &lt; 0, S465 + Y464, 0)</f>
        <v>0</v>
      </c>
      <c r="Z465" s="1">
        <f>IF(T465 + Z464 &lt; 0, T465 + Z464, 0)</f>
        <v>0</v>
      </c>
      <c r="AA465" s="1">
        <f>IF(U465 + AA464 &lt; 0, U465 + AA464, 0)</f>
        <v>0</v>
      </c>
      <c r="AB465" s="1">
        <f>IF(AA465 &lt; 0, 1 + AB464, 0)</f>
        <v>0</v>
      </c>
      <c r="AC465" s="1">
        <f>IF(H465&lt;0,1,0)</f>
        <v>0</v>
      </c>
      <c r="AD465" s="1">
        <f>IF(AC465=1,H465,0)</f>
        <v>0</v>
      </c>
      <c r="AE465" s="1">
        <f>IF(H465&gt;0,1,0)</f>
        <v>0</v>
      </c>
      <c r="AF465" s="1">
        <f>IF(AE465=1,H465,0)</f>
        <v>0</v>
      </c>
      <c r="AG465" s="1">
        <f>IF(AD465&lt;-20000000.0/100,1,0)</f>
        <v>0</v>
      </c>
      <c r="AH465" s="1">
        <f>IF(AF465&gt;20000000.0/100,1,0)</f>
        <v>0</v>
      </c>
      <c r="AI465" s="1">
        <f>IF(U465&lt;0,1,0)</f>
        <v>0</v>
      </c>
      <c r="AJ465" s="1">
        <f>IF(AI465=1,U465,0)</f>
        <v>0</v>
      </c>
      <c r="AK465" s="1">
        <f>IF(U465&gt;0,1,0)</f>
        <v>0</v>
      </c>
      <c r="AL465" s="1">
        <f>IF(AK465=1,U465,0)</f>
        <v>0</v>
      </c>
      <c r="AM465" s="1">
        <f>IF(AJ465&lt;-20000000.0/100,1,0)</f>
        <v>0</v>
      </c>
      <c r="AN465" s="1">
        <f>IF(AL465&gt;20000000.0/100,1,0)</f>
        <v>0</v>
      </c>
    </row>
    <row r="466" spans="1:40" s="1" customFormat="1">
      <c r="A466" s="3">
        <v>45980</v>
      </c>
      <c r="B466" s="2" t="s">
        <v>24</v>
      </c>
      <c r="C466" s="1">
        <f>SUM(PL!H466:J466)</f>
        <v>0</v>
      </c>
      <c r="D466" s="1">
        <f>SUM(PL!K466:M466)</f>
        <v>0</v>
      </c>
      <c r="E466" s="1">
        <f>SUM(PL!N466:P466)</f>
        <v>0</v>
      </c>
      <c r="F466" s="1">
        <f>SUM(PL!Q466:S466)</f>
        <v>0</v>
      </c>
      <c r="G466" s="1">
        <f>SUM(PL!T466:V466)</f>
        <v>0</v>
      </c>
      <c r="H466" s="1">
        <f>SUM(C466:G466)</f>
        <v>0</v>
      </c>
      <c r="I466" s="1">
        <f>IF(C466 + I465 &lt; 0, C466 + I465, 0)</f>
        <v>0</v>
      </c>
      <c r="J466" s="1">
        <f>IF(D466 + J465 &lt; 0, D466 + J465, 0)</f>
        <v>0</v>
      </c>
      <c r="K466" s="1">
        <f>IF(E466 + K465 &lt; 0, E466 + K465, 0)</f>
        <v>0</v>
      </c>
      <c r="L466" s="1">
        <f>IF(F466 + L465 &lt; 0, F466 + L465, 0)</f>
        <v>0</v>
      </c>
      <c r="M466" s="1">
        <f>IF(G466 + M465 &lt; 0, G466 + M465, 0)</f>
        <v>0</v>
      </c>
      <c r="N466" s="1">
        <f>IF(H466 + N465 &lt; 0, H466 + N465, 0)</f>
        <v>0</v>
      </c>
      <c r="O466" s="1">
        <f>IF(N466 &lt; 0, 1 + O465, 0)</f>
        <v>0</v>
      </c>
      <c r="P466" s="1">
        <f>C466-((ABS(SUM(PL!H466:J466)))*0.125)</f>
        <v>0</v>
      </c>
      <c r="Q466" s="1">
        <f>D466-((ABS(SUM(PL!K466:M466)))*0.125)</f>
        <v>0</v>
      </c>
      <c r="R466" s="1">
        <f>E466-((ABS(SUM(PL!N466:P466)))*0.125)</f>
        <v>0</v>
      </c>
      <c r="S466" s="1">
        <f>F466-((ABS(SUM(PL!Q466:S466)))*0.125)</f>
        <v>0</v>
      </c>
      <c r="T466" s="1">
        <f>G466-((ABS(SUM(PL!T466:V466)))*0.125)</f>
        <v>0</v>
      </c>
      <c r="U466" s="1">
        <f>P466 + Q466 + R466 + S466 + T466</f>
        <v>0</v>
      </c>
      <c r="V466" s="1">
        <f>IF(P466 + V465 &lt; 0, P466 + V465, 0)</f>
        <v>0</v>
      </c>
      <c r="W466" s="1">
        <f>IF(Q466 + W465 &lt; 0, Q466 + W465, 0)</f>
        <v>0</v>
      </c>
      <c r="X466" s="1">
        <f>IF(R466 + X465 &lt; 0, R466 + X465, 0)</f>
        <v>0</v>
      </c>
      <c r="Y466" s="1">
        <f>IF(S466 + Y465 &lt; 0, S466 + Y465, 0)</f>
        <v>0</v>
      </c>
      <c r="Z466" s="1">
        <f>IF(T466 + Z465 &lt; 0, T466 + Z465, 0)</f>
        <v>0</v>
      </c>
      <c r="AA466" s="1">
        <f>IF(U466 + AA465 &lt; 0, U466 + AA465, 0)</f>
        <v>0</v>
      </c>
      <c r="AB466" s="1">
        <f>IF(AA466 &lt; 0, 1 + AB465, 0)</f>
        <v>0</v>
      </c>
      <c r="AC466" s="1">
        <f>IF(H466&lt;0,1,0)</f>
        <v>0</v>
      </c>
      <c r="AD466" s="1">
        <f>IF(AC466=1,H466,0)</f>
        <v>0</v>
      </c>
      <c r="AE466" s="1">
        <f>IF(H466&gt;0,1,0)</f>
        <v>0</v>
      </c>
      <c r="AF466" s="1">
        <f>IF(AE466=1,H466,0)</f>
        <v>0</v>
      </c>
      <c r="AG466" s="1">
        <f>IF(AD466&lt;-20000000.0/100,1,0)</f>
        <v>0</v>
      </c>
      <c r="AH466" s="1">
        <f>IF(AF466&gt;20000000.0/100,1,0)</f>
        <v>0</v>
      </c>
      <c r="AI466" s="1">
        <f>IF(U466&lt;0,1,0)</f>
        <v>0</v>
      </c>
      <c r="AJ466" s="1">
        <f>IF(AI466=1,U466,0)</f>
        <v>0</v>
      </c>
      <c r="AK466" s="1">
        <f>IF(U466&gt;0,1,0)</f>
        <v>0</v>
      </c>
      <c r="AL466" s="1">
        <f>IF(AK466=1,U466,0)</f>
        <v>0</v>
      </c>
      <c r="AM466" s="1">
        <f>IF(AJ466&lt;-20000000.0/100,1,0)</f>
        <v>0</v>
      </c>
      <c r="AN466" s="1">
        <f>IF(AL466&gt;20000000.0/100,1,0)</f>
        <v>0</v>
      </c>
    </row>
    <row r="467" spans="1:40" s="1" customFormat="1">
      <c r="A467" s="3">
        <v>45981</v>
      </c>
      <c r="B467" s="2" t="s">
        <v>25</v>
      </c>
      <c r="C467" s="1">
        <f>SUM(PL!H467:J467)</f>
        <v>0</v>
      </c>
      <c r="D467" s="1">
        <f>SUM(PL!K467:M467)</f>
        <v>0</v>
      </c>
      <c r="E467" s="1">
        <f>SUM(PL!N467:P467)</f>
        <v>0</v>
      </c>
      <c r="F467" s="1">
        <f>SUM(PL!Q467:S467)</f>
        <v>0</v>
      </c>
      <c r="G467" s="1">
        <f>SUM(PL!T467:V467)</f>
        <v>0</v>
      </c>
      <c r="H467" s="1">
        <f>SUM(C467:G467)</f>
        <v>0</v>
      </c>
      <c r="I467" s="1">
        <f>IF(C467 + I466 &lt; 0, C467 + I466, 0)</f>
        <v>0</v>
      </c>
      <c r="J467" s="1">
        <f>IF(D467 + J466 &lt; 0, D467 + J466, 0)</f>
        <v>0</v>
      </c>
      <c r="K467" s="1">
        <f>IF(E467 + K466 &lt; 0, E467 + K466, 0)</f>
        <v>0</v>
      </c>
      <c r="L467" s="1">
        <f>IF(F467 + L466 &lt; 0, F467 + L466, 0)</f>
        <v>0</v>
      </c>
      <c r="M467" s="1">
        <f>IF(G467 + M466 &lt; 0, G467 + M466, 0)</f>
        <v>0</v>
      </c>
      <c r="N467" s="1">
        <f>IF(H467 + N466 &lt; 0, H467 + N466, 0)</f>
        <v>0</v>
      </c>
      <c r="O467" s="1">
        <f>IF(N467 &lt; 0, 1 + O466, 0)</f>
        <v>0</v>
      </c>
      <c r="P467" s="1">
        <f>C467-((ABS(SUM(PL!H467:J467)))*0.125)</f>
        <v>0</v>
      </c>
      <c r="Q467" s="1">
        <f>D467-((ABS(SUM(PL!K467:M467)))*0.125)</f>
        <v>0</v>
      </c>
      <c r="R467" s="1">
        <f>E467-((ABS(SUM(PL!N467:P467)))*0.125)</f>
        <v>0</v>
      </c>
      <c r="S467" s="1">
        <f>F467-((ABS(SUM(PL!Q467:S467)))*0.125)</f>
        <v>0</v>
      </c>
      <c r="T467" s="1">
        <f>G467-((ABS(SUM(PL!T467:V467)))*0.125)</f>
        <v>0</v>
      </c>
      <c r="U467" s="1">
        <f>P467 + Q467 + R467 + S467 + T467</f>
        <v>0</v>
      </c>
      <c r="V467" s="1">
        <f>IF(P467 + V466 &lt; 0, P467 + V466, 0)</f>
        <v>0</v>
      </c>
      <c r="W467" s="1">
        <f>IF(Q467 + W466 &lt; 0, Q467 + W466, 0)</f>
        <v>0</v>
      </c>
      <c r="X467" s="1">
        <f>IF(R467 + X466 &lt; 0, R467 + X466, 0)</f>
        <v>0</v>
      </c>
      <c r="Y467" s="1">
        <f>IF(S467 + Y466 &lt; 0, S467 + Y466, 0)</f>
        <v>0</v>
      </c>
      <c r="Z467" s="1">
        <f>IF(T467 + Z466 &lt; 0, T467 + Z466, 0)</f>
        <v>0</v>
      </c>
      <c r="AA467" s="1">
        <f>IF(U467 + AA466 &lt; 0, U467 + AA466, 0)</f>
        <v>0</v>
      </c>
      <c r="AB467" s="1">
        <f>IF(AA467 &lt; 0, 1 + AB466, 0)</f>
        <v>0</v>
      </c>
      <c r="AC467" s="1">
        <f>IF(H467&lt;0,1,0)</f>
        <v>0</v>
      </c>
      <c r="AD467" s="1">
        <f>IF(AC467=1,H467,0)</f>
        <v>0</v>
      </c>
      <c r="AE467" s="1">
        <f>IF(H467&gt;0,1,0)</f>
        <v>0</v>
      </c>
      <c r="AF467" s="1">
        <f>IF(AE467=1,H467,0)</f>
        <v>0</v>
      </c>
      <c r="AG467" s="1">
        <f>IF(AD467&lt;-20000000.0/100,1,0)</f>
        <v>0</v>
      </c>
      <c r="AH467" s="1">
        <f>IF(AF467&gt;20000000.0/100,1,0)</f>
        <v>0</v>
      </c>
      <c r="AI467" s="1">
        <f>IF(U467&lt;0,1,0)</f>
        <v>0</v>
      </c>
      <c r="AJ467" s="1">
        <f>IF(AI467=1,U467,0)</f>
        <v>0</v>
      </c>
      <c r="AK467" s="1">
        <f>IF(U467&gt;0,1,0)</f>
        <v>0</v>
      </c>
      <c r="AL467" s="1">
        <f>IF(AK467=1,U467,0)</f>
        <v>0</v>
      </c>
      <c r="AM467" s="1">
        <f>IF(AJ467&lt;-20000000.0/100,1,0)</f>
        <v>0</v>
      </c>
      <c r="AN467" s="1">
        <f>IF(AL467&gt;20000000.0/100,1,0)</f>
        <v>0</v>
      </c>
    </row>
    <row r="468" spans="1:40" s="1" customFormat="1">
      <c r="A468" s="3">
        <v>45982</v>
      </c>
      <c r="B468" s="2" t="s">
        <v>26</v>
      </c>
      <c r="C468" s="1">
        <f>SUM(PL!H468:J468)</f>
        <v>0</v>
      </c>
      <c r="D468" s="1">
        <f>SUM(PL!K468:M468)</f>
        <v>0</v>
      </c>
      <c r="E468" s="1">
        <f>SUM(PL!N468:P468)</f>
        <v>0</v>
      </c>
      <c r="F468" s="1">
        <f>SUM(PL!Q468:S468)</f>
        <v>0</v>
      </c>
      <c r="G468" s="1">
        <f>SUM(PL!T468:V468)</f>
        <v>0</v>
      </c>
      <c r="H468" s="1">
        <f>SUM(C468:G468)</f>
        <v>0</v>
      </c>
      <c r="I468" s="1">
        <f>IF(C468 + I467 &lt; 0, C468 + I467, 0)</f>
        <v>0</v>
      </c>
      <c r="J468" s="1">
        <f>IF(D468 + J467 &lt; 0, D468 + J467, 0)</f>
        <v>0</v>
      </c>
      <c r="K468" s="1">
        <f>IF(E468 + K467 &lt; 0, E468 + K467, 0)</f>
        <v>0</v>
      </c>
      <c r="L468" s="1">
        <f>IF(F468 + L467 &lt; 0, F468 + L467, 0)</f>
        <v>0</v>
      </c>
      <c r="M468" s="1">
        <f>IF(G468 + M467 &lt; 0, G468 + M467, 0)</f>
        <v>0</v>
      </c>
      <c r="N468" s="1">
        <f>IF(H468 + N467 &lt; 0, H468 + N467, 0)</f>
        <v>0</v>
      </c>
      <c r="O468" s="1">
        <f>IF(N468 &lt; 0, 1 + O467, 0)</f>
        <v>0</v>
      </c>
      <c r="P468" s="1">
        <f>C468-((ABS(SUM(PL!H468:J468)))*0.125)</f>
        <v>0</v>
      </c>
      <c r="Q468" s="1">
        <f>D468-((ABS(SUM(PL!K468:M468)))*0.125)</f>
        <v>0</v>
      </c>
      <c r="R468" s="1">
        <f>E468-((ABS(SUM(PL!N468:P468)))*0.125)</f>
        <v>0</v>
      </c>
      <c r="S468" s="1">
        <f>F468-((ABS(SUM(PL!Q468:S468)))*0.125)</f>
        <v>0</v>
      </c>
      <c r="T468" s="1">
        <f>G468-((ABS(SUM(PL!T468:V468)))*0.125)</f>
        <v>0</v>
      </c>
      <c r="U468" s="1">
        <f>P468 + Q468 + R468 + S468 + T468</f>
        <v>0</v>
      </c>
      <c r="V468" s="1">
        <f>IF(P468 + V467 &lt; 0, P468 + V467, 0)</f>
        <v>0</v>
      </c>
      <c r="W468" s="1">
        <f>IF(Q468 + W467 &lt; 0, Q468 + W467, 0)</f>
        <v>0</v>
      </c>
      <c r="X468" s="1">
        <f>IF(R468 + X467 &lt; 0, R468 + X467, 0)</f>
        <v>0</v>
      </c>
      <c r="Y468" s="1">
        <f>IF(S468 + Y467 &lt; 0, S468 + Y467, 0)</f>
        <v>0</v>
      </c>
      <c r="Z468" s="1">
        <f>IF(T468 + Z467 &lt; 0, T468 + Z467, 0)</f>
        <v>0</v>
      </c>
      <c r="AA468" s="1">
        <f>IF(U468 + AA467 &lt; 0, U468 + AA467, 0)</f>
        <v>0</v>
      </c>
      <c r="AB468" s="1">
        <f>IF(AA468 &lt; 0, 1 + AB467, 0)</f>
        <v>0</v>
      </c>
      <c r="AC468" s="1">
        <f>IF(H468&lt;0,1,0)</f>
        <v>0</v>
      </c>
      <c r="AD468" s="1">
        <f>IF(AC468=1,H468,0)</f>
        <v>0</v>
      </c>
      <c r="AE468" s="1">
        <f>IF(H468&gt;0,1,0)</f>
        <v>0</v>
      </c>
      <c r="AF468" s="1">
        <f>IF(AE468=1,H468,0)</f>
        <v>0</v>
      </c>
      <c r="AG468" s="1">
        <f>IF(AD468&lt;-20000000.0/100,1,0)</f>
        <v>0</v>
      </c>
      <c r="AH468" s="1">
        <f>IF(AF468&gt;20000000.0/100,1,0)</f>
        <v>0</v>
      </c>
      <c r="AI468" s="1">
        <f>IF(U468&lt;0,1,0)</f>
        <v>0</v>
      </c>
      <c r="AJ468" s="1">
        <f>IF(AI468=1,U468,0)</f>
        <v>0</v>
      </c>
      <c r="AK468" s="1">
        <f>IF(U468&gt;0,1,0)</f>
        <v>0</v>
      </c>
      <c r="AL468" s="1">
        <f>IF(AK468=1,U468,0)</f>
        <v>0</v>
      </c>
      <c r="AM468" s="1">
        <f>IF(AJ468&lt;-20000000.0/100,1,0)</f>
        <v>0</v>
      </c>
      <c r="AN468" s="1">
        <f>IF(AL468&gt;20000000.0/100,1,0)</f>
        <v>0</v>
      </c>
    </row>
    <row r="469" spans="1:40" s="1" customFormat="1">
      <c r="A469" s="3">
        <v>45985</v>
      </c>
      <c r="B469" s="2" t="s">
        <v>22</v>
      </c>
      <c r="C469" s="1">
        <f>SUM(PL!H469:J469)</f>
        <v>0</v>
      </c>
      <c r="D469" s="1">
        <f>SUM(PL!K469:M469)</f>
        <v>0</v>
      </c>
      <c r="E469" s="1">
        <f>SUM(PL!N469:P469)</f>
        <v>0</v>
      </c>
      <c r="F469" s="1">
        <f>SUM(PL!Q469:S469)</f>
        <v>0</v>
      </c>
      <c r="G469" s="1">
        <f>SUM(PL!T469:V469)</f>
        <v>0</v>
      </c>
      <c r="H469" s="1">
        <f>SUM(C469:G469)</f>
        <v>0</v>
      </c>
      <c r="I469" s="1">
        <f>IF(C469 + I468 &lt; 0, C469 + I468, 0)</f>
        <v>0</v>
      </c>
      <c r="J469" s="1">
        <f>IF(D469 + J468 &lt; 0, D469 + J468, 0)</f>
        <v>0</v>
      </c>
      <c r="K469" s="1">
        <f>IF(E469 + K468 &lt; 0, E469 + K468, 0)</f>
        <v>0</v>
      </c>
      <c r="L469" s="1">
        <f>IF(F469 + L468 &lt; 0, F469 + L468, 0)</f>
        <v>0</v>
      </c>
      <c r="M469" s="1">
        <f>IF(G469 + M468 &lt; 0, G469 + M468, 0)</f>
        <v>0</v>
      </c>
      <c r="N469" s="1">
        <f>IF(H469 + N468 &lt; 0, H469 + N468, 0)</f>
        <v>0</v>
      </c>
      <c r="O469" s="1">
        <f>IF(N469 &lt; 0, 1 + O468, 0)</f>
        <v>0</v>
      </c>
      <c r="P469" s="1">
        <f>C469-((ABS(SUM(PL!H469:J469)))*0.125)</f>
        <v>0</v>
      </c>
      <c r="Q469" s="1">
        <f>D469-((ABS(SUM(PL!K469:M469)))*0.125)</f>
        <v>0</v>
      </c>
      <c r="R469" s="1">
        <f>E469-((ABS(SUM(PL!N469:P469)))*0.125)</f>
        <v>0</v>
      </c>
      <c r="S469" s="1">
        <f>F469-((ABS(SUM(PL!Q469:S469)))*0.125)</f>
        <v>0</v>
      </c>
      <c r="T469" s="1">
        <f>G469-((ABS(SUM(PL!T469:V469)))*0.125)</f>
        <v>0</v>
      </c>
      <c r="U469" s="1">
        <f>P469 + Q469 + R469 + S469 + T469</f>
        <v>0</v>
      </c>
      <c r="V469" s="1">
        <f>IF(P469 + V468 &lt; 0, P469 + V468, 0)</f>
        <v>0</v>
      </c>
      <c r="W469" s="1">
        <f>IF(Q469 + W468 &lt; 0, Q469 + W468, 0)</f>
        <v>0</v>
      </c>
      <c r="X469" s="1">
        <f>IF(R469 + X468 &lt; 0, R469 + X468, 0)</f>
        <v>0</v>
      </c>
      <c r="Y469" s="1">
        <f>IF(S469 + Y468 &lt; 0, S469 + Y468, 0)</f>
        <v>0</v>
      </c>
      <c r="Z469" s="1">
        <f>IF(T469 + Z468 &lt; 0, T469 + Z468, 0)</f>
        <v>0</v>
      </c>
      <c r="AA469" s="1">
        <f>IF(U469 + AA468 &lt; 0, U469 + AA468, 0)</f>
        <v>0</v>
      </c>
      <c r="AB469" s="1">
        <f>IF(AA469 &lt; 0, 1 + AB468, 0)</f>
        <v>0</v>
      </c>
      <c r="AC469" s="1">
        <f>IF(H469&lt;0,1,0)</f>
        <v>0</v>
      </c>
      <c r="AD469" s="1">
        <f>IF(AC469=1,H469,0)</f>
        <v>0</v>
      </c>
      <c r="AE469" s="1">
        <f>IF(H469&gt;0,1,0)</f>
        <v>0</v>
      </c>
      <c r="AF469" s="1">
        <f>IF(AE469=1,H469,0)</f>
        <v>0</v>
      </c>
      <c r="AG469" s="1">
        <f>IF(AD469&lt;-20000000.0/100,1,0)</f>
        <v>0</v>
      </c>
      <c r="AH469" s="1">
        <f>IF(AF469&gt;20000000.0/100,1,0)</f>
        <v>0</v>
      </c>
      <c r="AI469" s="1">
        <f>IF(U469&lt;0,1,0)</f>
        <v>0</v>
      </c>
      <c r="AJ469" s="1">
        <f>IF(AI469=1,U469,0)</f>
        <v>0</v>
      </c>
      <c r="AK469" s="1">
        <f>IF(U469&gt;0,1,0)</f>
        <v>0</v>
      </c>
      <c r="AL469" s="1">
        <f>IF(AK469=1,U469,0)</f>
        <v>0</v>
      </c>
      <c r="AM469" s="1">
        <f>IF(AJ469&lt;-20000000.0/100,1,0)</f>
        <v>0</v>
      </c>
      <c r="AN469" s="1">
        <f>IF(AL469&gt;20000000.0/100,1,0)</f>
        <v>0</v>
      </c>
    </row>
    <row r="470" spans="1:40" s="1" customFormat="1">
      <c r="A470" s="3">
        <v>45986</v>
      </c>
      <c r="B470" s="2" t="s">
        <v>23</v>
      </c>
      <c r="C470" s="1">
        <f>SUM(PL!H470:J470)</f>
        <v>0</v>
      </c>
      <c r="D470" s="1">
        <f>SUM(PL!K470:M470)</f>
        <v>0</v>
      </c>
      <c r="E470" s="1">
        <f>SUM(PL!N470:P470)</f>
        <v>0</v>
      </c>
      <c r="F470" s="1">
        <f>SUM(PL!Q470:S470)</f>
        <v>0</v>
      </c>
      <c r="G470" s="1">
        <f>SUM(PL!T470:V470)</f>
        <v>0</v>
      </c>
      <c r="H470" s="1">
        <f>SUM(C470:G470)</f>
        <v>0</v>
      </c>
      <c r="I470" s="1">
        <f>IF(C470 + I469 &lt; 0, C470 + I469, 0)</f>
        <v>0</v>
      </c>
      <c r="J470" s="1">
        <f>IF(D470 + J469 &lt; 0, D470 + J469, 0)</f>
        <v>0</v>
      </c>
      <c r="K470" s="1">
        <f>IF(E470 + K469 &lt; 0, E470 + K469, 0)</f>
        <v>0</v>
      </c>
      <c r="L470" s="1">
        <f>IF(F470 + L469 &lt; 0, F470 + L469, 0)</f>
        <v>0</v>
      </c>
      <c r="M470" s="1">
        <f>IF(G470 + M469 &lt; 0, G470 + M469, 0)</f>
        <v>0</v>
      </c>
      <c r="N470" s="1">
        <f>IF(H470 + N469 &lt; 0, H470 + N469, 0)</f>
        <v>0</v>
      </c>
      <c r="O470" s="1">
        <f>IF(N470 &lt; 0, 1 + O469, 0)</f>
        <v>0</v>
      </c>
      <c r="P470" s="1">
        <f>C470-((ABS(SUM(PL!H470:J470)))*0.125)</f>
        <v>0</v>
      </c>
      <c r="Q470" s="1">
        <f>D470-((ABS(SUM(PL!K470:M470)))*0.125)</f>
        <v>0</v>
      </c>
      <c r="R470" s="1">
        <f>E470-((ABS(SUM(PL!N470:P470)))*0.125)</f>
        <v>0</v>
      </c>
      <c r="S470" s="1">
        <f>F470-((ABS(SUM(PL!Q470:S470)))*0.125)</f>
        <v>0</v>
      </c>
      <c r="T470" s="1">
        <f>G470-((ABS(SUM(PL!T470:V470)))*0.125)</f>
        <v>0</v>
      </c>
      <c r="U470" s="1">
        <f>P470 + Q470 + R470 + S470 + T470</f>
        <v>0</v>
      </c>
      <c r="V470" s="1">
        <f>IF(P470 + V469 &lt; 0, P470 + V469, 0)</f>
        <v>0</v>
      </c>
      <c r="W470" s="1">
        <f>IF(Q470 + W469 &lt; 0, Q470 + W469, 0)</f>
        <v>0</v>
      </c>
      <c r="X470" s="1">
        <f>IF(R470 + X469 &lt; 0, R470 + X469, 0)</f>
        <v>0</v>
      </c>
      <c r="Y470" s="1">
        <f>IF(S470 + Y469 &lt; 0, S470 + Y469, 0)</f>
        <v>0</v>
      </c>
      <c r="Z470" s="1">
        <f>IF(T470 + Z469 &lt; 0, T470 + Z469, 0)</f>
        <v>0</v>
      </c>
      <c r="AA470" s="1">
        <f>IF(U470 + AA469 &lt; 0, U470 + AA469, 0)</f>
        <v>0</v>
      </c>
      <c r="AB470" s="1">
        <f>IF(AA470 &lt; 0, 1 + AB469, 0)</f>
        <v>0</v>
      </c>
      <c r="AC470" s="1">
        <f>IF(H470&lt;0,1,0)</f>
        <v>0</v>
      </c>
      <c r="AD470" s="1">
        <f>IF(AC470=1,H470,0)</f>
        <v>0</v>
      </c>
      <c r="AE470" s="1">
        <f>IF(H470&gt;0,1,0)</f>
        <v>0</v>
      </c>
      <c r="AF470" s="1">
        <f>IF(AE470=1,H470,0)</f>
        <v>0</v>
      </c>
      <c r="AG470" s="1">
        <f>IF(AD470&lt;-20000000.0/100,1,0)</f>
        <v>0</v>
      </c>
      <c r="AH470" s="1">
        <f>IF(AF470&gt;20000000.0/100,1,0)</f>
        <v>0</v>
      </c>
      <c r="AI470" s="1">
        <f>IF(U470&lt;0,1,0)</f>
        <v>0</v>
      </c>
      <c r="AJ470" s="1">
        <f>IF(AI470=1,U470,0)</f>
        <v>0</v>
      </c>
      <c r="AK470" s="1">
        <f>IF(U470&gt;0,1,0)</f>
        <v>0</v>
      </c>
      <c r="AL470" s="1">
        <f>IF(AK470=1,U470,0)</f>
        <v>0</v>
      </c>
      <c r="AM470" s="1">
        <f>IF(AJ470&lt;-20000000.0/100,1,0)</f>
        <v>0</v>
      </c>
      <c r="AN470" s="1">
        <f>IF(AL470&gt;20000000.0/100,1,0)</f>
        <v>0</v>
      </c>
    </row>
    <row r="471" spans="1:40" s="1" customFormat="1">
      <c r="A471" s="3">
        <v>45987</v>
      </c>
      <c r="B471" s="2" t="s">
        <v>24</v>
      </c>
      <c r="C471" s="1">
        <f>SUM(PL!H471:J471)</f>
        <v>0</v>
      </c>
      <c r="D471" s="1">
        <f>SUM(PL!K471:M471)</f>
        <v>0</v>
      </c>
      <c r="E471" s="1">
        <f>SUM(PL!N471:P471)</f>
        <v>0</v>
      </c>
      <c r="F471" s="1">
        <f>SUM(PL!Q471:S471)</f>
        <v>0</v>
      </c>
      <c r="G471" s="1">
        <f>SUM(PL!T471:V471)</f>
        <v>0</v>
      </c>
      <c r="H471" s="1">
        <f>SUM(C471:G471)</f>
        <v>0</v>
      </c>
      <c r="I471" s="1">
        <f>IF(C471 + I470 &lt; 0, C471 + I470, 0)</f>
        <v>0</v>
      </c>
      <c r="J471" s="1">
        <f>IF(D471 + J470 &lt; 0, D471 + J470, 0)</f>
        <v>0</v>
      </c>
      <c r="K471" s="1">
        <f>IF(E471 + K470 &lt; 0, E471 + K470, 0)</f>
        <v>0</v>
      </c>
      <c r="L471" s="1">
        <f>IF(F471 + L470 &lt; 0, F471 + L470, 0)</f>
        <v>0</v>
      </c>
      <c r="M471" s="1">
        <f>IF(G471 + M470 &lt; 0, G471 + M470, 0)</f>
        <v>0</v>
      </c>
      <c r="N471" s="1">
        <f>IF(H471 + N470 &lt; 0, H471 + N470, 0)</f>
        <v>0</v>
      </c>
      <c r="O471" s="1">
        <f>IF(N471 &lt; 0, 1 + O470, 0)</f>
        <v>0</v>
      </c>
      <c r="P471" s="1">
        <f>C471-((ABS(SUM(PL!H471:J471)))*0.125)</f>
        <v>0</v>
      </c>
      <c r="Q471" s="1">
        <f>D471-((ABS(SUM(PL!K471:M471)))*0.125)</f>
        <v>0</v>
      </c>
      <c r="R471" s="1">
        <f>E471-((ABS(SUM(PL!N471:P471)))*0.125)</f>
        <v>0</v>
      </c>
      <c r="S471" s="1">
        <f>F471-((ABS(SUM(PL!Q471:S471)))*0.125)</f>
        <v>0</v>
      </c>
      <c r="T471" s="1">
        <f>G471-((ABS(SUM(PL!T471:V471)))*0.125)</f>
        <v>0</v>
      </c>
      <c r="U471" s="1">
        <f>P471 + Q471 + R471 + S471 + T471</f>
        <v>0</v>
      </c>
      <c r="V471" s="1">
        <f>IF(P471 + V470 &lt; 0, P471 + V470, 0)</f>
        <v>0</v>
      </c>
      <c r="W471" s="1">
        <f>IF(Q471 + W470 &lt; 0, Q471 + W470, 0)</f>
        <v>0</v>
      </c>
      <c r="X471" s="1">
        <f>IF(R471 + X470 &lt; 0, R471 + X470, 0)</f>
        <v>0</v>
      </c>
      <c r="Y471" s="1">
        <f>IF(S471 + Y470 &lt; 0, S471 + Y470, 0)</f>
        <v>0</v>
      </c>
      <c r="Z471" s="1">
        <f>IF(T471 + Z470 &lt; 0, T471 + Z470, 0)</f>
        <v>0</v>
      </c>
      <c r="AA471" s="1">
        <f>IF(U471 + AA470 &lt; 0, U471 + AA470, 0)</f>
        <v>0</v>
      </c>
      <c r="AB471" s="1">
        <f>IF(AA471 &lt; 0, 1 + AB470, 0)</f>
        <v>0</v>
      </c>
      <c r="AC471" s="1">
        <f>IF(H471&lt;0,1,0)</f>
        <v>0</v>
      </c>
      <c r="AD471" s="1">
        <f>IF(AC471=1,H471,0)</f>
        <v>0</v>
      </c>
      <c r="AE471" s="1">
        <f>IF(H471&gt;0,1,0)</f>
        <v>0</v>
      </c>
      <c r="AF471" s="1">
        <f>IF(AE471=1,H471,0)</f>
        <v>0</v>
      </c>
      <c r="AG471" s="1">
        <f>IF(AD471&lt;-20000000.0/100,1,0)</f>
        <v>0</v>
      </c>
      <c r="AH471" s="1">
        <f>IF(AF471&gt;20000000.0/100,1,0)</f>
        <v>0</v>
      </c>
      <c r="AI471" s="1">
        <f>IF(U471&lt;0,1,0)</f>
        <v>0</v>
      </c>
      <c r="AJ471" s="1">
        <f>IF(AI471=1,U471,0)</f>
        <v>0</v>
      </c>
      <c r="AK471" s="1">
        <f>IF(U471&gt;0,1,0)</f>
        <v>0</v>
      </c>
      <c r="AL471" s="1">
        <f>IF(AK471=1,U471,0)</f>
        <v>0</v>
      </c>
      <c r="AM471" s="1">
        <f>IF(AJ471&lt;-20000000.0/100,1,0)</f>
        <v>0</v>
      </c>
      <c r="AN471" s="1">
        <f>IF(AL471&gt;20000000.0/100,1,0)</f>
        <v>0</v>
      </c>
    </row>
    <row r="472" spans="1:40" s="1" customFormat="1">
      <c r="A472" s="3">
        <v>45988</v>
      </c>
      <c r="B472" s="2" t="s">
        <v>25</v>
      </c>
      <c r="C472" s="1">
        <f>SUM(PL!H472:J472)</f>
        <v>0</v>
      </c>
      <c r="D472" s="1">
        <f>SUM(PL!K472:M472)</f>
        <v>0</v>
      </c>
      <c r="E472" s="1">
        <f>SUM(PL!N472:P472)</f>
        <v>0</v>
      </c>
      <c r="F472" s="1">
        <f>SUM(PL!Q472:S472)</f>
        <v>0</v>
      </c>
      <c r="G472" s="1">
        <f>SUM(PL!T472:V472)</f>
        <v>0</v>
      </c>
      <c r="H472" s="1">
        <f>SUM(C472:G472)</f>
        <v>0</v>
      </c>
      <c r="I472" s="1">
        <f>IF(C472 + I471 &lt; 0, C472 + I471, 0)</f>
        <v>0</v>
      </c>
      <c r="J472" s="1">
        <f>IF(D472 + J471 &lt; 0, D472 + J471, 0)</f>
        <v>0</v>
      </c>
      <c r="K472" s="1">
        <f>IF(E472 + K471 &lt; 0, E472 + K471, 0)</f>
        <v>0</v>
      </c>
      <c r="L472" s="1">
        <f>IF(F472 + L471 &lt; 0, F472 + L471, 0)</f>
        <v>0</v>
      </c>
      <c r="M472" s="1">
        <f>IF(G472 + M471 &lt; 0, G472 + M471, 0)</f>
        <v>0</v>
      </c>
      <c r="N472" s="1">
        <f>IF(H472 + N471 &lt; 0, H472 + N471, 0)</f>
        <v>0</v>
      </c>
      <c r="O472" s="1">
        <f>IF(N472 &lt; 0, 1 + O471, 0)</f>
        <v>0</v>
      </c>
      <c r="P472" s="1">
        <f>C472-((ABS(SUM(PL!H472:J472)))*0.125)</f>
        <v>0</v>
      </c>
      <c r="Q472" s="1">
        <f>D472-((ABS(SUM(PL!K472:M472)))*0.125)</f>
        <v>0</v>
      </c>
      <c r="R472" s="1">
        <f>E472-((ABS(SUM(PL!N472:P472)))*0.125)</f>
        <v>0</v>
      </c>
      <c r="S472" s="1">
        <f>F472-((ABS(SUM(PL!Q472:S472)))*0.125)</f>
        <v>0</v>
      </c>
      <c r="T472" s="1">
        <f>G472-((ABS(SUM(PL!T472:V472)))*0.125)</f>
        <v>0</v>
      </c>
      <c r="U472" s="1">
        <f>P472 + Q472 + R472 + S472 + T472</f>
        <v>0</v>
      </c>
      <c r="V472" s="1">
        <f>IF(P472 + V471 &lt; 0, P472 + V471, 0)</f>
        <v>0</v>
      </c>
      <c r="W472" s="1">
        <f>IF(Q472 + W471 &lt; 0, Q472 + W471, 0)</f>
        <v>0</v>
      </c>
      <c r="X472" s="1">
        <f>IF(R472 + X471 &lt; 0, R472 + X471, 0)</f>
        <v>0</v>
      </c>
      <c r="Y472" s="1">
        <f>IF(S472 + Y471 &lt; 0, S472 + Y471, 0)</f>
        <v>0</v>
      </c>
      <c r="Z472" s="1">
        <f>IF(T472 + Z471 &lt; 0, T472 + Z471, 0)</f>
        <v>0</v>
      </c>
      <c r="AA472" s="1">
        <f>IF(U472 + AA471 &lt; 0, U472 + AA471, 0)</f>
        <v>0</v>
      </c>
      <c r="AB472" s="1">
        <f>IF(AA472 &lt; 0, 1 + AB471, 0)</f>
        <v>0</v>
      </c>
      <c r="AC472" s="1">
        <f>IF(H472&lt;0,1,0)</f>
        <v>0</v>
      </c>
      <c r="AD472" s="1">
        <f>IF(AC472=1,H472,0)</f>
        <v>0</v>
      </c>
      <c r="AE472" s="1">
        <f>IF(H472&gt;0,1,0)</f>
        <v>0</v>
      </c>
      <c r="AF472" s="1">
        <f>IF(AE472=1,H472,0)</f>
        <v>0</v>
      </c>
      <c r="AG472" s="1">
        <f>IF(AD472&lt;-20000000.0/100,1,0)</f>
        <v>0</v>
      </c>
      <c r="AH472" s="1">
        <f>IF(AF472&gt;20000000.0/100,1,0)</f>
        <v>0</v>
      </c>
      <c r="AI472" s="1">
        <f>IF(U472&lt;0,1,0)</f>
        <v>0</v>
      </c>
      <c r="AJ472" s="1">
        <f>IF(AI472=1,U472,0)</f>
        <v>0</v>
      </c>
      <c r="AK472" s="1">
        <f>IF(U472&gt;0,1,0)</f>
        <v>0</v>
      </c>
      <c r="AL472" s="1">
        <f>IF(AK472=1,U472,0)</f>
        <v>0</v>
      </c>
      <c r="AM472" s="1">
        <f>IF(AJ472&lt;-20000000.0/100,1,0)</f>
        <v>0</v>
      </c>
      <c r="AN472" s="1">
        <f>IF(AL472&gt;20000000.0/100,1,0)</f>
        <v>0</v>
      </c>
    </row>
    <row r="473" spans="1:40" s="1" customFormat="1">
      <c r="A473" s="3">
        <v>45989</v>
      </c>
      <c r="B473" s="2" t="s">
        <v>26</v>
      </c>
      <c r="C473" s="1">
        <f>SUM(PL!H473:J473)</f>
        <v>0</v>
      </c>
      <c r="D473" s="1">
        <f>SUM(PL!K473:M473)</f>
        <v>0</v>
      </c>
      <c r="E473" s="1">
        <f>SUM(PL!N473:P473)</f>
        <v>0</v>
      </c>
      <c r="F473" s="1">
        <f>SUM(PL!Q473:S473)</f>
        <v>0</v>
      </c>
      <c r="G473" s="1">
        <f>SUM(PL!T473:V473)</f>
        <v>0</v>
      </c>
      <c r="H473" s="1">
        <f>SUM(C473:G473)</f>
        <v>0</v>
      </c>
      <c r="I473" s="1">
        <f>IF(C473 + I472 &lt; 0, C473 + I472, 0)</f>
        <v>0</v>
      </c>
      <c r="J473" s="1">
        <f>IF(D473 + J472 &lt; 0, D473 + J472, 0)</f>
        <v>0</v>
      </c>
      <c r="K473" s="1">
        <f>IF(E473 + K472 &lt; 0, E473 + K472, 0)</f>
        <v>0</v>
      </c>
      <c r="L473" s="1">
        <f>IF(F473 + L472 &lt; 0, F473 + L472, 0)</f>
        <v>0</v>
      </c>
      <c r="M473" s="1">
        <f>IF(G473 + M472 &lt; 0, G473 + M472, 0)</f>
        <v>0</v>
      </c>
      <c r="N473" s="1">
        <f>IF(H473 + N472 &lt; 0, H473 + N472, 0)</f>
        <v>0</v>
      </c>
      <c r="O473" s="1">
        <f>IF(N473 &lt; 0, 1 + O472, 0)</f>
        <v>0</v>
      </c>
      <c r="P473" s="1">
        <f>C473-((ABS(SUM(PL!H473:J473)))*0.125)</f>
        <v>0</v>
      </c>
      <c r="Q473" s="1">
        <f>D473-((ABS(SUM(PL!K473:M473)))*0.125)</f>
        <v>0</v>
      </c>
      <c r="R473" s="1">
        <f>E473-((ABS(SUM(PL!N473:P473)))*0.125)</f>
        <v>0</v>
      </c>
      <c r="S473" s="1">
        <f>F473-((ABS(SUM(PL!Q473:S473)))*0.125)</f>
        <v>0</v>
      </c>
      <c r="T473" s="1">
        <f>G473-((ABS(SUM(PL!T473:V473)))*0.125)</f>
        <v>0</v>
      </c>
      <c r="U473" s="1">
        <f>P473 + Q473 + R473 + S473 + T473</f>
        <v>0</v>
      </c>
      <c r="V473" s="1">
        <f>IF(P473 + V472 &lt; 0, P473 + V472, 0)</f>
        <v>0</v>
      </c>
      <c r="W473" s="1">
        <f>IF(Q473 + W472 &lt; 0, Q473 + W472, 0)</f>
        <v>0</v>
      </c>
      <c r="X473" s="1">
        <f>IF(R473 + X472 &lt; 0, R473 + X472, 0)</f>
        <v>0</v>
      </c>
      <c r="Y473" s="1">
        <f>IF(S473 + Y472 &lt; 0, S473 + Y472, 0)</f>
        <v>0</v>
      </c>
      <c r="Z473" s="1">
        <f>IF(T473 + Z472 &lt; 0, T473 + Z472, 0)</f>
        <v>0</v>
      </c>
      <c r="AA473" s="1">
        <f>IF(U473 + AA472 &lt; 0, U473 + AA472, 0)</f>
        <v>0</v>
      </c>
      <c r="AB473" s="1">
        <f>IF(AA473 &lt; 0, 1 + AB472, 0)</f>
        <v>0</v>
      </c>
      <c r="AC473" s="1">
        <f>IF(H473&lt;0,1,0)</f>
        <v>0</v>
      </c>
      <c r="AD473" s="1">
        <f>IF(AC473=1,H473,0)</f>
        <v>0</v>
      </c>
      <c r="AE473" s="1">
        <f>IF(H473&gt;0,1,0)</f>
        <v>0</v>
      </c>
      <c r="AF473" s="1">
        <f>IF(AE473=1,H473,0)</f>
        <v>0</v>
      </c>
      <c r="AG473" s="1">
        <f>IF(AD473&lt;-20000000.0/100,1,0)</f>
        <v>0</v>
      </c>
      <c r="AH473" s="1">
        <f>IF(AF473&gt;20000000.0/100,1,0)</f>
        <v>0</v>
      </c>
      <c r="AI473" s="1">
        <f>IF(U473&lt;0,1,0)</f>
        <v>0</v>
      </c>
      <c r="AJ473" s="1">
        <f>IF(AI473=1,U473,0)</f>
        <v>0</v>
      </c>
      <c r="AK473" s="1">
        <f>IF(U473&gt;0,1,0)</f>
        <v>0</v>
      </c>
      <c r="AL473" s="1">
        <f>IF(AK473=1,U473,0)</f>
        <v>0</v>
      </c>
      <c r="AM473" s="1">
        <f>IF(AJ473&lt;-20000000.0/100,1,0)</f>
        <v>0</v>
      </c>
      <c r="AN473" s="1">
        <f>IF(AL473&gt;20000000.0/100,1,0)</f>
        <v>0</v>
      </c>
    </row>
    <row r="474" spans="1:40" s="1" customFormat="1">
      <c r="A474" s="3">
        <v>45992</v>
      </c>
      <c r="B474" s="2" t="s">
        <v>22</v>
      </c>
      <c r="C474" s="1">
        <f>SUM(PL!H474:J474)</f>
        <v>0</v>
      </c>
      <c r="D474" s="1">
        <f>SUM(PL!K474:M474)</f>
        <v>0</v>
      </c>
      <c r="E474" s="1">
        <f>SUM(PL!N474:P474)</f>
        <v>0</v>
      </c>
      <c r="F474" s="1">
        <f>SUM(PL!Q474:S474)</f>
        <v>0</v>
      </c>
      <c r="G474" s="1">
        <f>SUM(PL!T474:V474)</f>
        <v>0</v>
      </c>
      <c r="H474" s="1">
        <f>SUM(C474:G474)</f>
        <v>0</v>
      </c>
      <c r="I474" s="1">
        <f>IF(C474 + I473 &lt; 0, C474 + I473, 0)</f>
        <v>0</v>
      </c>
      <c r="J474" s="1">
        <f>IF(D474 + J473 &lt; 0, D474 + J473, 0)</f>
        <v>0</v>
      </c>
      <c r="K474" s="1">
        <f>IF(E474 + K473 &lt; 0, E474 + K473, 0)</f>
        <v>0</v>
      </c>
      <c r="L474" s="1">
        <f>IF(F474 + L473 &lt; 0, F474 + L473, 0)</f>
        <v>0</v>
      </c>
      <c r="M474" s="1">
        <f>IF(G474 + M473 &lt; 0, G474 + M473, 0)</f>
        <v>0</v>
      </c>
      <c r="N474" s="1">
        <f>IF(H474 + N473 &lt; 0, H474 + N473, 0)</f>
        <v>0</v>
      </c>
      <c r="O474" s="1">
        <f>IF(N474 &lt; 0, 1 + O473, 0)</f>
        <v>0</v>
      </c>
      <c r="P474" s="1">
        <f>C474-((ABS(SUM(PL!H474:J474)))*0.125)</f>
        <v>0</v>
      </c>
      <c r="Q474" s="1">
        <f>D474-((ABS(SUM(PL!K474:M474)))*0.125)</f>
        <v>0</v>
      </c>
      <c r="R474" s="1">
        <f>E474-((ABS(SUM(PL!N474:P474)))*0.125)</f>
        <v>0</v>
      </c>
      <c r="S474" s="1">
        <f>F474-((ABS(SUM(PL!Q474:S474)))*0.125)</f>
        <v>0</v>
      </c>
      <c r="T474" s="1">
        <f>G474-((ABS(SUM(PL!T474:V474)))*0.125)</f>
        <v>0</v>
      </c>
      <c r="U474" s="1">
        <f>P474 + Q474 + R474 + S474 + T474</f>
        <v>0</v>
      </c>
      <c r="V474" s="1">
        <f>IF(P474 + V473 &lt; 0, P474 + V473, 0)</f>
        <v>0</v>
      </c>
      <c r="W474" s="1">
        <f>IF(Q474 + W473 &lt; 0, Q474 + W473, 0)</f>
        <v>0</v>
      </c>
      <c r="X474" s="1">
        <f>IF(R474 + X473 &lt; 0, R474 + X473, 0)</f>
        <v>0</v>
      </c>
      <c r="Y474" s="1">
        <f>IF(S474 + Y473 &lt; 0, S474 + Y473, 0)</f>
        <v>0</v>
      </c>
      <c r="Z474" s="1">
        <f>IF(T474 + Z473 &lt; 0, T474 + Z473, 0)</f>
        <v>0</v>
      </c>
      <c r="AA474" s="1">
        <f>IF(U474 + AA473 &lt; 0, U474 + AA473, 0)</f>
        <v>0</v>
      </c>
      <c r="AB474" s="1">
        <f>IF(AA474 &lt; 0, 1 + AB473, 0)</f>
        <v>0</v>
      </c>
      <c r="AC474" s="1">
        <f>IF(H474&lt;0,1,0)</f>
        <v>0</v>
      </c>
      <c r="AD474" s="1">
        <f>IF(AC474=1,H474,0)</f>
        <v>0</v>
      </c>
      <c r="AE474" s="1">
        <f>IF(H474&gt;0,1,0)</f>
        <v>0</v>
      </c>
      <c r="AF474" s="1">
        <f>IF(AE474=1,H474,0)</f>
        <v>0</v>
      </c>
      <c r="AG474" s="1">
        <f>IF(AD474&lt;-20000000.0/100,1,0)</f>
        <v>0</v>
      </c>
      <c r="AH474" s="1">
        <f>IF(AF474&gt;20000000.0/100,1,0)</f>
        <v>0</v>
      </c>
      <c r="AI474" s="1">
        <f>IF(U474&lt;0,1,0)</f>
        <v>0</v>
      </c>
      <c r="AJ474" s="1">
        <f>IF(AI474=1,U474,0)</f>
        <v>0</v>
      </c>
      <c r="AK474" s="1">
        <f>IF(U474&gt;0,1,0)</f>
        <v>0</v>
      </c>
      <c r="AL474" s="1">
        <f>IF(AK474=1,U474,0)</f>
        <v>0</v>
      </c>
      <c r="AM474" s="1">
        <f>IF(AJ474&lt;-20000000.0/100,1,0)</f>
        <v>0</v>
      </c>
      <c r="AN474" s="1">
        <f>IF(AL474&gt;20000000.0/100,1,0)</f>
        <v>0</v>
      </c>
    </row>
    <row r="475" spans="1:40" s="1" customFormat="1">
      <c r="A475" s="3">
        <v>45993</v>
      </c>
      <c r="B475" s="2" t="s">
        <v>23</v>
      </c>
      <c r="C475" s="1">
        <f>SUM(PL!H475:J475)</f>
        <v>0</v>
      </c>
      <c r="D475" s="1">
        <f>SUM(PL!K475:M475)</f>
        <v>0</v>
      </c>
      <c r="E475" s="1">
        <f>SUM(PL!N475:P475)</f>
        <v>0</v>
      </c>
      <c r="F475" s="1">
        <f>SUM(PL!Q475:S475)</f>
        <v>0</v>
      </c>
      <c r="G475" s="1">
        <f>SUM(PL!T475:V475)</f>
        <v>0</v>
      </c>
      <c r="H475" s="1">
        <f>SUM(C475:G475)</f>
        <v>0</v>
      </c>
      <c r="I475" s="1">
        <f>IF(C475 + I474 &lt; 0, C475 + I474, 0)</f>
        <v>0</v>
      </c>
      <c r="J475" s="1">
        <f>IF(D475 + J474 &lt; 0, D475 + J474, 0)</f>
        <v>0</v>
      </c>
      <c r="K475" s="1">
        <f>IF(E475 + K474 &lt; 0, E475 + K474, 0)</f>
        <v>0</v>
      </c>
      <c r="L475" s="1">
        <f>IF(F475 + L474 &lt; 0, F475 + L474, 0)</f>
        <v>0</v>
      </c>
      <c r="M475" s="1">
        <f>IF(G475 + M474 &lt; 0, G475 + M474, 0)</f>
        <v>0</v>
      </c>
      <c r="N475" s="1">
        <f>IF(H475 + N474 &lt; 0, H475 + N474, 0)</f>
        <v>0</v>
      </c>
      <c r="O475" s="1">
        <f>IF(N475 &lt; 0, 1 + O474, 0)</f>
        <v>0</v>
      </c>
      <c r="P475" s="1">
        <f>C475-((ABS(SUM(PL!H475:J475)))*0.125)</f>
        <v>0</v>
      </c>
      <c r="Q475" s="1">
        <f>D475-((ABS(SUM(PL!K475:M475)))*0.125)</f>
        <v>0</v>
      </c>
      <c r="R475" s="1">
        <f>E475-((ABS(SUM(PL!N475:P475)))*0.125)</f>
        <v>0</v>
      </c>
      <c r="S475" s="1">
        <f>F475-((ABS(SUM(PL!Q475:S475)))*0.125)</f>
        <v>0</v>
      </c>
      <c r="T475" s="1">
        <f>G475-((ABS(SUM(PL!T475:V475)))*0.125)</f>
        <v>0</v>
      </c>
      <c r="U475" s="1">
        <f>P475 + Q475 + R475 + S475 + T475</f>
        <v>0</v>
      </c>
      <c r="V475" s="1">
        <f>IF(P475 + V474 &lt; 0, P475 + V474, 0)</f>
        <v>0</v>
      </c>
      <c r="W475" s="1">
        <f>IF(Q475 + W474 &lt; 0, Q475 + W474, 0)</f>
        <v>0</v>
      </c>
      <c r="X475" s="1">
        <f>IF(R475 + X474 &lt; 0, R475 + X474, 0)</f>
        <v>0</v>
      </c>
      <c r="Y475" s="1">
        <f>IF(S475 + Y474 &lt; 0, S475 + Y474, 0)</f>
        <v>0</v>
      </c>
      <c r="Z475" s="1">
        <f>IF(T475 + Z474 &lt; 0, T475 + Z474, 0)</f>
        <v>0</v>
      </c>
      <c r="AA475" s="1">
        <f>IF(U475 + AA474 &lt; 0, U475 + AA474, 0)</f>
        <v>0</v>
      </c>
      <c r="AB475" s="1">
        <f>IF(AA475 &lt; 0, 1 + AB474, 0)</f>
        <v>0</v>
      </c>
      <c r="AC475" s="1">
        <f>IF(H475&lt;0,1,0)</f>
        <v>0</v>
      </c>
      <c r="AD475" s="1">
        <f>IF(AC475=1,H475,0)</f>
        <v>0</v>
      </c>
      <c r="AE475" s="1">
        <f>IF(H475&gt;0,1,0)</f>
        <v>0</v>
      </c>
      <c r="AF475" s="1">
        <f>IF(AE475=1,H475,0)</f>
        <v>0</v>
      </c>
      <c r="AG475" s="1">
        <f>IF(AD475&lt;-20000000.0/100,1,0)</f>
        <v>0</v>
      </c>
      <c r="AH475" s="1">
        <f>IF(AF475&gt;20000000.0/100,1,0)</f>
        <v>0</v>
      </c>
      <c r="AI475" s="1">
        <f>IF(U475&lt;0,1,0)</f>
        <v>0</v>
      </c>
      <c r="AJ475" s="1">
        <f>IF(AI475=1,U475,0)</f>
        <v>0</v>
      </c>
      <c r="AK475" s="1">
        <f>IF(U475&gt;0,1,0)</f>
        <v>0</v>
      </c>
      <c r="AL475" s="1">
        <f>IF(AK475=1,U475,0)</f>
        <v>0</v>
      </c>
      <c r="AM475" s="1">
        <f>IF(AJ475&lt;-20000000.0/100,1,0)</f>
        <v>0</v>
      </c>
      <c r="AN475" s="1">
        <f>IF(AL475&gt;20000000.0/100,1,0)</f>
        <v>0</v>
      </c>
    </row>
    <row r="476" spans="1:40" s="1" customFormat="1">
      <c r="A476" s="3">
        <v>45994</v>
      </c>
      <c r="B476" s="2" t="s">
        <v>24</v>
      </c>
      <c r="C476" s="1">
        <f>SUM(PL!H476:J476)</f>
        <v>0</v>
      </c>
      <c r="D476" s="1">
        <f>SUM(PL!K476:M476)</f>
        <v>0</v>
      </c>
      <c r="E476" s="1">
        <f>SUM(PL!N476:P476)</f>
        <v>0</v>
      </c>
      <c r="F476" s="1">
        <f>SUM(PL!Q476:S476)</f>
        <v>0</v>
      </c>
      <c r="G476" s="1">
        <f>SUM(PL!T476:V476)</f>
        <v>0</v>
      </c>
      <c r="H476" s="1">
        <f>SUM(C476:G476)</f>
        <v>0</v>
      </c>
      <c r="I476" s="1">
        <f>IF(C476 + I475 &lt; 0, C476 + I475, 0)</f>
        <v>0</v>
      </c>
      <c r="J476" s="1">
        <f>IF(D476 + J475 &lt; 0, D476 + J475, 0)</f>
        <v>0</v>
      </c>
      <c r="K476" s="1">
        <f>IF(E476 + K475 &lt; 0, E476 + K475, 0)</f>
        <v>0</v>
      </c>
      <c r="L476" s="1">
        <f>IF(F476 + L475 &lt; 0, F476 + L475, 0)</f>
        <v>0</v>
      </c>
      <c r="M476" s="1">
        <f>IF(G476 + M475 &lt; 0, G476 + M475, 0)</f>
        <v>0</v>
      </c>
      <c r="N476" s="1">
        <f>IF(H476 + N475 &lt; 0, H476 + N475, 0)</f>
        <v>0</v>
      </c>
      <c r="O476" s="1">
        <f>IF(N476 &lt; 0, 1 + O475, 0)</f>
        <v>0</v>
      </c>
      <c r="P476" s="1">
        <f>C476-((ABS(SUM(PL!H476:J476)))*0.125)</f>
        <v>0</v>
      </c>
      <c r="Q476" s="1">
        <f>D476-((ABS(SUM(PL!K476:M476)))*0.125)</f>
        <v>0</v>
      </c>
      <c r="R476" s="1">
        <f>E476-((ABS(SUM(PL!N476:P476)))*0.125)</f>
        <v>0</v>
      </c>
      <c r="S476" s="1">
        <f>F476-((ABS(SUM(PL!Q476:S476)))*0.125)</f>
        <v>0</v>
      </c>
      <c r="T476" s="1">
        <f>G476-((ABS(SUM(PL!T476:V476)))*0.125)</f>
        <v>0</v>
      </c>
      <c r="U476" s="1">
        <f>P476 + Q476 + R476 + S476 + T476</f>
        <v>0</v>
      </c>
      <c r="V476" s="1">
        <f>IF(P476 + V475 &lt; 0, P476 + V475, 0)</f>
        <v>0</v>
      </c>
      <c r="W476" s="1">
        <f>IF(Q476 + W475 &lt; 0, Q476 + W475, 0)</f>
        <v>0</v>
      </c>
      <c r="X476" s="1">
        <f>IF(R476 + X475 &lt; 0, R476 + X475, 0)</f>
        <v>0</v>
      </c>
      <c r="Y476" s="1">
        <f>IF(S476 + Y475 &lt; 0, S476 + Y475, 0)</f>
        <v>0</v>
      </c>
      <c r="Z476" s="1">
        <f>IF(T476 + Z475 &lt; 0, T476 + Z475, 0)</f>
        <v>0</v>
      </c>
      <c r="AA476" s="1">
        <f>IF(U476 + AA475 &lt; 0, U476 + AA475, 0)</f>
        <v>0</v>
      </c>
      <c r="AB476" s="1">
        <f>IF(AA476 &lt; 0, 1 + AB475, 0)</f>
        <v>0</v>
      </c>
      <c r="AC476" s="1">
        <f>IF(H476&lt;0,1,0)</f>
        <v>0</v>
      </c>
      <c r="AD476" s="1">
        <f>IF(AC476=1,H476,0)</f>
        <v>0</v>
      </c>
      <c r="AE476" s="1">
        <f>IF(H476&gt;0,1,0)</f>
        <v>0</v>
      </c>
      <c r="AF476" s="1">
        <f>IF(AE476=1,H476,0)</f>
        <v>0</v>
      </c>
      <c r="AG476" s="1">
        <f>IF(AD476&lt;-20000000.0/100,1,0)</f>
        <v>0</v>
      </c>
      <c r="AH476" s="1">
        <f>IF(AF476&gt;20000000.0/100,1,0)</f>
        <v>0</v>
      </c>
      <c r="AI476" s="1">
        <f>IF(U476&lt;0,1,0)</f>
        <v>0</v>
      </c>
      <c r="AJ476" s="1">
        <f>IF(AI476=1,U476,0)</f>
        <v>0</v>
      </c>
      <c r="AK476" s="1">
        <f>IF(U476&gt;0,1,0)</f>
        <v>0</v>
      </c>
      <c r="AL476" s="1">
        <f>IF(AK476=1,U476,0)</f>
        <v>0</v>
      </c>
      <c r="AM476" s="1">
        <f>IF(AJ476&lt;-20000000.0/100,1,0)</f>
        <v>0</v>
      </c>
      <c r="AN476" s="1">
        <f>IF(AL476&gt;20000000.0/100,1,0)</f>
        <v>0</v>
      </c>
    </row>
    <row r="477" spans="1:40" s="1" customFormat="1">
      <c r="A477" s="3">
        <v>45995</v>
      </c>
      <c r="B477" s="2" t="s">
        <v>25</v>
      </c>
      <c r="C477" s="1">
        <f>SUM(PL!H477:J477)</f>
        <v>0</v>
      </c>
      <c r="D477" s="1">
        <f>SUM(PL!K477:M477)</f>
        <v>0</v>
      </c>
      <c r="E477" s="1">
        <f>SUM(PL!N477:P477)</f>
        <v>0</v>
      </c>
      <c r="F477" s="1">
        <f>SUM(PL!Q477:S477)</f>
        <v>0</v>
      </c>
      <c r="G477" s="1">
        <f>SUM(PL!T477:V477)</f>
        <v>0</v>
      </c>
      <c r="H477" s="1">
        <f>SUM(C477:G477)</f>
        <v>0</v>
      </c>
      <c r="I477" s="1">
        <f>IF(C477 + I476 &lt; 0, C477 + I476, 0)</f>
        <v>0</v>
      </c>
      <c r="J477" s="1">
        <f>IF(D477 + J476 &lt; 0, D477 + J476, 0)</f>
        <v>0</v>
      </c>
      <c r="K477" s="1">
        <f>IF(E477 + K476 &lt; 0, E477 + K476, 0)</f>
        <v>0</v>
      </c>
      <c r="L477" s="1">
        <f>IF(F477 + L476 &lt; 0, F477 + L476, 0)</f>
        <v>0</v>
      </c>
      <c r="M477" s="1">
        <f>IF(G477 + M476 &lt; 0, G477 + M476, 0)</f>
        <v>0</v>
      </c>
      <c r="N477" s="1">
        <f>IF(H477 + N476 &lt; 0, H477 + N476, 0)</f>
        <v>0</v>
      </c>
      <c r="O477" s="1">
        <f>IF(N477 &lt; 0, 1 + O476, 0)</f>
        <v>0</v>
      </c>
      <c r="P477" s="1">
        <f>C477-((ABS(SUM(PL!H477:J477)))*0.125)</f>
        <v>0</v>
      </c>
      <c r="Q477" s="1">
        <f>D477-((ABS(SUM(PL!K477:M477)))*0.125)</f>
        <v>0</v>
      </c>
      <c r="R477" s="1">
        <f>E477-((ABS(SUM(PL!N477:P477)))*0.125)</f>
        <v>0</v>
      </c>
      <c r="S477" s="1">
        <f>F477-((ABS(SUM(PL!Q477:S477)))*0.125)</f>
        <v>0</v>
      </c>
      <c r="T477" s="1">
        <f>G477-((ABS(SUM(PL!T477:V477)))*0.125)</f>
        <v>0</v>
      </c>
      <c r="U477" s="1">
        <f>P477 + Q477 + R477 + S477 + T477</f>
        <v>0</v>
      </c>
      <c r="V477" s="1">
        <f>IF(P477 + V476 &lt; 0, P477 + V476, 0)</f>
        <v>0</v>
      </c>
      <c r="W477" s="1">
        <f>IF(Q477 + W476 &lt; 0, Q477 + W476, 0)</f>
        <v>0</v>
      </c>
      <c r="X477" s="1">
        <f>IF(R477 + X476 &lt; 0, R477 + X476, 0)</f>
        <v>0</v>
      </c>
      <c r="Y477" s="1">
        <f>IF(S477 + Y476 &lt; 0, S477 + Y476, 0)</f>
        <v>0</v>
      </c>
      <c r="Z477" s="1">
        <f>IF(T477 + Z476 &lt; 0, T477 + Z476, 0)</f>
        <v>0</v>
      </c>
      <c r="AA477" s="1">
        <f>IF(U477 + AA476 &lt; 0, U477 + AA476, 0)</f>
        <v>0</v>
      </c>
      <c r="AB477" s="1">
        <f>IF(AA477 &lt; 0, 1 + AB476, 0)</f>
        <v>0</v>
      </c>
      <c r="AC477" s="1">
        <f>IF(H477&lt;0,1,0)</f>
        <v>0</v>
      </c>
      <c r="AD477" s="1">
        <f>IF(AC477=1,H477,0)</f>
        <v>0</v>
      </c>
      <c r="AE477" s="1">
        <f>IF(H477&gt;0,1,0)</f>
        <v>0</v>
      </c>
      <c r="AF477" s="1">
        <f>IF(AE477=1,H477,0)</f>
        <v>0</v>
      </c>
      <c r="AG477" s="1">
        <f>IF(AD477&lt;-20000000.0/100,1,0)</f>
        <v>0</v>
      </c>
      <c r="AH477" s="1">
        <f>IF(AF477&gt;20000000.0/100,1,0)</f>
        <v>0</v>
      </c>
      <c r="AI477" s="1">
        <f>IF(U477&lt;0,1,0)</f>
        <v>0</v>
      </c>
      <c r="AJ477" s="1">
        <f>IF(AI477=1,U477,0)</f>
        <v>0</v>
      </c>
      <c r="AK477" s="1">
        <f>IF(U477&gt;0,1,0)</f>
        <v>0</v>
      </c>
      <c r="AL477" s="1">
        <f>IF(AK477=1,U477,0)</f>
        <v>0</v>
      </c>
      <c r="AM477" s="1">
        <f>IF(AJ477&lt;-20000000.0/100,1,0)</f>
        <v>0</v>
      </c>
      <c r="AN477" s="1">
        <f>IF(AL477&gt;20000000.0/100,1,0)</f>
        <v>0</v>
      </c>
    </row>
    <row r="478" spans="1:40" s="1" customFormat="1">
      <c r="A478" s="3">
        <v>45996</v>
      </c>
      <c r="B478" s="2" t="s">
        <v>26</v>
      </c>
      <c r="C478" s="1">
        <f>SUM(PL!H478:J478)</f>
        <v>0</v>
      </c>
      <c r="D478" s="1">
        <f>SUM(PL!K478:M478)</f>
        <v>0</v>
      </c>
      <c r="E478" s="1">
        <f>SUM(PL!N478:P478)</f>
        <v>0</v>
      </c>
      <c r="F478" s="1">
        <f>SUM(PL!Q478:S478)</f>
        <v>0</v>
      </c>
      <c r="G478" s="1">
        <f>SUM(PL!T478:V478)</f>
        <v>0</v>
      </c>
      <c r="H478" s="1">
        <f>SUM(C478:G478)</f>
        <v>0</v>
      </c>
      <c r="I478" s="1">
        <f>IF(C478 + I477 &lt; 0, C478 + I477, 0)</f>
        <v>0</v>
      </c>
      <c r="J478" s="1">
        <f>IF(D478 + J477 &lt; 0, D478 + J477, 0)</f>
        <v>0</v>
      </c>
      <c r="K478" s="1">
        <f>IF(E478 + K477 &lt; 0, E478 + K477, 0)</f>
        <v>0</v>
      </c>
      <c r="L478" s="1">
        <f>IF(F478 + L477 &lt; 0, F478 + L477, 0)</f>
        <v>0</v>
      </c>
      <c r="M478" s="1">
        <f>IF(G478 + M477 &lt; 0, G478 + M477, 0)</f>
        <v>0</v>
      </c>
      <c r="N478" s="1">
        <f>IF(H478 + N477 &lt; 0, H478 + N477, 0)</f>
        <v>0</v>
      </c>
      <c r="O478" s="1">
        <f>IF(N478 &lt; 0, 1 + O477, 0)</f>
        <v>0</v>
      </c>
      <c r="P478" s="1">
        <f>C478-((ABS(SUM(PL!H478:J478)))*0.125)</f>
        <v>0</v>
      </c>
      <c r="Q478" s="1">
        <f>D478-((ABS(SUM(PL!K478:M478)))*0.125)</f>
        <v>0</v>
      </c>
      <c r="R478" s="1">
        <f>E478-((ABS(SUM(PL!N478:P478)))*0.125)</f>
        <v>0</v>
      </c>
      <c r="S478" s="1">
        <f>F478-((ABS(SUM(PL!Q478:S478)))*0.125)</f>
        <v>0</v>
      </c>
      <c r="T478" s="1">
        <f>G478-((ABS(SUM(PL!T478:V478)))*0.125)</f>
        <v>0</v>
      </c>
      <c r="U478" s="1">
        <f>P478 + Q478 + R478 + S478 + T478</f>
        <v>0</v>
      </c>
      <c r="V478" s="1">
        <f>IF(P478 + V477 &lt; 0, P478 + V477, 0)</f>
        <v>0</v>
      </c>
      <c r="W478" s="1">
        <f>IF(Q478 + W477 &lt; 0, Q478 + W477, 0)</f>
        <v>0</v>
      </c>
      <c r="X478" s="1">
        <f>IF(R478 + X477 &lt; 0, R478 + X477, 0)</f>
        <v>0</v>
      </c>
      <c r="Y478" s="1">
        <f>IF(S478 + Y477 &lt; 0, S478 + Y477, 0)</f>
        <v>0</v>
      </c>
      <c r="Z478" s="1">
        <f>IF(T478 + Z477 &lt; 0, T478 + Z477, 0)</f>
        <v>0</v>
      </c>
      <c r="AA478" s="1">
        <f>IF(U478 + AA477 &lt; 0, U478 + AA477, 0)</f>
        <v>0</v>
      </c>
      <c r="AB478" s="1">
        <f>IF(AA478 &lt; 0, 1 + AB477, 0)</f>
        <v>0</v>
      </c>
      <c r="AC478" s="1">
        <f>IF(H478&lt;0,1,0)</f>
        <v>0</v>
      </c>
      <c r="AD478" s="1">
        <f>IF(AC478=1,H478,0)</f>
        <v>0</v>
      </c>
      <c r="AE478" s="1">
        <f>IF(H478&gt;0,1,0)</f>
        <v>0</v>
      </c>
      <c r="AF478" s="1">
        <f>IF(AE478=1,H478,0)</f>
        <v>0</v>
      </c>
      <c r="AG478" s="1">
        <f>IF(AD478&lt;-20000000.0/100,1,0)</f>
        <v>0</v>
      </c>
      <c r="AH478" s="1">
        <f>IF(AF478&gt;20000000.0/100,1,0)</f>
        <v>0</v>
      </c>
      <c r="AI478" s="1">
        <f>IF(U478&lt;0,1,0)</f>
        <v>0</v>
      </c>
      <c r="AJ478" s="1">
        <f>IF(AI478=1,U478,0)</f>
        <v>0</v>
      </c>
      <c r="AK478" s="1">
        <f>IF(U478&gt;0,1,0)</f>
        <v>0</v>
      </c>
      <c r="AL478" s="1">
        <f>IF(AK478=1,U478,0)</f>
        <v>0</v>
      </c>
      <c r="AM478" s="1">
        <f>IF(AJ478&lt;-20000000.0/100,1,0)</f>
        <v>0</v>
      </c>
      <c r="AN478" s="1">
        <f>IF(AL478&gt;20000000.0/100,1,0)</f>
        <v>0</v>
      </c>
    </row>
    <row r="479" spans="1:40" s="1" customFormat="1">
      <c r="A479" s="3">
        <v>45999</v>
      </c>
      <c r="B479" s="2" t="s">
        <v>22</v>
      </c>
      <c r="C479" s="1">
        <f>SUM(PL!H479:J479)</f>
        <v>0</v>
      </c>
      <c r="D479" s="1">
        <f>SUM(PL!K479:M479)</f>
        <v>0</v>
      </c>
      <c r="E479" s="1">
        <f>SUM(PL!N479:P479)</f>
        <v>0</v>
      </c>
      <c r="F479" s="1">
        <f>SUM(PL!Q479:S479)</f>
        <v>0</v>
      </c>
      <c r="G479" s="1">
        <f>SUM(PL!T479:V479)</f>
        <v>0</v>
      </c>
      <c r="H479" s="1">
        <f>SUM(C479:G479)</f>
        <v>0</v>
      </c>
      <c r="I479" s="1">
        <f>IF(C479 + I478 &lt; 0, C479 + I478, 0)</f>
        <v>0</v>
      </c>
      <c r="J479" s="1">
        <f>IF(D479 + J478 &lt; 0, D479 + J478, 0)</f>
        <v>0</v>
      </c>
      <c r="K479" s="1">
        <f>IF(E479 + K478 &lt; 0, E479 + K478, 0)</f>
        <v>0</v>
      </c>
      <c r="L479" s="1">
        <f>IF(F479 + L478 &lt; 0, F479 + L478, 0)</f>
        <v>0</v>
      </c>
      <c r="M479" s="1">
        <f>IF(G479 + M478 &lt; 0, G479 + M478, 0)</f>
        <v>0</v>
      </c>
      <c r="N479" s="1">
        <f>IF(H479 + N478 &lt; 0, H479 + N478, 0)</f>
        <v>0</v>
      </c>
      <c r="O479" s="1">
        <f>IF(N479 &lt; 0, 1 + O478, 0)</f>
        <v>0</v>
      </c>
      <c r="P479" s="1">
        <f>C479-((ABS(SUM(PL!H479:J479)))*0.125)</f>
        <v>0</v>
      </c>
      <c r="Q479" s="1">
        <f>D479-((ABS(SUM(PL!K479:M479)))*0.125)</f>
        <v>0</v>
      </c>
      <c r="R479" s="1">
        <f>E479-((ABS(SUM(PL!N479:P479)))*0.125)</f>
        <v>0</v>
      </c>
      <c r="S479" s="1">
        <f>F479-((ABS(SUM(PL!Q479:S479)))*0.125)</f>
        <v>0</v>
      </c>
      <c r="T479" s="1">
        <f>G479-((ABS(SUM(PL!T479:V479)))*0.125)</f>
        <v>0</v>
      </c>
      <c r="U479" s="1">
        <f>P479 + Q479 + R479 + S479 + T479</f>
        <v>0</v>
      </c>
      <c r="V479" s="1">
        <f>IF(P479 + V478 &lt; 0, P479 + V478, 0)</f>
        <v>0</v>
      </c>
      <c r="W479" s="1">
        <f>IF(Q479 + W478 &lt; 0, Q479 + W478, 0)</f>
        <v>0</v>
      </c>
      <c r="X479" s="1">
        <f>IF(R479 + X478 &lt; 0, R479 + X478, 0)</f>
        <v>0</v>
      </c>
      <c r="Y479" s="1">
        <f>IF(S479 + Y478 &lt; 0, S479 + Y478, 0)</f>
        <v>0</v>
      </c>
      <c r="Z479" s="1">
        <f>IF(T479 + Z478 &lt; 0, T479 + Z478, 0)</f>
        <v>0</v>
      </c>
      <c r="AA479" s="1">
        <f>IF(U479 + AA478 &lt; 0, U479 + AA478, 0)</f>
        <v>0</v>
      </c>
      <c r="AB479" s="1">
        <f>IF(AA479 &lt; 0, 1 + AB478, 0)</f>
        <v>0</v>
      </c>
      <c r="AC479" s="1">
        <f>IF(H479&lt;0,1,0)</f>
        <v>0</v>
      </c>
      <c r="AD479" s="1">
        <f>IF(AC479=1,H479,0)</f>
        <v>0</v>
      </c>
      <c r="AE479" s="1">
        <f>IF(H479&gt;0,1,0)</f>
        <v>0</v>
      </c>
      <c r="AF479" s="1">
        <f>IF(AE479=1,H479,0)</f>
        <v>0</v>
      </c>
      <c r="AG479" s="1">
        <f>IF(AD479&lt;-20000000.0/100,1,0)</f>
        <v>0</v>
      </c>
      <c r="AH479" s="1">
        <f>IF(AF479&gt;20000000.0/100,1,0)</f>
        <v>0</v>
      </c>
      <c r="AI479" s="1">
        <f>IF(U479&lt;0,1,0)</f>
        <v>0</v>
      </c>
      <c r="AJ479" s="1">
        <f>IF(AI479=1,U479,0)</f>
        <v>0</v>
      </c>
      <c r="AK479" s="1">
        <f>IF(U479&gt;0,1,0)</f>
        <v>0</v>
      </c>
      <c r="AL479" s="1">
        <f>IF(AK479=1,U479,0)</f>
        <v>0</v>
      </c>
      <c r="AM479" s="1">
        <f>IF(AJ479&lt;-20000000.0/100,1,0)</f>
        <v>0</v>
      </c>
      <c r="AN479" s="1">
        <f>IF(AL479&gt;20000000.0/100,1,0)</f>
        <v>0</v>
      </c>
    </row>
    <row r="480" spans="1:40" s="1" customFormat="1">
      <c r="A480" s="3">
        <v>46000</v>
      </c>
      <c r="B480" s="2" t="s">
        <v>23</v>
      </c>
      <c r="C480" s="1">
        <f>SUM(PL!H480:J480)</f>
        <v>0</v>
      </c>
      <c r="D480" s="1">
        <f>SUM(PL!K480:M480)</f>
        <v>0</v>
      </c>
      <c r="E480" s="1">
        <f>SUM(PL!N480:P480)</f>
        <v>0</v>
      </c>
      <c r="F480" s="1">
        <f>SUM(PL!Q480:S480)</f>
        <v>0</v>
      </c>
      <c r="G480" s="1">
        <f>SUM(PL!T480:V480)</f>
        <v>0</v>
      </c>
      <c r="H480" s="1">
        <f>SUM(C480:G480)</f>
        <v>0</v>
      </c>
      <c r="I480" s="1">
        <f>IF(C480 + I479 &lt; 0, C480 + I479, 0)</f>
        <v>0</v>
      </c>
      <c r="J480" s="1">
        <f>IF(D480 + J479 &lt; 0, D480 + J479, 0)</f>
        <v>0</v>
      </c>
      <c r="K480" s="1">
        <f>IF(E480 + K479 &lt; 0, E480 + K479, 0)</f>
        <v>0</v>
      </c>
      <c r="L480" s="1">
        <f>IF(F480 + L479 &lt; 0, F480 + L479, 0)</f>
        <v>0</v>
      </c>
      <c r="M480" s="1">
        <f>IF(G480 + M479 &lt; 0, G480 + M479, 0)</f>
        <v>0</v>
      </c>
      <c r="N480" s="1">
        <f>IF(H480 + N479 &lt; 0, H480 + N479, 0)</f>
        <v>0</v>
      </c>
      <c r="O480" s="1">
        <f>IF(N480 &lt; 0, 1 + O479, 0)</f>
        <v>0</v>
      </c>
      <c r="P480" s="1">
        <f>C480-((ABS(SUM(PL!H480:J480)))*0.125)</f>
        <v>0</v>
      </c>
      <c r="Q480" s="1">
        <f>D480-((ABS(SUM(PL!K480:M480)))*0.125)</f>
        <v>0</v>
      </c>
      <c r="R480" s="1">
        <f>E480-((ABS(SUM(PL!N480:P480)))*0.125)</f>
        <v>0</v>
      </c>
      <c r="S480" s="1">
        <f>F480-((ABS(SUM(PL!Q480:S480)))*0.125)</f>
        <v>0</v>
      </c>
      <c r="T480" s="1">
        <f>G480-((ABS(SUM(PL!T480:V480)))*0.125)</f>
        <v>0</v>
      </c>
      <c r="U480" s="1">
        <f>P480 + Q480 + R480 + S480 + T480</f>
        <v>0</v>
      </c>
      <c r="V480" s="1">
        <f>IF(P480 + V479 &lt; 0, P480 + V479, 0)</f>
        <v>0</v>
      </c>
      <c r="W480" s="1">
        <f>IF(Q480 + W479 &lt; 0, Q480 + W479, 0)</f>
        <v>0</v>
      </c>
      <c r="X480" s="1">
        <f>IF(R480 + X479 &lt; 0, R480 + X479, 0)</f>
        <v>0</v>
      </c>
      <c r="Y480" s="1">
        <f>IF(S480 + Y479 &lt; 0, S480 + Y479, 0)</f>
        <v>0</v>
      </c>
      <c r="Z480" s="1">
        <f>IF(T480 + Z479 &lt; 0, T480 + Z479, 0)</f>
        <v>0</v>
      </c>
      <c r="AA480" s="1">
        <f>IF(U480 + AA479 &lt; 0, U480 + AA479, 0)</f>
        <v>0</v>
      </c>
      <c r="AB480" s="1">
        <f>IF(AA480 &lt; 0, 1 + AB479, 0)</f>
        <v>0</v>
      </c>
      <c r="AC480" s="1">
        <f>IF(H480&lt;0,1,0)</f>
        <v>0</v>
      </c>
      <c r="AD480" s="1">
        <f>IF(AC480=1,H480,0)</f>
        <v>0</v>
      </c>
      <c r="AE480" s="1">
        <f>IF(H480&gt;0,1,0)</f>
        <v>0</v>
      </c>
      <c r="AF480" s="1">
        <f>IF(AE480=1,H480,0)</f>
        <v>0</v>
      </c>
      <c r="AG480" s="1">
        <f>IF(AD480&lt;-20000000.0/100,1,0)</f>
        <v>0</v>
      </c>
      <c r="AH480" s="1">
        <f>IF(AF480&gt;20000000.0/100,1,0)</f>
        <v>0</v>
      </c>
      <c r="AI480" s="1">
        <f>IF(U480&lt;0,1,0)</f>
        <v>0</v>
      </c>
      <c r="AJ480" s="1">
        <f>IF(AI480=1,U480,0)</f>
        <v>0</v>
      </c>
      <c r="AK480" s="1">
        <f>IF(U480&gt;0,1,0)</f>
        <v>0</v>
      </c>
      <c r="AL480" s="1">
        <f>IF(AK480=1,U480,0)</f>
        <v>0</v>
      </c>
      <c r="AM480" s="1">
        <f>IF(AJ480&lt;-20000000.0/100,1,0)</f>
        <v>0</v>
      </c>
      <c r="AN480" s="1">
        <f>IF(AL480&gt;20000000.0/100,1,0)</f>
        <v>0</v>
      </c>
    </row>
    <row r="481" spans="1:40" s="1" customFormat="1">
      <c r="A481" s="3">
        <v>46001</v>
      </c>
      <c r="B481" s="2" t="s">
        <v>24</v>
      </c>
      <c r="C481" s="1">
        <f>SUM(PL!H481:J481)</f>
        <v>0</v>
      </c>
      <c r="D481" s="1">
        <f>SUM(PL!K481:M481)</f>
        <v>0</v>
      </c>
      <c r="E481" s="1">
        <f>SUM(PL!N481:P481)</f>
        <v>0</v>
      </c>
      <c r="F481" s="1">
        <f>SUM(PL!Q481:S481)</f>
        <v>0</v>
      </c>
      <c r="G481" s="1">
        <f>SUM(PL!T481:V481)</f>
        <v>0</v>
      </c>
      <c r="H481" s="1">
        <f>SUM(C481:G481)</f>
        <v>0</v>
      </c>
      <c r="I481" s="1">
        <f>IF(C481 + I480 &lt; 0, C481 + I480, 0)</f>
        <v>0</v>
      </c>
      <c r="J481" s="1">
        <f>IF(D481 + J480 &lt; 0, D481 + J480, 0)</f>
        <v>0</v>
      </c>
      <c r="K481" s="1">
        <f>IF(E481 + K480 &lt; 0, E481 + K480, 0)</f>
        <v>0</v>
      </c>
      <c r="L481" s="1">
        <f>IF(F481 + L480 &lt; 0, F481 + L480, 0)</f>
        <v>0</v>
      </c>
      <c r="M481" s="1">
        <f>IF(G481 + M480 &lt; 0, G481 + M480, 0)</f>
        <v>0</v>
      </c>
      <c r="N481" s="1">
        <f>IF(H481 + N480 &lt; 0, H481 + N480, 0)</f>
        <v>0</v>
      </c>
      <c r="O481" s="1">
        <f>IF(N481 &lt; 0, 1 + O480, 0)</f>
        <v>0</v>
      </c>
      <c r="P481" s="1">
        <f>C481-((ABS(SUM(PL!H481:J481)))*0.125)</f>
        <v>0</v>
      </c>
      <c r="Q481" s="1">
        <f>D481-((ABS(SUM(PL!K481:M481)))*0.125)</f>
        <v>0</v>
      </c>
      <c r="R481" s="1">
        <f>E481-((ABS(SUM(PL!N481:P481)))*0.125)</f>
        <v>0</v>
      </c>
      <c r="S481" s="1">
        <f>F481-((ABS(SUM(PL!Q481:S481)))*0.125)</f>
        <v>0</v>
      </c>
      <c r="T481" s="1">
        <f>G481-((ABS(SUM(PL!T481:V481)))*0.125)</f>
        <v>0</v>
      </c>
      <c r="U481" s="1">
        <f>P481 + Q481 + R481 + S481 + T481</f>
        <v>0</v>
      </c>
      <c r="V481" s="1">
        <f>IF(P481 + V480 &lt; 0, P481 + V480, 0)</f>
        <v>0</v>
      </c>
      <c r="W481" s="1">
        <f>IF(Q481 + W480 &lt; 0, Q481 + W480, 0)</f>
        <v>0</v>
      </c>
      <c r="X481" s="1">
        <f>IF(R481 + X480 &lt; 0, R481 + X480, 0)</f>
        <v>0</v>
      </c>
      <c r="Y481" s="1">
        <f>IF(S481 + Y480 &lt; 0, S481 + Y480, 0)</f>
        <v>0</v>
      </c>
      <c r="Z481" s="1">
        <f>IF(T481 + Z480 &lt; 0, T481 + Z480, 0)</f>
        <v>0</v>
      </c>
      <c r="AA481" s="1">
        <f>IF(U481 + AA480 &lt; 0, U481 + AA480, 0)</f>
        <v>0</v>
      </c>
      <c r="AB481" s="1">
        <f>IF(AA481 &lt; 0, 1 + AB480, 0)</f>
        <v>0</v>
      </c>
      <c r="AC481" s="1">
        <f>IF(H481&lt;0,1,0)</f>
        <v>0</v>
      </c>
      <c r="AD481" s="1">
        <f>IF(AC481=1,H481,0)</f>
        <v>0</v>
      </c>
      <c r="AE481" s="1">
        <f>IF(H481&gt;0,1,0)</f>
        <v>0</v>
      </c>
      <c r="AF481" s="1">
        <f>IF(AE481=1,H481,0)</f>
        <v>0</v>
      </c>
      <c r="AG481" s="1">
        <f>IF(AD481&lt;-20000000.0/100,1,0)</f>
        <v>0</v>
      </c>
      <c r="AH481" s="1">
        <f>IF(AF481&gt;20000000.0/100,1,0)</f>
        <v>0</v>
      </c>
      <c r="AI481" s="1">
        <f>IF(U481&lt;0,1,0)</f>
        <v>0</v>
      </c>
      <c r="AJ481" s="1">
        <f>IF(AI481=1,U481,0)</f>
        <v>0</v>
      </c>
      <c r="AK481" s="1">
        <f>IF(U481&gt;0,1,0)</f>
        <v>0</v>
      </c>
      <c r="AL481" s="1">
        <f>IF(AK481=1,U481,0)</f>
        <v>0</v>
      </c>
      <c r="AM481" s="1">
        <f>IF(AJ481&lt;-20000000.0/100,1,0)</f>
        <v>0</v>
      </c>
      <c r="AN481" s="1">
        <f>IF(AL481&gt;20000000.0/100,1,0)</f>
        <v>0</v>
      </c>
    </row>
    <row r="482" spans="1:40" s="1" customFormat="1">
      <c r="A482" s="3">
        <v>46002</v>
      </c>
      <c r="B482" s="2" t="s">
        <v>25</v>
      </c>
      <c r="C482" s="1">
        <f>SUM(PL!H482:J482)</f>
        <v>0</v>
      </c>
      <c r="D482" s="1">
        <f>SUM(PL!K482:M482)</f>
        <v>0</v>
      </c>
      <c r="E482" s="1">
        <f>SUM(PL!N482:P482)</f>
        <v>0</v>
      </c>
      <c r="F482" s="1">
        <f>SUM(PL!Q482:S482)</f>
        <v>0</v>
      </c>
      <c r="G482" s="1">
        <f>SUM(PL!T482:V482)</f>
        <v>0</v>
      </c>
      <c r="H482" s="1">
        <f>SUM(C482:G482)</f>
        <v>0</v>
      </c>
      <c r="I482" s="1">
        <f>IF(C482 + I481 &lt; 0, C482 + I481, 0)</f>
        <v>0</v>
      </c>
      <c r="J482" s="1">
        <f>IF(D482 + J481 &lt; 0, D482 + J481, 0)</f>
        <v>0</v>
      </c>
      <c r="K482" s="1">
        <f>IF(E482 + K481 &lt; 0, E482 + K481, 0)</f>
        <v>0</v>
      </c>
      <c r="L482" s="1">
        <f>IF(F482 + L481 &lt; 0, F482 + L481, 0)</f>
        <v>0</v>
      </c>
      <c r="M482" s="1">
        <f>IF(G482 + M481 &lt; 0, G482 + M481, 0)</f>
        <v>0</v>
      </c>
      <c r="N482" s="1">
        <f>IF(H482 + N481 &lt; 0, H482 + N481, 0)</f>
        <v>0</v>
      </c>
      <c r="O482" s="1">
        <f>IF(N482 &lt; 0, 1 + O481, 0)</f>
        <v>0</v>
      </c>
      <c r="P482" s="1">
        <f>C482-((ABS(SUM(PL!H482:J482)))*0.125)</f>
        <v>0</v>
      </c>
      <c r="Q482" s="1">
        <f>D482-((ABS(SUM(PL!K482:M482)))*0.125)</f>
        <v>0</v>
      </c>
      <c r="R482" s="1">
        <f>E482-((ABS(SUM(PL!N482:P482)))*0.125)</f>
        <v>0</v>
      </c>
      <c r="S482" s="1">
        <f>F482-((ABS(SUM(PL!Q482:S482)))*0.125)</f>
        <v>0</v>
      </c>
      <c r="T482" s="1">
        <f>G482-((ABS(SUM(PL!T482:V482)))*0.125)</f>
        <v>0</v>
      </c>
      <c r="U482" s="1">
        <f>P482 + Q482 + R482 + S482 + T482</f>
        <v>0</v>
      </c>
      <c r="V482" s="1">
        <f>IF(P482 + V481 &lt; 0, P482 + V481, 0)</f>
        <v>0</v>
      </c>
      <c r="W482" s="1">
        <f>IF(Q482 + W481 &lt; 0, Q482 + W481, 0)</f>
        <v>0</v>
      </c>
      <c r="X482" s="1">
        <f>IF(R482 + X481 &lt; 0, R482 + X481, 0)</f>
        <v>0</v>
      </c>
      <c r="Y482" s="1">
        <f>IF(S482 + Y481 &lt; 0, S482 + Y481, 0)</f>
        <v>0</v>
      </c>
      <c r="Z482" s="1">
        <f>IF(T482 + Z481 &lt; 0, T482 + Z481, 0)</f>
        <v>0</v>
      </c>
      <c r="AA482" s="1">
        <f>IF(U482 + AA481 &lt; 0, U482 + AA481, 0)</f>
        <v>0</v>
      </c>
      <c r="AB482" s="1">
        <f>IF(AA482 &lt; 0, 1 + AB481, 0)</f>
        <v>0</v>
      </c>
      <c r="AC482" s="1">
        <f>IF(H482&lt;0,1,0)</f>
        <v>0</v>
      </c>
      <c r="AD482" s="1">
        <f>IF(AC482=1,H482,0)</f>
        <v>0</v>
      </c>
      <c r="AE482" s="1">
        <f>IF(H482&gt;0,1,0)</f>
        <v>0</v>
      </c>
      <c r="AF482" s="1">
        <f>IF(AE482=1,H482,0)</f>
        <v>0</v>
      </c>
      <c r="AG482" s="1">
        <f>IF(AD482&lt;-20000000.0/100,1,0)</f>
        <v>0</v>
      </c>
      <c r="AH482" s="1">
        <f>IF(AF482&gt;20000000.0/100,1,0)</f>
        <v>0</v>
      </c>
      <c r="AI482" s="1">
        <f>IF(U482&lt;0,1,0)</f>
        <v>0</v>
      </c>
      <c r="AJ482" s="1">
        <f>IF(AI482=1,U482,0)</f>
        <v>0</v>
      </c>
      <c r="AK482" s="1">
        <f>IF(U482&gt;0,1,0)</f>
        <v>0</v>
      </c>
      <c r="AL482" s="1">
        <f>IF(AK482=1,U482,0)</f>
        <v>0</v>
      </c>
      <c r="AM482" s="1">
        <f>IF(AJ482&lt;-20000000.0/100,1,0)</f>
        <v>0</v>
      </c>
      <c r="AN482" s="1">
        <f>IF(AL482&gt;20000000.0/100,1,0)</f>
        <v>0</v>
      </c>
    </row>
    <row r="483" spans="1:40" s="1" customFormat="1">
      <c r="A483" s="3">
        <v>46003</v>
      </c>
      <c r="B483" s="2" t="s">
        <v>26</v>
      </c>
      <c r="C483" s="1">
        <f>SUM(PL!H483:J483)</f>
        <v>0</v>
      </c>
      <c r="D483" s="1">
        <f>SUM(PL!K483:M483)</f>
        <v>0</v>
      </c>
      <c r="E483" s="1">
        <f>SUM(PL!N483:P483)</f>
        <v>0</v>
      </c>
      <c r="F483" s="1">
        <f>SUM(PL!Q483:S483)</f>
        <v>0</v>
      </c>
      <c r="G483" s="1">
        <f>SUM(PL!T483:V483)</f>
        <v>0</v>
      </c>
      <c r="H483" s="1">
        <f>SUM(C483:G483)</f>
        <v>0</v>
      </c>
      <c r="I483" s="1">
        <f>IF(C483 + I482 &lt; 0, C483 + I482, 0)</f>
        <v>0</v>
      </c>
      <c r="J483" s="1">
        <f>IF(D483 + J482 &lt; 0, D483 + J482, 0)</f>
        <v>0</v>
      </c>
      <c r="K483" s="1">
        <f>IF(E483 + K482 &lt; 0, E483 + K482, 0)</f>
        <v>0</v>
      </c>
      <c r="L483" s="1">
        <f>IF(F483 + L482 &lt; 0, F483 + L482, 0)</f>
        <v>0</v>
      </c>
      <c r="M483" s="1">
        <f>IF(G483 + M482 &lt; 0, G483 + M482, 0)</f>
        <v>0</v>
      </c>
      <c r="N483" s="1">
        <f>IF(H483 + N482 &lt; 0, H483 + N482, 0)</f>
        <v>0</v>
      </c>
      <c r="O483" s="1">
        <f>IF(N483 &lt; 0, 1 + O482, 0)</f>
        <v>0</v>
      </c>
      <c r="P483" s="1">
        <f>C483-((ABS(SUM(PL!H483:J483)))*0.125)</f>
        <v>0</v>
      </c>
      <c r="Q483" s="1">
        <f>D483-((ABS(SUM(PL!K483:M483)))*0.125)</f>
        <v>0</v>
      </c>
      <c r="R483" s="1">
        <f>E483-((ABS(SUM(PL!N483:P483)))*0.125)</f>
        <v>0</v>
      </c>
      <c r="S483" s="1">
        <f>F483-((ABS(SUM(PL!Q483:S483)))*0.125)</f>
        <v>0</v>
      </c>
      <c r="T483" s="1">
        <f>G483-((ABS(SUM(PL!T483:V483)))*0.125)</f>
        <v>0</v>
      </c>
      <c r="U483" s="1">
        <f>P483 + Q483 + R483 + S483 + T483</f>
        <v>0</v>
      </c>
      <c r="V483" s="1">
        <f>IF(P483 + V482 &lt; 0, P483 + V482, 0)</f>
        <v>0</v>
      </c>
      <c r="W483" s="1">
        <f>IF(Q483 + W482 &lt; 0, Q483 + W482, 0)</f>
        <v>0</v>
      </c>
      <c r="X483" s="1">
        <f>IF(R483 + X482 &lt; 0, R483 + X482, 0)</f>
        <v>0</v>
      </c>
      <c r="Y483" s="1">
        <f>IF(S483 + Y482 &lt; 0, S483 + Y482, 0)</f>
        <v>0</v>
      </c>
      <c r="Z483" s="1">
        <f>IF(T483 + Z482 &lt; 0, T483 + Z482, 0)</f>
        <v>0</v>
      </c>
      <c r="AA483" s="1">
        <f>IF(U483 + AA482 &lt; 0, U483 + AA482, 0)</f>
        <v>0</v>
      </c>
      <c r="AB483" s="1">
        <f>IF(AA483 &lt; 0, 1 + AB482, 0)</f>
        <v>0</v>
      </c>
      <c r="AC483" s="1">
        <f>IF(H483&lt;0,1,0)</f>
        <v>0</v>
      </c>
      <c r="AD483" s="1">
        <f>IF(AC483=1,H483,0)</f>
        <v>0</v>
      </c>
      <c r="AE483" s="1">
        <f>IF(H483&gt;0,1,0)</f>
        <v>0</v>
      </c>
      <c r="AF483" s="1">
        <f>IF(AE483=1,H483,0)</f>
        <v>0</v>
      </c>
      <c r="AG483" s="1">
        <f>IF(AD483&lt;-20000000.0/100,1,0)</f>
        <v>0</v>
      </c>
      <c r="AH483" s="1">
        <f>IF(AF483&gt;20000000.0/100,1,0)</f>
        <v>0</v>
      </c>
      <c r="AI483" s="1">
        <f>IF(U483&lt;0,1,0)</f>
        <v>0</v>
      </c>
      <c r="AJ483" s="1">
        <f>IF(AI483=1,U483,0)</f>
        <v>0</v>
      </c>
      <c r="AK483" s="1">
        <f>IF(U483&gt;0,1,0)</f>
        <v>0</v>
      </c>
      <c r="AL483" s="1">
        <f>IF(AK483=1,U483,0)</f>
        <v>0</v>
      </c>
      <c r="AM483" s="1">
        <f>IF(AJ483&lt;-20000000.0/100,1,0)</f>
        <v>0</v>
      </c>
      <c r="AN483" s="1">
        <f>IF(AL483&gt;20000000.0/100,1,0)</f>
        <v>0</v>
      </c>
    </row>
    <row r="484" spans="1:40" s="1" customFormat="1">
      <c r="A484" s="3">
        <v>46006</v>
      </c>
      <c r="B484" s="2" t="s">
        <v>22</v>
      </c>
      <c r="C484" s="1">
        <f>SUM(PL!H484:J484)</f>
        <v>0</v>
      </c>
      <c r="D484" s="1">
        <f>SUM(PL!K484:M484)</f>
        <v>0</v>
      </c>
      <c r="E484" s="1">
        <f>SUM(PL!N484:P484)</f>
        <v>0</v>
      </c>
      <c r="F484" s="1">
        <f>SUM(PL!Q484:S484)</f>
        <v>0</v>
      </c>
      <c r="G484" s="1">
        <f>SUM(PL!T484:V484)</f>
        <v>0</v>
      </c>
      <c r="H484" s="1">
        <f>SUM(C484:G484)</f>
        <v>0</v>
      </c>
      <c r="I484" s="1">
        <f>IF(C484 + I483 &lt; 0, C484 + I483, 0)</f>
        <v>0</v>
      </c>
      <c r="J484" s="1">
        <f>IF(D484 + J483 &lt; 0, D484 + J483, 0)</f>
        <v>0</v>
      </c>
      <c r="K484" s="1">
        <f>IF(E484 + K483 &lt; 0, E484 + K483, 0)</f>
        <v>0</v>
      </c>
      <c r="L484" s="1">
        <f>IF(F484 + L483 &lt; 0, F484 + L483, 0)</f>
        <v>0</v>
      </c>
      <c r="M484" s="1">
        <f>IF(G484 + M483 &lt; 0, G484 + M483, 0)</f>
        <v>0</v>
      </c>
      <c r="N484" s="1">
        <f>IF(H484 + N483 &lt; 0, H484 + N483, 0)</f>
        <v>0</v>
      </c>
      <c r="O484" s="1">
        <f>IF(N484 &lt; 0, 1 + O483, 0)</f>
        <v>0</v>
      </c>
      <c r="P484" s="1">
        <f>C484-((ABS(SUM(PL!H484:J484)))*0.125)</f>
        <v>0</v>
      </c>
      <c r="Q484" s="1">
        <f>D484-((ABS(SUM(PL!K484:M484)))*0.125)</f>
        <v>0</v>
      </c>
      <c r="R484" s="1">
        <f>E484-((ABS(SUM(PL!N484:P484)))*0.125)</f>
        <v>0</v>
      </c>
      <c r="S484" s="1">
        <f>F484-((ABS(SUM(PL!Q484:S484)))*0.125)</f>
        <v>0</v>
      </c>
      <c r="T484" s="1">
        <f>G484-((ABS(SUM(PL!T484:V484)))*0.125)</f>
        <v>0</v>
      </c>
      <c r="U484" s="1">
        <f>P484 + Q484 + R484 + S484 + T484</f>
        <v>0</v>
      </c>
      <c r="V484" s="1">
        <f>IF(P484 + V483 &lt; 0, P484 + V483, 0)</f>
        <v>0</v>
      </c>
      <c r="W484" s="1">
        <f>IF(Q484 + W483 &lt; 0, Q484 + W483, 0)</f>
        <v>0</v>
      </c>
      <c r="X484" s="1">
        <f>IF(R484 + X483 &lt; 0, R484 + X483, 0)</f>
        <v>0</v>
      </c>
      <c r="Y484" s="1">
        <f>IF(S484 + Y483 &lt; 0, S484 + Y483, 0)</f>
        <v>0</v>
      </c>
      <c r="Z484" s="1">
        <f>IF(T484 + Z483 &lt; 0, T484 + Z483, 0)</f>
        <v>0</v>
      </c>
      <c r="AA484" s="1">
        <f>IF(U484 + AA483 &lt; 0, U484 + AA483, 0)</f>
        <v>0</v>
      </c>
      <c r="AB484" s="1">
        <f>IF(AA484 &lt; 0, 1 + AB483, 0)</f>
        <v>0</v>
      </c>
      <c r="AC484" s="1">
        <f>IF(H484&lt;0,1,0)</f>
        <v>0</v>
      </c>
      <c r="AD484" s="1">
        <f>IF(AC484=1,H484,0)</f>
        <v>0</v>
      </c>
      <c r="AE484" s="1">
        <f>IF(H484&gt;0,1,0)</f>
        <v>0</v>
      </c>
      <c r="AF484" s="1">
        <f>IF(AE484=1,H484,0)</f>
        <v>0</v>
      </c>
      <c r="AG484" s="1">
        <f>IF(AD484&lt;-20000000.0/100,1,0)</f>
        <v>0</v>
      </c>
      <c r="AH484" s="1">
        <f>IF(AF484&gt;20000000.0/100,1,0)</f>
        <v>0</v>
      </c>
      <c r="AI484" s="1">
        <f>IF(U484&lt;0,1,0)</f>
        <v>0</v>
      </c>
      <c r="AJ484" s="1">
        <f>IF(AI484=1,U484,0)</f>
        <v>0</v>
      </c>
      <c r="AK484" s="1">
        <f>IF(U484&gt;0,1,0)</f>
        <v>0</v>
      </c>
      <c r="AL484" s="1">
        <f>IF(AK484=1,U484,0)</f>
        <v>0</v>
      </c>
      <c r="AM484" s="1">
        <f>IF(AJ484&lt;-20000000.0/100,1,0)</f>
        <v>0</v>
      </c>
      <c r="AN484" s="1">
        <f>IF(AL484&gt;20000000.0/100,1,0)</f>
        <v>0</v>
      </c>
    </row>
    <row r="485" spans="1:40" s="1" customFormat="1">
      <c r="A485" s="3">
        <v>46007</v>
      </c>
      <c r="B485" s="2" t="s">
        <v>23</v>
      </c>
      <c r="C485" s="1">
        <f>SUM(PL!H485:J485)</f>
        <v>0</v>
      </c>
      <c r="D485" s="1">
        <f>SUM(PL!K485:M485)</f>
        <v>0</v>
      </c>
      <c r="E485" s="1">
        <f>SUM(PL!N485:P485)</f>
        <v>0</v>
      </c>
      <c r="F485" s="1">
        <f>SUM(PL!Q485:S485)</f>
        <v>0</v>
      </c>
      <c r="G485" s="1">
        <f>SUM(PL!T485:V485)</f>
        <v>0</v>
      </c>
      <c r="H485" s="1">
        <f>SUM(C485:G485)</f>
        <v>0</v>
      </c>
      <c r="I485" s="1">
        <f>IF(C485 + I484 &lt; 0, C485 + I484, 0)</f>
        <v>0</v>
      </c>
      <c r="J485" s="1">
        <f>IF(D485 + J484 &lt; 0, D485 + J484, 0)</f>
        <v>0</v>
      </c>
      <c r="K485" s="1">
        <f>IF(E485 + K484 &lt; 0, E485 + K484, 0)</f>
        <v>0</v>
      </c>
      <c r="L485" s="1">
        <f>IF(F485 + L484 &lt; 0, F485 + L484, 0)</f>
        <v>0</v>
      </c>
      <c r="M485" s="1">
        <f>IF(G485 + M484 &lt; 0, G485 + M484, 0)</f>
        <v>0</v>
      </c>
      <c r="N485" s="1">
        <f>IF(H485 + N484 &lt; 0, H485 + N484, 0)</f>
        <v>0</v>
      </c>
      <c r="O485" s="1">
        <f>IF(N485 &lt; 0, 1 + O484, 0)</f>
        <v>0</v>
      </c>
      <c r="P485" s="1">
        <f>C485-((ABS(SUM(PL!H485:J485)))*0.125)</f>
        <v>0</v>
      </c>
      <c r="Q485" s="1">
        <f>D485-((ABS(SUM(PL!K485:M485)))*0.125)</f>
        <v>0</v>
      </c>
      <c r="R485" s="1">
        <f>E485-((ABS(SUM(PL!N485:P485)))*0.125)</f>
        <v>0</v>
      </c>
      <c r="S485" s="1">
        <f>F485-((ABS(SUM(PL!Q485:S485)))*0.125)</f>
        <v>0</v>
      </c>
      <c r="T485" s="1">
        <f>G485-((ABS(SUM(PL!T485:V485)))*0.125)</f>
        <v>0</v>
      </c>
      <c r="U485" s="1">
        <f>P485 + Q485 + R485 + S485 + T485</f>
        <v>0</v>
      </c>
      <c r="V485" s="1">
        <f>IF(P485 + V484 &lt; 0, P485 + V484, 0)</f>
        <v>0</v>
      </c>
      <c r="W485" s="1">
        <f>IF(Q485 + W484 &lt; 0, Q485 + W484, 0)</f>
        <v>0</v>
      </c>
      <c r="X485" s="1">
        <f>IF(R485 + X484 &lt; 0, R485 + X484, 0)</f>
        <v>0</v>
      </c>
      <c r="Y485" s="1">
        <f>IF(S485 + Y484 &lt; 0, S485 + Y484, 0)</f>
        <v>0</v>
      </c>
      <c r="Z485" s="1">
        <f>IF(T485 + Z484 &lt; 0, T485 + Z484, 0)</f>
        <v>0</v>
      </c>
      <c r="AA485" s="1">
        <f>IF(U485 + AA484 &lt; 0, U485 + AA484, 0)</f>
        <v>0</v>
      </c>
      <c r="AB485" s="1">
        <f>IF(AA485 &lt; 0, 1 + AB484, 0)</f>
        <v>0</v>
      </c>
      <c r="AC485" s="1">
        <f>IF(H485&lt;0,1,0)</f>
        <v>0</v>
      </c>
      <c r="AD485" s="1">
        <f>IF(AC485=1,H485,0)</f>
        <v>0</v>
      </c>
      <c r="AE485" s="1">
        <f>IF(H485&gt;0,1,0)</f>
        <v>0</v>
      </c>
      <c r="AF485" s="1">
        <f>IF(AE485=1,H485,0)</f>
        <v>0</v>
      </c>
      <c r="AG485" s="1">
        <f>IF(AD485&lt;-20000000.0/100,1,0)</f>
        <v>0</v>
      </c>
      <c r="AH485" s="1">
        <f>IF(AF485&gt;20000000.0/100,1,0)</f>
        <v>0</v>
      </c>
      <c r="AI485" s="1">
        <f>IF(U485&lt;0,1,0)</f>
        <v>0</v>
      </c>
      <c r="AJ485" s="1">
        <f>IF(AI485=1,U485,0)</f>
        <v>0</v>
      </c>
      <c r="AK485" s="1">
        <f>IF(U485&gt;0,1,0)</f>
        <v>0</v>
      </c>
      <c r="AL485" s="1">
        <f>IF(AK485=1,U485,0)</f>
        <v>0</v>
      </c>
      <c r="AM485" s="1">
        <f>IF(AJ485&lt;-20000000.0/100,1,0)</f>
        <v>0</v>
      </c>
      <c r="AN485" s="1">
        <f>IF(AL485&gt;20000000.0/100,1,0)</f>
        <v>0</v>
      </c>
    </row>
    <row r="486" spans="1:40" s="1" customFormat="1">
      <c r="A486" s="3">
        <v>46008</v>
      </c>
      <c r="B486" s="2" t="s">
        <v>24</v>
      </c>
      <c r="C486" s="1">
        <f>SUM(PL!H486:J486)</f>
        <v>0</v>
      </c>
      <c r="D486" s="1">
        <f>SUM(PL!K486:M486)</f>
        <v>0</v>
      </c>
      <c r="E486" s="1">
        <f>SUM(PL!N486:P486)</f>
        <v>0</v>
      </c>
      <c r="F486" s="1">
        <f>SUM(PL!Q486:S486)</f>
        <v>0</v>
      </c>
      <c r="G486" s="1">
        <f>SUM(PL!T486:V486)</f>
        <v>0</v>
      </c>
      <c r="H486" s="1">
        <f>SUM(C486:G486)</f>
        <v>0</v>
      </c>
      <c r="I486" s="1">
        <f>IF(C486 + I485 &lt; 0, C486 + I485, 0)</f>
        <v>0</v>
      </c>
      <c r="J486" s="1">
        <f>IF(D486 + J485 &lt; 0, D486 + J485, 0)</f>
        <v>0</v>
      </c>
      <c r="K486" s="1">
        <f>IF(E486 + K485 &lt; 0, E486 + K485, 0)</f>
        <v>0</v>
      </c>
      <c r="L486" s="1">
        <f>IF(F486 + L485 &lt; 0, F486 + L485, 0)</f>
        <v>0</v>
      </c>
      <c r="M486" s="1">
        <f>IF(G486 + M485 &lt; 0, G486 + M485, 0)</f>
        <v>0</v>
      </c>
      <c r="N486" s="1">
        <f>IF(H486 + N485 &lt; 0, H486 + N485, 0)</f>
        <v>0</v>
      </c>
      <c r="O486" s="1">
        <f>IF(N486 &lt; 0, 1 + O485, 0)</f>
        <v>0</v>
      </c>
      <c r="P486" s="1">
        <f>C486-((ABS(SUM(PL!H486:J486)))*0.125)</f>
        <v>0</v>
      </c>
      <c r="Q486" s="1">
        <f>D486-((ABS(SUM(PL!K486:M486)))*0.125)</f>
        <v>0</v>
      </c>
      <c r="R486" s="1">
        <f>E486-((ABS(SUM(PL!N486:P486)))*0.125)</f>
        <v>0</v>
      </c>
      <c r="S486" s="1">
        <f>F486-((ABS(SUM(PL!Q486:S486)))*0.125)</f>
        <v>0</v>
      </c>
      <c r="T486" s="1">
        <f>G486-((ABS(SUM(PL!T486:V486)))*0.125)</f>
        <v>0</v>
      </c>
      <c r="U486" s="1">
        <f>P486 + Q486 + R486 + S486 + T486</f>
        <v>0</v>
      </c>
      <c r="V486" s="1">
        <f>IF(P486 + V485 &lt; 0, P486 + V485, 0)</f>
        <v>0</v>
      </c>
      <c r="W486" s="1">
        <f>IF(Q486 + W485 &lt; 0, Q486 + W485, 0)</f>
        <v>0</v>
      </c>
      <c r="X486" s="1">
        <f>IF(R486 + X485 &lt; 0, R486 + X485, 0)</f>
        <v>0</v>
      </c>
      <c r="Y486" s="1">
        <f>IF(S486 + Y485 &lt; 0, S486 + Y485, 0)</f>
        <v>0</v>
      </c>
      <c r="Z486" s="1">
        <f>IF(T486 + Z485 &lt; 0, T486 + Z485, 0)</f>
        <v>0</v>
      </c>
      <c r="AA486" s="1">
        <f>IF(U486 + AA485 &lt; 0, U486 + AA485, 0)</f>
        <v>0</v>
      </c>
      <c r="AB486" s="1">
        <f>IF(AA486 &lt; 0, 1 + AB485, 0)</f>
        <v>0</v>
      </c>
      <c r="AC486" s="1">
        <f>IF(H486&lt;0,1,0)</f>
        <v>0</v>
      </c>
      <c r="AD486" s="1">
        <f>IF(AC486=1,H486,0)</f>
        <v>0</v>
      </c>
      <c r="AE486" s="1">
        <f>IF(H486&gt;0,1,0)</f>
        <v>0</v>
      </c>
      <c r="AF486" s="1">
        <f>IF(AE486=1,H486,0)</f>
        <v>0</v>
      </c>
      <c r="AG486" s="1">
        <f>IF(AD486&lt;-20000000.0/100,1,0)</f>
        <v>0</v>
      </c>
      <c r="AH486" s="1">
        <f>IF(AF486&gt;20000000.0/100,1,0)</f>
        <v>0</v>
      </c>
      <c r="AI486" s="1">
        <f>IF(U486&lt;0,1,0)</f>
        <v>0</v>
      </c>
      <c r="AJ486" s="1">
        <f>IF(AI486=1,U486,0)</f>
        <v>0</v>
      </c>
      <c r="AK486" s="1">
        <f>IF(U486&gt;0,1,0)</f>
        <v>0</v>
      </c>
      <c r="AL486" s="1">
        <f>IF(AK486=1,U486,0)</f>
        <v>0</v>
      </c>
      <c r="AM486" s="1">
        <f>IF(AJ486&lt;-20000000.0/100,1,0)</f>
        <v>0</v>
      </c>
      <c r="AN486" s="1">
        <f>IF(AL486&gt;20000000.0/100,1,0)</f>
        <v>0</v>
      </c>
    </row>
    <row r="487" spans="1:40" s="1" customFormat="1">
      <c r="A487" s="3">
        <v>46009</v>
      </c>
      <c r="B487" s="2" t="s">
        <v>25</v>
      </c>
      <c r="C487" s="1">
        <f>SUM(PL!H487:J487)</f>
        <v>0</v>
      </c>
      <c r="D487" s="1">
        <f>SUM(PL!K487:M487)</f>
        <v>0</v>
      </c>
      <c r="E487" s="1">
        <f>SUM(PL!N487:P487)</f>
        <v>0</v>
      </c>
      <c r="F487" s="1">
        <f>SUM(PL!Q487:S487)</f>
        <v>0</v>
      </c>
      <c r="G487" s="1">
        <f>SUM(PL!T487:V487)</f>
        <v>0</v>
      </c>
      <c r="H487" s="1">
        <f>SUM(C487:G487)</f>
        <v>0</v>
      </c>
      <c r="I487" s="1">
        <f>IF(C487 + I486 &lt; 0, C487 + I486, 0)</f>
        <v>0</v>
      </c>
      <c r="J487" s="1">
        <f>IF(D487 + J486 &lt; 0, D487 + J486, 0)</f>
        <v>0</v>
      </c>
      <c r="K487" s="1">
        <f>IF(E487 + K486 &lt; 0, E487 + K486, 0)</f>
        <v>0</v>
      </c>
      <c r="L487" s="1">
        <f>IF(F487 + L486 &lt; 0, F487 + L486, 0)</f>
        <v>0</v>
      </c>
      <c r="M487" s="1">
        <f>IF(G487 + M486 &lt; 0, G487 + M486, 0)</f>
        <v>0</v>
      </c>
      <c r="N487" s="1">
        <f>IF(H487 + N486 &lt; 0, H487 + N486, 0)</f>
        <v>0</v>
      </c>
      <c r="O487" s="1">
        <f>IF(N487 &lt; 0, 1 + O486, 0)</f>
        <v>0</v>
      </c>
      <c r="P487" s="1">
        <f>C487-((ABS(SUM(PL!H487:J487)))*0.125)</f>
        <v>0</v>
      </c>
      <c r="Q487" s="1">
        <f>D487-((ABS(SUM(PL!K487:M487)))*0.125)</f>
        <v>0</v>
      </c>
      <c r="R487" s="1">
        <f>E487-((ABS(SUM(PL!N487:P487)))*0.125)</f>
        <v>0</v>
      </c>
      <c r="S487" s="1">
        <f>F487-((ABS(SUM(PL!Q487:S487)))*0.125)</f>
        <v>0</v>
      </c>
      <c r="T487" s="1">
        <f>G487-((ABS(SUM(PL!T487:V487)))*0.125)</f>
        <v>0</v>
      </c>
      <c r="U487" s="1">
        <f>P487 + Q487 + R487 + S487 + T487</f>
        <v>0</v>
      </c>
      <c r="V487" s="1">
        <f>IF(P487 + V486 &lt; 0, P487 + V486, 0)</f>
        <v>0</v>
      </c>
      <c r="W487" s="1">
        <f>IF(Q487 + W486 &lt; 0, Q487 + W486, 0)</f>
        <v>0</v>
      </c>
      <c r="X487" s="1">
        <f>IF(R487 + X486 &lt; 0, R487 + X486, 0)</f>
        <v>0</v>
      </c>
      <c r="Y487" s="1">
        <f>IF(S487 + Y486 &lt; 0, S487 + Y486, 0)</f>
        <v>0</v>
      </c>
      <c r="Z487" s="1">
        <f>IF(T487 + Z486 &lt; 0, T487 + Z486, 0)</f>
        <v>0</v>
      </c>
      <c r="AA487" s="1">
        <f>IF(U487 + AA486 &lt; 0, U487 + AA486, 0)</f>
        <v>0</v>
      </c>
      <c r="AB487" s="1">
        <f>IF(AA487 &lt; 0, 1 + AB486, 0)</f>
        <v>0</v>
      </c>
      <c r="AC487" s="1">
        <f>IF(H487&lt;0,1,0)</f>
        <v>0</v>
      </c>
      <c r="AD487" s="1">
        <f>IF(AC487=1,H487,0)</f>
        <v>0</v>
      </c>
      <c r="AE487" s="1">
        <f>IF(H487&gt;0,1,0)</f>
        <v>0</v>
      </c>
      <c r="AF487" s="1">
        <f>IF(AE487=1,H487,0)</f>
        <v>0</v>
      </c>
      <c r="AG487" s="1">
        <f>IF(AD487&lt;-20000000.0/100,1,0)</f>
        <v>0</v>
      </c>
      <c r="AH487" s="1">
        <f>IF(AF487&gt;20000000.0/100,1,0)</f>
        <v>0</v>
      </c>
      <c r="AI487" s="1">
        <f>IF(U487&lt;0,1,0)</f>
        <v>0</v>
      </c>
      <c r="AJ487" s="1">
        <f>IF(AI487=1,U487,0)</f>
        <v>0</v>
      </c>
      <c r="AK487" s="1">
        <f>IF(U487&gt;0,1,0)</f>
        <v>0</v>
      </c>
      <c r="AL487" s="1">
        <f>IF(AK487=1,U487,0)</f>
        <v>0</v>
      </c>
      <c r="AM487" s="1">
        <f>IF(AJ487&lt;-20000000.0/100,1,0)</f>
        <v>0</v>
      </c>
      <c r="AN487" s="1">
        <f>IF(AL487&gt;20000000.0/100,1,0)</f>
        <v>0</v>
      </c>
    </row>
    <row r="488" spans="1:40" s="1" customFormat="1">
      <c r="A488" s="3">
        <v>46010</v>
      </c>
      <c r="B488" s="2" t="s">
        <v>26</v>
      </c>
      <c r="C488" s="1">
        <f>SUM(PL!H488:J488)</f>
        <v>0</v>
      </c>
      <c r="D488" s="1">
        <f>SUM(PL!K488:M488)</f>
        <v>0</v>
      </c>
      <c r="E488" s="1">
        <f>SUM(PL!N488:P488)</f>
        <v>0</v>
      </c>
      <c r="F488" s="1">
        <f>SUM(PL!Q488:S488)</f>
        <v>0</v>
      </c>
      <c r="G488" s="1">
        <f>SUM(PL!T488:V488)</f>
        <v>0</v>
      </c>
      <c r="H488" s="1">
        <f>SUM(C488:G488)</f>
        <v>0</v>
      </c>
      <c r="I488" s="1">
        <f>IF(C488 + I487 &lt; 0, C488 + I487, 0)</f>
        <v>0</v>
      </c>
      <c r="J488" s="1">
        <f>IF(D488 + J487 &lt; 0, D488 + J487, 0)</f>
        <v>0</v>
      </c>
      <c r="K488" s="1">
        <f>IF(E488 + K487 &lt; 0, E488 + K487, 0)</f>
        <v>0</v>
      </c>
      <c r="L488" s="1">
        <f>IF(F488 + L487 &lt; 0, F488 + L487, 0)</f>
        <v>0</v>
      </c>
      <c r="M488" s="1">
        <f>IF(G488 + M487 &lt; 0, G488 + M487, 0)</f>
        <v>0</v>
      </c>
      <c r="N488" s="1">
        <f>IF(H488 + N487 &lt; 0, H488 + N487, 0)</f>
        <v>0</v>
      </c>
      <c r="O488" s="1">
        <f>IF(N488 &lt; 0, 1 + O487, 0)</f>
        <v>0</v>
      </c>
      <c r="P488" s="1">
        <f>C488-((ABS(SUM(PL!H488:J488)))*0.125)</f>
        <v>0</v>
      </c>
      <c r="Q488" s="1">
        <f>D488-((ABS(SUM(PL!K488:M488)))*0.125)</f>
        <v>0</v>
      </c>
      <c r="R488" s="1">
        <f>E488-((ABS(SUM(PL!N488:P488)))*0.125)</f>
        <v>0</v>
      </c>
      <c r="S488" s="1">
        <f>F488-((ABS(SUM(PL!Q488:S488)))*0.125)</f>
        <v>0</v>
      </c>
      <c r="T488" s="1">
        <f>G488-((ABS(SUM(PL!T488:V488)))*0.125)</f>
        <v>0</v>
      </c>
      <c r="U488" s="1">
        <f>P488 + Q488 + R488 + S488 + T488</f>
        <v>0</v>
      </c>
      <c r="V488" s="1">
        <f>IF(P488 + V487 &lt; 0, P488 + V487, 0)</f>
        <v>0</v>
      </c>
      <c r="W488" s="1">
        <f>IF(Q488 + W487 &lt; 0, Q488 + W487, 0)</f>
        <v>0</v>
      </c>
      <c r="X488" s="1">
        <f>IF(R488 + X487 &lt; 0, R488 + X487, 0)</f>
        <v>0</v>
      </c>
      <c r="Y488" s="1">
        <f>IF(S488 + Y487 &lt; 0, S488 + Y487, 0)</f>
        <v>0</v>
      </c>
      <c r="Z488" s="1">
        <f>IF(T488 + Z487 &lt; 0, T488 + Z487, 0)</f>
        <v>0</v>
      </c>
      <c r="AA488" s="1">
        <f>IF(U488 + AA487 &lt; 0, U488 + AA487, 0)</f>
        <v>0</v>
      </c>
      <c r="AB488" s="1">
        <f>IF(AA488 &lt; 0, 1 + AB487, 0)</f>
        <v>0</v>
      </c>
      <c r="AC488" s="1">
        <f>IF(H488&lt;0,1,0)</f>
        <v>0</v>
      </c>
      <c r="AD488" s="1">
        <f>IF(AC488=1,H488,0)</f>
        <v>0</v>
      </c>
      <c r="AE488" s="1">
        <f>IF(H488&gt;0,1,0)</f>
        <v>0</v>
      </c>
      <c r="AF488" s="1">
        <f>IF(AE488=1,H488,0)</f>
        <v>0</v>
      </c>
      <c r="AG488" s="1">
        <f>IF(AD488&lt;-20000000.0/100,1,0)</f>
        <v>0</v>
      </c>
      <c r="AH488" s="1">
        <f>IF(AF488&gt;20000000.0/100,1,0)</f>
        <v>0</v>
      </c>
      <c r="AI488" s="1">
        <f>IF(U488&lt;0,1,0)</f>
        <v>0</v>
      </c>
      <c r="AJ488" s="1">
        <f>IF(AI488=1,U488,0)</f>
        <v>0</v>
      </c>
      <c r="AK488" s="1">
        <f>IF(U488&gt;0,1,0)</f>
        <v>0</v>
      </c>
      <c r="AL488" s="1">
        <f>IF(AK488=1,U488,0)</f>
        <v>0</v>
      </c>
      <c r="AM488" s="1">
        <f>IF(AJ488&lt;-20000000.0/100,1,0)</f>
        <v>0</v>
      </c>
      <c r="AN488" s="1">
        <f>IF(AL488&gt;20000000.0/100,1,0)</f>
        <v>0</v>
      </c>
    </row>
    <row r="489" spans="1:40" s="1" customFormat="1">
      <c r="A489" s="3">
        <v>46013</v>
      </c>
      <c r="B489" s="2" t="s">
        <v>22</v>
      </c>
      <c r="C489" s="1">
        <f>SUM(PL!H489:J489)</f>
        <v>0</v>
      </c>
      <c r="D489" s="1">
        <f>SUM(PL!K489:M489)</f>
        <v>0</v>
      </c>
      <c r="E489" s="1">
        <f>SUM(PL!N489:P489)</f>
        <v>0</v>
      </c>
      <c r="F489" s="1">
        <f>SUM(PL!Q489:S489)</f>
        <v>0</v>
      </c>
      <c r="G489" s="1">
        <f>SUM(PL!T489:V489)</f>
        <v>0</v>
      </c>
      <c r="H489" s="1">
        <f>SUM(C489:G489)</f>
        <v>0</v>
      </c>
      <c r="I489" s="1">
        <f>IF(C489 + I488 &lt; 0, C489 + I488, 0)</f>
        <v>0</v>
      </c>
      <c r="J489" s="1">
        <f>IF(D489 + J488 &lt; 0, D489 + J488, 0)</f>
        <v>0</v>
      </c>
      <c r="K489" s="1">
        <f>IF(E489 + K488 &lt; 0, E489 + K488, 0)</f>
        <v>0</v>
      </c>
      <c r="L489" s="1">
        <f>IF(F489 + L488 &lt; 0, F489 + L488, 0)</f>
        <v>0</v>
      </c>
      <c r="M489" s="1">
        <f>IF(G489 + M488 &lt; 0, G489 + M488, 0)</f>
        <v>0</v>
      </c>
      <c r="N489" s="1">
        <f>IF(H489 + N488 &lt; 0, H489 + N488, 0)</f>
        <v>0</v>
      </c>
      <c r="O489" s="1">
        <f>IF(N489 &lt; 0, 1 + O488, 0)</f>
        <v>0</v>
      </c>
      <c r="P489" s="1">
        <f>C489-((ABS(SUM(PL!H489:J489)))*0.125)</f>
        <v>0</v>
      </c>
      <c r="Q489" s="1">
        <f>D489-((ABS(SUM(PL!K489:M489)))*0.125)</f>
        <v>0</v>
      </c>
      <c r="R489" s="1">
        <f>E489-((ABS(SUM(PL!N489:P489)))*0.125)</f>
        <v>0</v>
      </c>
      <c r="S489" s="1">
        <f>F489-((ABS(SUM(PL!Q489:S489)))*0.125)</f>
        <v>0</v>
      </c>
      <c r="T489" s="1">
        <f>G489-((ABS(SUM(PL!T489:V489)))*0.125)</f>
        <v>0</v>
      </c>
      <c r="U489" s="1">
        <f>P489 + Q489 + R489 + S489 + T489</f>
        <v>0</v>
      </c>
      <c r="V489" s="1">
        <f>IF(P489 + V488 &lt; 0, P489 + V488, 0)</f>
        <v>0</v>
      </c>
      <c r="W489" s="1">
        <f>IF(Q489 + W488 &lt; 0, Q489 + W488, 0)</f>
        <v>0</v>
      </c>
      <c r="X489" s="1">
        <f>IF(R489 + X488 &lt; 0, R489 + X488, 0)</f>
        <v>0</v>
      </c>
      <c r="Y489" s="1">
        <f>IF(S489 + Y488 &lt; 0, S489 + Y488, 0)</f>
        <v>0</v>
      </c>
      <c r="Z489" s="1">
        <f>IF(T489 + Z488 &lt; 0, T489 + Z488, 0)</f>
        <v>0</v>
      </c>
      <c r="AA489" s="1">
        <f>IF(U489 + AA488 &lt; 0, U489 + AA488, 0)</f>
        <v>0</v>
      </c>
      <c r="AB489" s="1">
        <f>IF(AA489 &lt; 0, 1 + AB488, 0)</f>
        <v>0</v>
      </c>
      <c r="AC489" s="1">
        <f>IF(H489&lt;0,1,0)</f>
        <v>0</v>
      </c>
      <c r="AD489" s="1">
        <f>IF(AC489=1,H489,0)</f>
        <v>0</v>
      </c>
      <c r="AE489" s="1">
        <f>IF(H489&gt;0,1,0)</f>
        <v>0</v>
      </c>
      <c r="AF489" s="1">
        <f>IF(AE489=1,H489,0)</f>
        <v>0</v>
      </c>
      <c r="AG489" s="1">
        <f>IF(AD489&lt;-20000000.0/100,1,0)</f>
        <v>0</v>
      </c>
      <c r="AH489" s="1">
        <f>IF(AF489&gt;20000000.0/100,1,0)</f>
        <v>0</v>
      </c>
      <c r="AI489" s="1">
        <f>IF(U489&lt;0,1,0)</f>
        <v>0</v>
      </c>
      <c r="AJ489" s="1">
        <f>IF(AI489=1,U489,0)</f>
        <v>0</v>
      </c>
      <c r="AK489" s="1">
        <f>IF(U489&gt;0,1,0)</f>
        <v>0</v>
      </c>
      <c r="AL489" s="1">
        <f>IF(AK489=1,U489,0)</f>
        <v>0</v>
      </c>
      <c r="AM489" s="1">
        <f>IF(AJ489&lt;-20000000.0/100,1,0)</f>
        <v>0</v>
      </c>
      <c r="AN489" s="1">
        <f>IF(AL489&gt;20000000.0/100,1,0)</f>
        <v>0</v>
      </c>
    </row>
    <row r="490" spans="1:40" s="1" customFormat="1">
      <c r="A490" s="3">
        <v>46014</v>
      </c>
      <c r="B490" s="2" t="s">
        <v>23</v>
      </c>
      <c r="C490" s="1">
        <f>SUM(PL!H490:J490)</f>
        <v>0</v>
      </c>
      <c r="D490" s="1">
        <f>SUM(PL!K490:M490)</f>
        <v>0</v>
      </c>
      <c r="E490" s="1">
        <f>SUM(PL!N490:P490)</f>
        <v>0</v>
      </c>
      <c r="F490" s="1">
        <f>SUM(PL!Q490:S490)</f>
        <v>0</v>
      </c>
      <c r="G490" s="1">
        <f>SUM(PL!T490:V490)</f>
        <v>0</v>
      </c>
      <c r="H490" s="1">
        <f>SUM(C490:G490)</f>
        <v>0</v>
      </c>
      <c r="I490" s="1">
        <f>IF(C490 + I489 &lt; 0, C490 + I489, 0)</f>
        <v>0</v>
      </c>
      <c r="J490" s="1">
        <f>IF(D490 + J489 &lt; 0, D490 + J489, 0)</f>
        <v>0</v>
      </c>
      <c r="K490" s="1">
        <f>IF(E490 + K489 &lt; 0, E490 + K489, 0)</f>
        <v>0</v>
      </c>
      <c r="L490" s="1">
        <f>IF(F490 + L489 &lt; 0, F490 + L489, 0)</f>
        <v>0</v>
      </c>
      <c r="M490" s="1">
        <f>IF(G490 + M489 &lt; 0, G490 + M489, 0)</f>
        <v>0</v>
      </c>
      <c r="N490" s="1">
        <f>IF(H490 + N489 &lt; 0, H490 + N489, 0)</f>
        <v>0</v>
      </c>
      <c r="O490" s="1">
        <f>IF(N490 &lt; 0, 1 + O489, 0)</f>
        <v>0</v>
      </c>
      <c r="P490" s="1">
        <f>C490-((ABS(SUM(PL!H490:J490)))*0.125)</f>
        <v>0</v>
      </c>
      <c r="Q490" s="1">
        <f>D490-((ABS(SUM(PL!K490:M490)))*0.125)</f>
        <v>0</v>
      </c>
      <c r="R490" s="1">
        <f>E490-((ABS(SUM(PL!N490:P490)))*0.125)</f>
        <v>0</v>
      </c>
      <c r="S490" s="1">
        <f>F490-((ABS(SUM(PL!Q490:S490)))*0.125)</f>
        <v>0</v>
      </c>
      <c r="T490" s="1">
        <f>G490-((ABS(SUM(PL!T490:V490)))*0.125)</f>
        <v>0</v>
      </c>
      <c r="U490" s="1">
        <f>P490 + Q490 + R490 + S490 + T490</f>
        <v>0</v>
      </c>
      <c r="V490" s="1">
        <f>IF(P490 + V489 &lt; 0, P490 + V489, 0)</f>
        <v>0</v>
      </c>
      <c r="W490" s="1">
        <f>IF(Q490 + W489 &lt; 0, Q490 + W489, 0)</f>
        <v>0</v>
      </c>
      <c r="X490" s="1">
        <f>IF(R490 + X489 &lt; 0, R490 + X489, 0)</f>
        <v>0</v>
      </c>
      <c r="Y490" s="1">
        <f>IF(S490 + Y489 &lt; 0, S490 + Y489, 0)</f>
        <v>0</v>
      </c>
      <c r="Z490" s="1">
        <f>IF(T490 + Z489 &lt; 0, T490 + Z489, 0)</f>
        <v>0</v>
      </c>
      <c r="AA490" s="1">
        <f>IF(U490 + AA489 &lt; 0, U490 + AA489, 0)</f>
        <v>0</v>
      </c>
      <c r="AB490" s="1">
        <f>IF(AA490 &lt; 0, 1 + AB489, 0)</f>
        <v>0</v>
      </c>
      <c r="AC490" s="1">
        <f>IF(H490&lt;0,1,0)</f>
        <v>0</v>
      </c>
      <c r="AD490" s="1">
        <f>IF(AC490=1,H490,0)</f>
        <v>0</v>
      </c>
      <c r="AE490" s="1">
        <f>IF(H490&gt;0,1,0)</f>
        <v>0</v>
      </c>
      <c r="AF490" s="1">
        <f>IF(AE490=1,H490,0)</f>
        <v>0</v>
      </c>
      <c r="AG490" s="1">
        <f>IF(AD490&lt;-20000000.0/100,1,0)</f>
        <v>0</v>
      </c>
      <c r="AH490" s="1">
        <f>IF(AF490&gt;20000000.0/100,1,0)</f>
        <v>0</v>
      </c>
      <c r="AI490" s="1">
        <f>IF(U490&lt;0,1,0)</f>
        <v>0</v>
      </c>
      <c r="AJ490" s="1">
        <f>IF(AI490=1,U490,0)</f>
        <v>0</v>
      </c>
      <c r="AK490" s="1">
        <f>IF(U490&gt;0,1,0)</f>
        <v>0</v>
      </c>
      <c r="AL490" s="1">
        <f>IF(AK490=1,U490,0)</f>
        <v>0</v>
      </c>
      <c r="AM490" s="1">
        <f>IF(AJ490&lt;-20000000.0/100,1,0)</f>
        <v>0</v>
      </c>
      <c r="AN490" s="1">
        <f>IF(AL490&gt;20000000.0/100,1,0)</f>
        <v>0</v>
      </c>
    </row>
    <row r="491" spans="1:40" s="1" customFormat="1">
      <c r="A491" s="3">
        <v>46015</v>
      </c>
      <c r="B491" s="2" t="s">
        <v>24</v>
      </c>
      <c r="C491" s="1">
        <f>SUM(PL!H491:J491)</f>
        <v>0</v>
      </c>
      <c r="D491" s="1">
        <f>SUM(PL!K491:M491)</f>
        <v>0</v>
      </c>
      <c r="E491" s="1">
        <f>SUM(PL!N491:P491)</f>
        <v>0</v>
      </c>
      <c r="F491" s="1">
        <f>SUM(PL!Q491:S491)</f>
        <v>0</v>
      </c>
      <c r="G491" s="1">
        <f>SUM(PL!T491:V491)</f>
        <v>0</v>
      </c>
      <c r="H491" s="1">
        <f>SUM(C491:G491)</f>
        <v>0</v>
      </c>
      <c r="I491" s="1">
        <f>IF(C491 + I490 &lt; 0, C491 + I490, 0)</f>
        <v>0</v>
      </c>
      <c r="J491" s="1">
        <f>IF(D491 + J490 &lt; 0, D491 + J490, 0)</f>
        <v>0</v>
      </c>
      <c r="K491" s="1">
        <f>IF(E491 + K490 &lt; 0, E491 + K490, 0)</f>
        <v>0</v>
      </c>
      <c r="L491" s="1">
        <f>IF(F491 + L490 &lt; 0, F491 + L490, 0)</f>
        <v>0</v>
      </c>
      <c r="M491" s="1">
        <f>IF(G491 + M490 &lt; 0, G491 + M490, 0)</f>
        <v>0</v>
      </c>
      <c r="N491" s="1">
        <f>IF(H491 + N490 &lt; 0, H491 + N490, 0)</f>
        <v>0</v>
      </c>
      <c r="O491" s="1">
        <f>IF(N491 &lt; 0, 1 + O490, 0)</f>
        <v>0</v>
      </c>
      <c r="P491" s="1">
        <f>C491-((ABS(SUM(PL!H491:J491)))*0.125)</f>
        <v>0</v>
      </c>
      <c r="Q491" s="1">
        <f>D491-((ABS(SUM(PL!K491:M491)))*0.125)</f>
        <v>0</v>
      </c>
      <c r="R491" s="1">
        <f>E491-((ABS(SUM(PL!N491:P491)))*0.125)</f>
        <v>0</v>
      </c>
      <c r="S491" s="1">
        <f>F491-((ABS(SUM(PL!Q491:S491)))*0.125)</f>
        <v>0</v>
      </c>
      <c r="T491" s="1">
        <f>G491-((ABS(SUM(PL!T491:V491)))*0.125)</f>
        <v>0</v>
      </c>
      <c r="U491" s="1">
        <f>P491 + Q491 + R491 + S491 + T491</f>
        <v>0</v>
      </c>
      <c r="V491" s="1">
        <f>IF(P491 + V490 &lt; 0, P491 + V490, 0)</f>
        <v>0</v>
      </c>
      <c r="W491" s="1">
        <f>IF(Q491 + W490 &lt; 0, Q491 + W490, 0)</f>
        <v>0</v>
      </c>
      <c r="X491" s="1">
        <f>IF(R491 + X490 &lt; 0, R491 + X490, 0)</f>
        <v>0</v>
      </c>
      <c r="Y491" s="1">
        <f>IF(S491 + Y490 &lt; 0, S491 + Y490, 0)</f>
        <v>0</v>
      </c>
      <c r="Z491" s="1">
        <f>IF(T491 + Z490 &lt; 0, T491 + Z490, 0)</f>
        <v>0</v>
      </c>
      <c r="AA491" s="1">
        <f>IF(U491 + AA490 &lt; 0, U491 + AA490, 0)</f>
        <v>0</v>
      </c>
      <c r="AB491" s="1">
        <f>IF(AA491 &lt; 0, 1 + AB490, 0)</f>
        <v>0</v>
      </c>
      <c r="AC491" s="1">
        <f>IF(H491&lt;0,1,0)</f>
        <v>0</v>
      </c>
      <c r="AD491" s="1">
        <f>IF(AC491=1,H491,0)</f>
        <v>0</v>
      </c>
      <c r="AE491" s="1">
        <f>IF(H491&gt;0,1,0)</f>
        <v>0</v>
      </c>
      <c r="AF491" s="1">
        <f>IF(AE491=1,H491,0)</f>
        <v>0</v>
      </c>
      <c r="AG491" s="1">
        <f>IF(AD491&lt;-20000000.0/100,1,0)</f>
        <v>0</v>
      </c>
      <c r="AH491" s="1">
        <f>IF(AF491&gt;20000000.0/100,1,0)</f>
        <v>0</v>
      </c>
      <c r="AI491" s="1">
        <f>IF(U491&lt;0,1,0)</f>
        <v>0</v>
      </c>
      <c r="AJ491" s="1">
        <f>IF(AI491=1,U491,0)</f>
        <v>0</v>
      </c>
      <c r="AK491" s="1">
        <f>IF(U491&gt;0,1,0)</f>
        <v>0</v>
      </c>
      <c r="AL491" s="1">
        <f>IF(AK491=1,U491,0)</f>
        <v>0</v>
      </c>
      <c r="AM491" s="1">
        <f>IF(AJ491&lt;-20000000.0/100,1,0)</f>
        <v>0</v>
      </c>
      <c r="AN491" s="1">
        <f>IF(AL491&gt;20000000.0/100,1,0)</f>
        <v>0</v>
      </c>
    </row>
    <row r="492" spans="1:40" s="1" customFormat="1">
      <c r="A492" s="3">
        <v>46017</v>
      </c>
      <c r="B492" s="2" t="s">
        <v>26</v>
      </c>
      <c r="C492" s="1">
        <f>SUM(PL!H492:J492)</f>
        <v>0</v>
      </c>
      <c r="D492" s="1">
        <f>SUM(PL!K492:M492)</f>
        <v>0</v>
      </c>
      <c r="E492" s="1">
        <f>SUM(PL!N492:P492)</f>
        <v>0</v>
      </c>
      <c r="F492" s="1">
        <f>SUM(PL!Q492:S492)</f>
        <v>0</v>
      </c>
      <c r="G492" s="1">
        <f>SUM(PL!T492:V492)</f>
        <v>0</v>
      </c>
      <c r="H492" s="1">
        <f>SUM(C492:G492)</f>
        <v>0</v>
      </c>
      <c r="I492" s="1">
        <f>IF(C492 + I491 &lt; 0, C492 + I491, 0)</f>
        <v>0</v>
      </c>
      <c r="J492" s="1">
        <f>IF(D492 + J491 &lt; 0, D492 + J491, 0)</f>
        <v>0</v>
      </c>
      <c r="K492" s="1">
        <f>IF(E492 + K491 &lt; 0, E492 + K491, 0)</f>
        <v>0</v>
      </c>
      <c r="L492" s="1">
        <f>IF(F492 + L491 &lt; 0, F492 + L491, 0)</f>
        <v>0</v>
      </c>
      <c r="M492" s="1">
        <f>IF(G492 + M491 &lt; 0, G492 + M491, 0)</f>
        <v>0</v>
      </c>
      <c r="N492" s="1">
        <f>IF(H492 + N491 &lt; 0, H492 + N491, 0)</f>
        <v>0</v>
      </c>
      <c r="O492" s="1">
        <f>IF(N492 &lt; 0, 1 + O491, 0)</f>
        <v>0</v>
      </c>
      <c r="P492" s="1">
        <f>C492-((ABS(SUM(PL!H492:J492)))*0.125)</f>
        <v>0</v>
      </c>
      <c r="Q492" s="1">
        <f>D492-((ABS(SUM(PL!K492:M492)))*0.125)</f>
        <v>0</v>
      </c>
      <c r="R492" s="1">
        <f>E492-((ABS(SUM(PL!N492:P492)))*0.125)</f>
        <v>0</v>
      </c>
      <c r="S492" s="1">
        <f>F492-((ABS(SUM(PL!Q492:S492)))*0.125)</f>
        <v>0</v>
      </c>
      <c r="T492" s="1">
        <f>G492-((ABS(SUM(PL!T492:V492)))*0.125)</f>
        <v>0</v>
      </c>
      <c r="U492" s="1">
        <f>P492 + Q492 + R492 + S492 + T492</f>
        <v>0</v>
      </c>
      <c r="V492" s="1">
        <f>IF(P492 + V491 &lt; 0, P492 + V491, 0)</f>
        <v>0</v>
      </c>
      <c r="W492" s="1">
        <f>IF(Q492 + W491 &lt; 0, Q492 + W491, 0)</f>
        <v>0</v>
      </c>
      <c r="X492" s="1">
        <f>IF(R492 + X491 &lt; 0, R492 + X491, 0)</f>
        <v>0</v>
      </c>
      <c r="Y492" s="1">
        <f>IF(S492 + Y491 &lt; 0, S492 + Y491, 0)</f>
        <v>0</v>
      </c>
      <c r="Z492" s="1">
        <f>IF(T492 + Z491 &lt; 0, T492 + Z491, 0)</f>
        <v>0</v>
      </c>
      <c r="AA492" s="1">
        <f>IF(U492 + AA491 &lt; 0, U492 + AA491, 0)</f>
        <v>0</v>
      </c>
      <c r="AB492" s="1">
        <f>IF(AA492 &lt; 0, 1 + AB491, 0)</f>
        <v>0</v>
      </c>
      <c r="AC492" s="1">
        <f>IF(H492&lt;0,1,0)</f>
        <v>0</v>
      </c>
      <c r="AD492" s="1">
        <f>IF(AC492=1,H492,0)</f>
        <v>0</v>
      </c>
      <c r="AE492" s="1">
        <f>IF(H492&gt;0,1,0)</f>
        <v>0</v>
      </c>
      <c r="AF492" s="1">
        <f>IF(AE492=1,H492,0)</f>
        <v>0</v>
      </c>
      <c r="AG492" s="1">
        <f>IF(AD492&lt;-20000000.0/100,1,0)</f>
        <v>0</v>
      </c>
      <c r="AH492" s="1">
        <f>IF(AF492&gt;20000000.0/100,1,0)</f>
        <v>0</v>
      </c>
      <c r="AI492" s="1">
        <f>IF(U492&lt;0,1,0)</f>
        <v>0</v>
      </c>
      <c r="AJ492" s="1">
        <f>IF(AI492=1,U492,0)</f>
        <v>0</v>
      </c>
      <c r="AK492" s="1">
        <f>IF(U492&gt;0,1,0)</f>
        <v>0</v>
      </c>
      <c r="AL492" s="1">
        <f>IF(AK492=1,U492,0)</f>
        <v>0</v>
      </c>
      <c r="AM492" s="1">
        <f>IF(AJ492&lt;-20000000.0/100,1,0)</f>
        <v>0</v>
      </c>
      <c r="AN492" s="1">
        <f>IF(AL492&gt;20000000.0/100,1,0)</f>
        <v>0</v>
      </c>
    </row>
    <row r="493" spans="1:40" s="1" customFormat="1">
      <c r="A493" s="3">
        <v>46020</v>
      </c>
      <c r="B493" s="2" t="s">
        <v>22</v>
      </c>
      <c r="C493" s="1">
        <f>SUM(PL!H493:J493)</f>
        <v>0</v>
      </c>
      <c r="D493" s="1">
        <f>SUM(PL!K493:M493)</f>
        <v>0</v>
      </c>
      <c r="E493" s="1">
        <f>SUM(PL!N493:P493)</f>
        <v>0</v>
      </c>
      <c r="F493" s="1">
        <f>SUM(PL!Q493:S493)</f>
        <v>0</v>
      </c>
      <c r="G493" s="1">
        <f>SUM(PL!T493:V493)</f>
        <v>0</v>
      </c>
      <c r="H493" s="1">
        <f>SUM(C493:G493)</f>
        <v>0</v>
      </c>
      <c r="I493" s="1">
        <f>IF(C493 + I492 &lt; 0, C493 + I492, 0)</f>
        <v>0</v>
      </c>
      <c r="J493" s="1">
        <f>IF(D493 + J492 &lt; 0, D493 + J492, 0)</f>
        <v>0</v>
      </c>
      <c r="K493" s="1">
        <f>IF(E493 + K492 &lt; 0, E493 + K492, 0)</f>
        <v>0</v>
      </c>
      <c r="L493" s="1">
        <f>IF(F493 + L492 &lt; 0, F493 + L492, 0)</f>
        <v>0</v>
      </c>
      <c r="M493" s="1">
        <f>IF(G493 + M492 &lt; 0, G493 + M492, 0)</f>
        <v>0</v>
      </c>
      <c r="N493" s="1">
        <f>IF(H493 + N492 &lt; 0, H493 + N492, 0)</f>
        <v>0</v>
      </c>
      <c r="O493" s="1">
        <f>IF(N493 &lt; 0, 1 + O492, 0)</f>
        <v>0</v>
      </c>
      <c r="P493" s="1">
        <f>C493-((ABS(SUM(PL!H493:J493)))*0.125)</f>
        <v>0</v>
      </c>
      <c r="Q493" s="1">
        <f>D493-((ABS(SUM(PL!K493:M493)))*0.125)</f>
        <v>0</v>
      </c>
      <c r="R493" s="1">
        <f>E493-((ABS(SUM(PL!N493:P493)))*0.125)</f>
        <v>0</v>
      </c>
      <c r="S493" s="1">
        <f>F493-((ABS(SUM(PL!Q493:S493)))*0.125)</f>
        <v>0</v>
      </c>
      <c r="T493" s="1">
        <f>G493-((ABS(SUM(PL!T493:V493)))*0.125)</f>
        <v>0</v>
      </c>
      <c r="U493" s="1">
        <f>P493 + Q493 + R493 + S493 + T493</f>
        <v>0</v>
      </c>
      <c r="V493" s="1">
        <f>IF(P493 + V492 &lt; 0, P493 + V492, 0)</f>
        <v>0</v>
      </c>
      <c r="W493" s="1">
        <f>IF(Q493 + W492 &lt; 0, Q493 + W492, 0)</f>
        <v>0</v>
      </c>
      <c r="X493" s="1">
        <f>IF(R493 + X492 &lt; 0, R493 + X492, 0)</f>
        <v>0</v>
      </c>
      <c r="Y493" s="1">
        <f>IF(S493 + Y492 &lt; 0, S493 + Y492, 0)</f>
        <v>0</v>
      </c>
      <c r="Z493" s="1">
        <f>IF(T493 + Z492 &lt; 0, T493 + Z492, 0)</f>
        <v>0</v>
      </c>
      <c r="AA493" s="1">
        <f>IF(U493 + AA492 &lt; 0, U493 + AA492, 0)</f>
        <v>0</v>
      </c>
      <c r="AB493" s="1">
        <f>IF(AA493 &lt; 0, 1 + AB492, 0)</f>
        <v>0</v>
      </c>
      <c r="AC493" s="1">
        <f>IF(H493&lt;0,1,0)</f>
        <v>0</v>
      </c>
      <c r="AD493" s="1">
        <f>IF(AC493=1,H493,0)</f>
        <v>0</v>
      </c>
      <c r="AE493" s="1">
        <f>IF(H493&gt;0,1,0)</f>
        <v>0</v>
      </c>
      <c r="AF493" s="1">
        <f>IF(AE493=1,H493,0)</f>
        <v>0</v>
      </c>
      <c r="AG493" s="1">
        <f>IF(AD493&lt;-20000000.0/100,1,0)</f>
        <v>0</v>
      </c>
      <c r="AH493" s="1">
        <f>IF(AF493&gt;20000000.0/100,1,0)</f>
        <v>0</v>
      </c>
      <c r="AI493" s="1">
        <f>IF(U493&lt;0,1,0)</f>
        <v>0</v>
      </c>
      <c r="AJ493" s="1">
        <f>IF(AI493=1,U493,0)</f>
        <v>0</v>
      </c>
      <c r="AK493" s="1">
        <f>IF(U493&gt;0,1,0)</f>
        <v>0</v>
      </c>
      <c r="AL493" s="1">
        <f>IF(AK493=1,U493,0)</f>
        <v>0</v>
      </c>
      <c r="AM493" s="1">
        <f>IF(AJ493&lt;-20000000.0/100,1,0)</f>
        <v>0</v>
      </c>
      <c r="AN493" s="1">
        <f>IF(AL493&gt;20000000.0/100,1,0)</f>
        <v>0</v>
      </c>
    </row>
    <row r="494" spans="1:40" s="1" customFormat="1">
      <c r="A494" s="3">
        <v>46021</v>
      </c>
      <c r="B494" s="2" t="s">
        <v>23</v>
      </c>
      <c r="C494" s="1">
        <f>SUM(PL!H494:J494)</f>
        <v>0</v>
      </c>
      <c r="D494" s="1">
        <f>SUM(PL!K494:M494)</f>
        <v>0</v>
      </c>
      <c r="E494" s="1">
        <f>SUM(PL!N494:P494)</f>
        <v>0</v>
      </c>
      <c r="F494" s="1">
        <f>SUM(PL!Q494:S494)</f>
        <v>0</v>
      </c>
      <c r="G494" s="1">
        <f>SUM(PL!T494:V494)</f>
        <v>0</v>
      </c>
      <c r="H494" s="1">
        <f>SUM(C494:G494)</f>
        <v>0</v>
      </c>
      <c r="I494" s="1">
        <f>IF(C494 + I493 &lt; 0, C494 + I493, 0)</f>
        <v>0</v>
      </c>
      <c r="J494" s="1">
        <f>IF(D494 + J493 &lt; 0, D494 + J493, 0)</f>
        <v>0</v>
      </c>
      <c r="K494" s="1">
        <f>IF(E494 + K493 &lt; 0, E494 + K493, 0)</f>
        <v>0</v>
      </c>
      <c r="L494" s="1">
        <f>IF(F494 + L493 &lt; 0, F494 + L493, 0)</f>
        <v>0</v>
      </c>
      <c r="M494" s="1">
        <f>IF(G494 + M493 &lt; 0, G494 + M493, 0)</f>
        <v>0</v>
      </c>
      <c r="N494" s="1">
        <f>IF(H494 + N493 &lt; 0, H494 + N493, 0)</f>
        <v>0</v>
      </c>
      <c r="O494" s="1">
        <f>IF(N494 &lt; 0, 1 + O493, 0)</f>
        <v>0</v>
      </c>
      <c r="P494" s="1">
        <f>C494-((ABS(SUM(PL!H494:J494)))*0.125)</f>
        <v>0</v>
      </c>
      <c r="Q494" s="1">
        <f>D494-((ABS(SUM(PL!K494:M494)))*0.125)</f>
        <v>0</v>
      </c>
      <c r="R494" s="1">
        <f>E494-((ABS(SUM(PL!N494:P494)))*0.125)</f>
        <v>0</v>
      </c>
      <c r="S494" s="1">
        <f>F494-((ABS(SUM(PL!Q494:S494)))*0.125)</f>
        <v>0</v>
      </c>
      <c r="T494" s="1">
        <f>G494-((ABS(SUM(PL!T494:V494)))*0.125)</f>
        <v>0</v>
      </c>
      <c r="U494" s="1">
        <f>P494 + Q494 + R494 + S494 + T494</f>
        <v>0</v>
      </c>
      <c r="V494" s="1">
        <f>IF(P494 + V493 &lt; 0, P494 + V493, 0)</f>
        <v>0</v>
      </c>
      <c r="W494" s="1">
        <f>IF(Q494 + W493 &lt; 0, Q494 + W493, 0)</f>
        <v>0</v>
      </c>
      <c r="X494" s="1">
        <f>IF(R494 + X493 &lt; 0, R494 + X493, 0)</f>
        <v>0</v>
      </c>
      <c r="Y494" s="1">
        <f>IF(S494 + Y493 &lt; 0, S494 + Y493, 0)</f>
        <v>0</v>
      </c>
      <c r="Z494" s="1">
        <f>IF(T494 + Z493 &lt; 0, T494 + Z493, 0)</f>
        <v>0</v>
      </c>
      <c r="AA494" s="1">
        <f>IF(U494 + AA493 &lt; 0, U494 + AA493, 0)</f>
        <v>0</v>
      </c>
      <c r="AB494" s="1">
        <f>IF(AA494 &lt; 0, 1 + AB493, 0)</f>
        <v>0</v>
      </c>
      <c r="AC494" s="1">
        <f>IF(H494&lt;0,1,0)</f>
        <v>0</v>
      </c>
      <c r="AD494" s="1">
        <f>IF(AC494=1,H494,0)</f>
        <v>0</v>
      </c>
      <c r="AE494" s="1">
        <f>IF(H494&gt;0,1,0)</f>
        <v>0</v>
      </c>
      <c r="AF494" s="1">
        <f>IF(AE494=1,H494,0)</f>
        <v>0</v>
      </c>
      <c r="AG494" s="1">
        <f>IF(AD494&lt;-20000000.0/100,1,0)</f>
        <v>0</v>
      </c>
      <c r="AH494" s="1">
        <f>IF(AF494&gt;20000000.0/100,1,0)</f>
        <v>0</v>
      </c>
      <c r="AI494" s="1">
        <f>IF(U494&lt;0,1,0)</f>
        <v>0</v>
      </c>
      <c r="AJ494" s="1">
        <f>IF(AI494=1,U494,0)</f>
        <v>0</v>
      </c>
      <c r="AK494" s="1">
        <f>IF(U494&gt;0,1,0)</f>
        <v>0</v>
      </c>
      <c r="AL494" s="1">
        <f>IF(AK494=1,U494,0)</f>
        <v>0</v>
      </c>
      <c r="AM494" s="1">
        <f>IF(AJ494&lt;-20000000.0/100,1,0)</f>
        <v>0</v>
      </c>
      <c r="AN494" s="1">
        <f>IF(AL494&gt;20000000.0/100,1,0)</f>
        <v>0</v>
      </c>
    </row>
    <row r="495" spans="1:40" s="1" customFormat="1">
      <c r="A495" s="3">
        <v>46022</v>
      </c>
      <c r="B495" s="2" t="s">
        <v>24</v>
      </c>
      <c r="C495" s="1">
        <f>SUM(PL!H495:J495)</f>
        <v>0</v>
      </c>
      <c r="D495" s="1">
        <f>SUM(PL!K495:M495)</f>
        <v>0</v>
      </c>
      <c r="E495" s="1">
        <f>SUM(PL!N495:P495)</f>
        <v>0</v>
      </c>
      <c r="F495" s="1">
        <f>SUM(PL!Q495:S495)</f>
        <v>0</v>
      </c>
      <c r="G495" s="1">
        <f>SUM(PL!T495:V495)</f>
        <v>0</v>
      </c>
      <c r="H495" s="1">
        <f>SUM(C495:G495)</f>
        <v>0</v>
      </c>
      <c r="I495" s="1">
        <f>IF(C495 + I494 &lt; 0, C495 + I494, 0)</f>
        <v>0</v>
      </c>
      <c r="J495" s="1">
        <f>IF(D495 + J494 &lt; 0, D495 + J494, 0)</f>
        <v>0</v>
      </c>
      <c r="K495" s="1">
        <f>IF(E495 + K494 &lt; 0, E495 + K494, 0)</f>
        <v>0</v>
      </c>
      <c r="L495" s="1">
        <f>IF(F495 + L494 &lt; 0, F495 + L494, 0)</f>
        <v>0</v>
      </c>
      <c r="M495" s="1">
        <f>IF(G495 + M494 &lt; 0, G495 + M494, 0)</f>
        <v>0</v>
      </c>
      <c r="N495" s="1">
        <f>IF(H495 + N494 &lt; 0, H495 + N494, 0)</f>
        <v>0</v>
      </c>
      <c r="O495" s="1">
        <f>IF(N495 &lt; 0, 1 + O494, 0)</f>
        <v>0</v>
      </c>
      <c r="P495" s="1">
        <f>C495-((ABS(SUM(PL!H495:J495)))*0.125)</f>
        <v>0</v>
      </c>
      <c r="Q495" s="1">
        <f>D495-((ABS(SUM(PL!K495:M495)))*0.125)</f>
        <v>0</v>
      </c>
      <c r="R495" s="1">
        <f>E495-((ABS(SUM(PL!N495:P495)))*0.125)</f>
        <v>0</v>
      </c>
      <c r="S495" s="1">
        <f>F495-((ABS(SUM(PL!Q495:S495)))*0.125)</f>
        <v>0</v>
      </c>
      <c r="T495" s="1">
        <f>G495-((ABS(SUM(PL!T495:V495)))*0.125)</f>
        <v>0</v>
      </c>
      <c r="U495" s="1">
        <f>P495 + Q495 + R495 + S495 + T495</f>
        <v>0</v>
      </c>
      <c r="V495" s="1">
        <f>IF(P495 + V494 &lt; 0, P495 + V494, 0)</f>
        <v>0</v>
      </c>
      <c r="W495" s="1">
        <f>IF(Q495 + W494 &lt; 0, Q495 + W494, 0)</f>
        <v>0</v>
      </c>
      <c r="X495" s="1">
        <f>IF(R495 + X494 &lt; 0, R495 + X494, 0)</f>
        <v>0</v>
      </c>
      <c r="Y495" s="1">
        <f>IF(S495 + Y494 &lt; 0, S495 + Y494, 0)</f>
        <v>0</v>
      </c>
      <c r="Z495" s="1">
        <f>IF(T495 + Z494 &lt; 0, T495 + Z494, 0)</f>
        <v>0</v>
      </c>
      <c r="AA495" s="1">
        <f>IF(U495 + AA494 &lt; 0, U495 + AA494, 0)</f>
        <v>0</v>
      </c>
      <c r="AB495" s="1">
        <f>IF(AA495 &lt; 0, 1 + AB494, 0)</f>
        <v>0</v>
      </c>
      <c r="AC495" s="1">
        <f>IF(H495&lt;0,1,0)</f>
        <v>0</v>
      </c>
      <c r="AD495" s="1">
        <f>IF(AC495=1,H495,0)</f>
        <v>0</v>
      </c>
      <c r="AE495" s="1">
        <f>IF(H495&gt;0,1,0)</f>
        <v>0</v>
      </c>
      <c r="AF495" s="1">
        <f>IF(AE495=1,H495,0)</f>
        <v>0</v>
      </c>
      <c r="AG495" s="1">
        <f>IF(AD495&lt;-20000000.0/100,1,0)</f>
        <v>0</v>
      </c>
      <c r="AH495" s="1">
        <f>IF(AF495&gt;20000000.0/100,1,0)</f>
        <v>0</v>
      </c>
      <c r="AI495" s="1">
        <f>IF(U495&lt;0,1,0)</f>
        <v>0</v>
      </c>
      <c r="AJ495" s="1">
        <f>IF(AI495=1,U495,0)</f>
        <v>0</v>
      </c>
      <c r="AK495" s="1">
        <f>IF(U495&gt;0,1,0)</f>
        <v>0</v>
      </c>
      <c r="AL495" s="1">
        <f>IF(AK495=1,U495,0)</f>
        <v>0</v>
      </c>
      <c r="AM495" s="1">
        <f>IF(AJ495&lt;-20000000.0/100,1,0)</f>
        <v>0</v>
      </c>
      <c r="AN495" s="1">
        <f>IF(AL495&gt;20000000.0/100,1,0)</f>
        <v>0</v>
      </c>
    </row>
    <row r="496" spans="1:40" s="1" customFormat="1">
      <c r="A496" s="3">
        <v>46023</v>
      </c>
      <c r="B496" s="2" t="s">
        <v>25</v>
      </c>
      <c r="C496" s="1">
        <f>SUM(PL!H496:J496)</f>
        <v>0</v>
      </c>
      <c r="D496" s="1">
        <f>SUM(PL!K496:M496)</f>
        <v>0</v>
      </c>
      <c r="E496" s="1">
        <f>SUM(PL!N496:P496)</f>
        <v>0</v>
      </c>
      <c r="F496" s="1">
        <f>SUM(PL!Q496:S496)</f>
        <v>0</v>
      </c>
      <c r="G496" s="1">
        <f>SUM(PL!T496:V496)</f>
        <v>0</v>
      </c>
      <c r="H496" s="1">
        <f>SUM(C496:G496)</f>
        <v>0</v>
      </c>
      <c r="I496" s="1">
        <f>IF(C496 + I495 &lt; 0, C496 + I495, 0)</f>
        <v>0</v>
      </c>
      <c r="J496" s="1">
        <f>IF(D496 + J495 &lt; 0, D496 + J495, 0)</f>
        <v>0</v>
      </c>
      <c r="K496" s="1">
        <f>IF(E496 + K495 &lt; 0, E496 + K495, 0)</f>
        <v>0</v>
      </c>
      <c r="L496" s="1">
        <f>IF(F496 + L495 &lt; 0, F496 + L495, 0)</f>
        <v>0</v>
      </c>
      <c r="M496" s="1">
        <f>IF(G496 + M495 &lt; 0, G496 + M495, 0)</f>
        <v>0</v>
      </c>
      <c r="N496" s="1">
        <f>IF(H496 + N495 &lt; 0, H496 + N495, 0)</f>
        <v>0</v>
      </c>
      <c r="O496" s="1">
        <f>IF(N496 &lt; 0, 1 + O495, 0)</f>
        <v>0</v>
      </c>
      <c r="P496" s="1">
        <f>C496-((ABS(SUM(PL!H496:J496)))*0.125)</f>
        <v>0</v>
      </c>
      <c r="Q496" s="1">
        <f>D496-((ABS(SUM(PL!K496:M496)))*0.125)</f>
        <v>0</v>
      </c>
      <c r="R496" s="1">
        <f>E496-((ABS(SUM(PL!N496:P496)))*0.125)</f>
        <v>0</v>
      </c>
      <c r="S496" s="1">
        <f>F496-((ABS(SUM(PL!Q496:S496)))*0.125)</f>
        <v>0</v>
      </c>
      <c r="T496" s="1">
        <f>G496-((ABS(SUM(PL!T496:V496)))*0.125)</f>
        <v>0</v>
      </c>
      <c r="U496" s="1">
        <f>P496 + Q496 + R496 + S496 + T496</f>
        <v>0</v>
      </c>
      <c r="V496" s="1">
        <f>IF(P496 + V495 &lt; 0, P496 + V495, 0)</f>
        <v>0</v>
      </c>
      <c r="W496" s="1">
        <f>IF(Q496 + W495 &lt; 0, Q496 + W495, 0)</f>
        <v>0</v>
      </c>
      <c r="X496" s="1">
        <f>IF(R496 + X495 &lt; 0, R496 + X495, 0)</f>
        <v>0</v>
      </c>
      <c r="Y496" s="1">
        <f>IF(S496 + Y495 &lt; 0, S496 + Y495, 0)</f>
        <v>0</v>
      </c>
      <c r="Z496" s="1">
        <f>IF(T496 + Z495 &lt; 0, T496 + Z495, 0)</f>
        <v>0</v>
      </c>
      <c r="AA496" s="1">
        <f>IF(U496 + AA495 &lt; 0, U496 + AA495, 0)</f>
        <v>0</v>
      </c>
      <c r="AB496" s="1">
        <f>IF(AA496 &lt; 0, 1 + AB495, 0)</f>
        <v>0</v>
      </c>
      <c r="AC496" s="1">
        <f>IF(H496&lt;0,1,0)</f>
        <v>0</v>
      </c>
      <c r="AD496" s="1">
        <f>IF(AC496=1,H496,0)</f>
        <v>0</v>
      </c>
      <c r="AE496" s="1">
        <f>IF(H496&gt;0,1,0)</f>
        <v>0</v>
      </c>
      <c r="AF496" s="1">
        <f>IF(AE496=1,H496,0)</f>
        <v>0</v>
      </c>
      <c r="AG496" s="1">
        <f>IF(AD496&lt;-20000000.0/100,1,0)</f>
        <v>0</v>
      </c>
      <c r="AH496" s="1">
        <f>IF(AF496&gt;20000000.0/100,1,0)</f>
        <v>0</v>
      </c>
      <c r="AI496" s="1">
        <f>IF(U496&lt;0,1,0)</f>
        <v>0</v>
      </c>
      <c r="AJ496" s="1">
        <f>IF(AI496=1,U496,0)</f>
        <v>0</v>
      </c>
      <c r="AK496" s="1">
        <f>IF(U496&gt;0,1,0)</f>
        <v>0</v>
      </c>
      <c r="AL496" s="1">
        <f>IF(AK496=1,U496,0)</f>
        <v>0</v>
      </c>
      <c r="AM496" s="1">
        <f>IF(AJ496&lt;-20000000.0/100,1,0)</f>
        <v>0</v>
      </c>
      <c r="AN496" s="1">
        <f>IF(AL496&gt;20000000.0/100,1,0)</f>
        <v>0</v>
      </c>
    </row>
    <row r="497" spans="1:40" s="1" customFormat="1">
      <c r="A497" s="3">
        <v>46024</v>
      </c>
      <c r="B497" s="2" t="s">
        <v>26</v>
      </c>
      <c r="C497" s="1">
        <f>SUM(PL!H497:J497)</f>
        <v>0</v>
      </c>
      <c r="D497" s="1">
        <f>SUM(PL!K497:M497)</f>
        <v>0</v>
      </c>
      <c r="E497" s="1">
        <f>SUM(PL!N497:P497)</f>
        <v>0</v>
      </c>
      <c r="F497" s="1">
        <f>SUM(PL!Q497:S497)</f>
        <v>0</v>
      </c>
      <c r="G497" s="1">
        <f>SUM(PL!T497:V497)</f>
        <v>0</v>
      </c>
      <c r="H497" s="1">
        <f>SUM(C497:G497)</f>
        <v>0</v>
      </c>
      <c r="I497" s="1">
        <f>IF(C497 + I496 &lt; 0, C497 + I496, 0)</f>
        <v>0</v>
      </c>
      <c r="J497" s="1">
        <f>IF(D497 + J496 &lt; 0, D497 + J496, 0)</f>
        <v>0</v>
      </c>
      <c r="K497" s="1">
        <f>IF(E497 + K496 &lt; 0, E497 + K496, 0)</f>
        <v>0</v>
      </c>
      <c r="L497" s="1">
        <f>IF(F497 + L496 &lt; 0, F497 + L496, 0)</f>
        <v>0</v>
      </c>
      <c r="M497" s="1">
        <f>IF(G497 + M496 &lt; 0, G497 + M496, 0)</f>
        <v>0</v>
      </c>
      <c r="N497" s="1">
        <f>IF(H497 + N496 &lt; 0, H497 + N496, 0)</f>
        <v>0</v>
      </c>
      <c r="O497" s="1">
        <f>IF(N497 &lt; 0, 1 + O496, 0)</f>
        <v>0</v>
      </c>
      <c r="P497" s="1">
        <f>C497-((ABS(SUM(PL!H497:J497)))*0.125)</f>
        <v>0</v>
      </c>
      <c r="Q497" s="1">
        <f>D497-((ABS(SUM(PL!K497:M497)))*0.125)</f>
        <v>0</v>
      </c>
      <c r="R497" s="1">
        <f>E497-((ABS(SUM(PL!N497:P497)))*0.125)</f>
        <v>0</v>
      </c>
      <c r="S497" s="1">
        <f>F497-((ABS(SUM(PL!Q497:S497)))*0.125)</f>
        <v>0</v>
      </c>
      <c r="T497" s="1">
        <f>G497-((ABS(SUM(PL!T497:V497)))*0.125)</f>
        <v>0</v>
      </c>
      <c r="U497" s="1">
        <f>P497 + Q497 + R497 + S497 + T497</f>
        <v>0</v>
      </c>
      <c r="V497" s="1">
        <f>IF(P497 + V496 &lt; 0, P497 + V496, 0)</f>
        <v>0</v>
      </c>
      <c r="W497" s="1">
        <f>IF(Q497 + W496 &lt; 0, Q497 + W496, 0)</f>
        <v>0</v>
      </c>
      <c r="X497" s="1">
        <f>IF(R497 + X496 &lt; 0, R497 + X496, 0)</f>
        <v>0</v>
      </c>
      <c r="Y497" s="1">
        <f>IF(S497 + Y496 &lt; 0, S497 + Y496, 0)</f>
        <v>0</v>
      </c>
      <c r="Z497" s="1">
        <f>IF(T497 + Z496 &lt; 0, T497 + Z496, 0)</f>
        <v>0</v>
      </c>
      <c r="AA497" s="1">
        <f>IF(U497 + AA496 &lt; 0, U497 + AA496, 0)</f>
        <v>0</v>
      </c>
      <c r="AB497" s="1">
        <f>IF(AA497 &lt; 0, 1 + AB496, 0)</f>
        <v>0</v>
      </c>
      <c r="AC497" s="1">
        <f>IF(H497&lt;0,1,0)</f>
        <v>0</v>
      </c>
      <c r="AD497" s="1">
        <f>IF(AC497=1,H497,0)</f>
        <v>0</v>
      </c>
      <c r="AE497" s="1">
        <f>IF(H497&gt;0,1,0)</f>
        <v>0</v>
      </c>
      <c r="AF497" s="1">
        <f>IF(AE497=1,H497,0)</f>
        <v>0</v>
      </c>
      <c r="AG497" s="1">
        <f>IF(AD497&lt;-20000000.0/100,1,0)</f>
        <v>0</v>
      </c>
      <c r="AH497" s="1">
        <f>IF(AF497&gt;20000000.0/100,1,0)</f>
        <v>0</v>
      </c>
      <c r="AI497" s="1">
        <f>IF(U497&lt;0,1,0)</f>
        <v>0</v>
      </c>
      <c r="AJ497" s="1">
        <f>IF(AI497=1,U497,0)</f>
        <v>0</v>
      </c>
      <c r="AK497" s="1">
        <f>IF(U497&gt;0,1,0)</f>
        <v>0</v>
      </c>
      <c r="AL497" s="1">
        <f>IF(AK497=1,U497,0)</f>
        <v>0</v>
      </c>
      <c r="AM497" s="1">
        <f>IF(AJ497&lt;-20000000.0/100,1,0)</f>
        <v>0</v>
      </c>
      <c r="AN497" s="1">
        <f>IF(AL497&gt;20000000.0/100,1,0)</f>
        <v>0</v>
      </c>
    </row>
    <row r="498" spans="1:40" s="1" customFormat="1">
      <c r="A498" s="3">
        <v>46027</v>
      </c>
      <c r="B498" s="2" t="s">
        <v>22</v>
      </c>
      <c r="C498" s="1">
        <f>SUM(PL!H498:J498)</f>
        <v>0</v>
      </c>
      <c r="D498" s="1">
        <f>SUM(PL!K498:M498)</f>
        <v>0</v>
      </c>
      <c r="E498" s="1">
        <f>SUM(PL!N498:P498)</f>
        <v>0</v>
      </c>
      <c r="F498" s="1">
        <f>SUM(PL!Q498:S498)</f>
        <v>0</v>
      </c>
      <c r="G498" s="1">
        <f>SUM(PL!T498:V498)</f>
        <v>0</v>
      </c>
      <c r="H498" s="1">
        <f>SUM(C498:G498)</f>
        <v>0</v>
      </c>
      <c r="I498" s="1">
        <f>IF(C498 + I497 &lt; 0, C498 + I497, 0)</f>
        <v>0</v>
      </c>
      <c r="J498" s="1">
        <f>IF(D498 + J497 &lt; 0, D498 + J497, 0)</f>
        <v>0</v>
      </c>
      <c r="K498" s="1">
        <f>IF(E498 + K497 &lt; 0, E498 + K497, 0)</f>
        <v>0</v>
      </c>
      <c r="L498" s="1">
        <f>IF(F498 + L497 &lt; 0, F498 + L497, 0)</f>
        <v>0</v>
      </c>
      <c r="M498" s="1">
        <f>IF(G498 + M497 &lt; 0, G498 + M497, 0)</f>
        <v>0</v>
      </c>
      <c r="N498" s="1">
        <f>IF(H498 + N497 &lt; 0, H498 + N497, 0)</f>
        <v>0</v>
      </c>
      <c r="O498" s="1">
        <f>IF(N498 &lt; 0, 1 + O497, 0)</f>
        <v>0</v>
      </c>
      <c r="P498" s="1">
        <f>C498-((ABS(SUM(PL!H498:J498)))*0.125)</f>
        <v>0</v>
      </c>
      <c r="Q498" s="1">
        <f>D498-((ABS(SUM(PL!K498:M498)))*0.125)</f>
        <v>0</v>
      </c>
      <c r="R498" s="1">
        <f>E498-((ABS(SUM(PL!N498:P498)))*0.125)</f>
        <v>0</v>
      </c>
      <c r="S498" s="1">
        <f>F498-((ABS(SUM(PL!Q498:S498)))*0.125)</f>
        <v>0</v>
      </c>
      <c r="T498" s="1">
        <f>G498-((ABS(SUM(PL!T498:V498)))*0.125)</f>
        <v>0</v>
      </c>
      <c r="U498" s="1">
        <f>P498 + Q498 + R498 + S498 + T498</f>
        <v>0</v>
      </c>
      <c r="V498" s="1">
        <f>IF(P498 + V497 &lt; 0, P498 + V497, 0)</f>
        <v>0</v>
      </c>
      <c r="W498" s="1">
        <f>IF(Q498 + W497 &lt; 0, Q498 + W497, 0)</f>
        <v>0</v>
      </c>
      <c r="X498" s="1">
        <f>IF(R498 + X497 &lt; 0, R498 + X497, 0)</f>
        <v>0</v>
      </c>
      <c r="Y498" s="1">
        <f>IF(S498 + Y497 &lt; 0, S498 + Y497, 0)</f>
        <v>0</v>
      </c>
      <c r="Z498" s="1">
        <f>IF(T498 + Z497 &lt; 0, T498 + Z497, 0)</f>
        <v>0</v>
      </c>
      <c r="AA498" s="1">
        <f>IF(U498 + AA497 &lt; 0, U498 + AA497, 0)</f>
        <v>0</v>
      </c>
      <c r="AB498" s="1">
        <f>IF(AA498 &lt; 0, 1 + AB497, 0)</f>
        <v>0</v>
      </c>
      <c r="AC498" s="1">
        <f>IF(H498&lt;0,1,0)</f>
        <v>0</v>
      </c>
      <c r="AD498" s="1">
        <f>IF(AC498=1,H498,0)</f>
        <v>0</v>
      </c>
      <c r="AE498" s="1">
        <f>IF(H498&gt;0,1,0)</f>
        <v>0</v>
      </c>
      <c r="AF498" s="1">
        <f>IF(AE498=1,H498,0)</f>
        <v>0</v>
      </c>
      <c r="AG498" s="1">
        <f>IF(AD498&lt;-20000000.0/100,1,0)</f>
        <v>0</v>
      </c>
      <c r="AH498" s="1">
        <f>IF(AF498&gt;20000000.0/100,1,0)</f>
        <v>0</v>
      </c>
      <c r="AI498" s="1">
        <f>IF(U498&lt;0,1,0)</f>
        <v>0</v>
      </c>
      <c r="AJ498" s="1">
        <f>IF(AI498=1,U498,0)</f>
        <v>0</v>
      </c>
      <c r="AK498" s="1">
        <f>IF(U498&gt;0,1,0)</f>
        <v>0</v>
      </c>
      <c r="AL498" s="1">
        <f>IF(AK498=1,U498,0)</f>
        <v>0</v>
      </c>
      <c r="AM498" s="1">
        <f>IF(AJ498&lt;-20000000.0/100,1,0)</f>
        <v>0</v>
      </c>
      <c r="AN498" s="1">
        <f>IF(AL498&gt;20000000.0/100,1,0)</f>
        <v>0</v>
      </c>
    </row>
    <row r="499" spans="1:40" s="1" customFormat="1">
      <c r="A499" s="3">
        <v>46028</v>
      </c>
      <c r="B499" s="2" t="s">
        <v>23</v>
      </c>
      <c r="C499" s="1">
        <f>SUM(PL!H499:J499)</f>
        <v>0</v>
      </c>
      <c r="D499" s="1">
        <f>SUM(PL!K499:M499)</f>
        <v>0</v>
      </c>
      <c r="E499" s="1">
        <f>SUM(PL!N499:P499)</f>
        <v>0</v>
      </c>
      <c r="F499" s="1">
        <f>SUM(PL!Q499:S499)</f>
        <v>0</v>
      </c>
      <c r="G499" s="1">
        <f>SUM(PL!T499:V499)</f>
        <v>0</v>
      </c>
      <c r="H499" s="1">
        <f>SUM(C499:G499)</f>
        <v>0</v>
      </c>
      <c r="I499" s="1">
        <f>IF(C499 + I498 &lt; 0, C499 + I498, 0)</f>
        <v>0</v>
      </c>
      <c r="J499" s="1">
        <f>IF(D499 + J498 &lt; 0, D499 + J498, 0)</f>
        <v>0</v>
      </c>
      <c r="K499" s="1">
        <f>IF(E499 + K498 &lt; 0, E499 + K498, 0)</f>
        <v>0</v>
      </c>
      <c r="L499" s="1">
        <f>IF(F499 + L498 &lt; 0, F499 + L498, 0)</f>
        <v>0</v>
      </c>
      <c r="M499" s="1">
        <f>IF(G499 + M498 &lt; 0, G499 + M498, 0)</f>
        <v>0</v>
      </c>
      <c r="N499" s="1">
        <f>IF(H499 + N498 &lt; 0, H499 + N498, 0)</f>
        <v>0</v>
      </c>
      <c r="O499" s="1">
        <f>IF(N499 &lt; 0, 1 + O498, 0)</f>
        <v>0</v>
      </c>
      <c r="P499" s="1">
        <f>C499-((ABS(SUM(PL!H499:J499)))*0.125)</f>
        <v>0</v>
      </c>
      <c r="Q499" s="1">
        <f>D499-((ABS(SUM(PL!K499:M499)))*0.125)</f>
        <v>0</v>
      </c>
      <c r="R499" s="1">
        <f>E499-((ABS(SUM(PL!N499:P499)))*0.125)</f>
        <v>0</v>
      </c>
      <c r="S499" s="1">
        <f>F499-((ABS(SUM(PL!Q499:S499)))*0.125)</f>
        <v>0</v>
      </c>
      <c r="T499" s="1">
        <f>G499-((ABS(SUM(PL!T499:V499)))*0.125)</f>
        <v>0</v>
      </c>
      <c r="U499" s="1">
        <f>P499 + Q499 + R499 + S499 + T499</f>
        <v>0</v>
      </c>
      <c r="V499" s="1">
        <f>IF(P499 + V498 &lt; 0, P499 + V498, 0)</f>
        <v>0</v>
      </c>
      <c r="W499" s="1">
        <f>IF(Q499 + W498 &lt; 0, Q499 + W498, 0)</f>
        <v>0</v>
      </c>
      <c r="X499" s="1">
        <f>IF(R499 + X498 &lt; 0, R499 + X498, 0)</f>
        <v>0</v>
      </c>
      <c r="Y499" s="1">
        <f>IF(S499 + Y498 &lt; 0, S499 + Y498, 0)</f>
        <v>0</v>
      </c>
      <c r="Z499" s="1">
        <f>IF(T499 + Z498 &lt; 0, T499 + Z498, 0)</f>
        <v>0</v>
      </c>
      <c r="AA499" s="1">
        <f>IF(U499 + AA498 &lt; 0, U499 + AA498, 0)</f>
        <v>0</v>
      </c>
      <c r="AB499" s="1">
        <f>IF(AA499 &lt; 0, 1 + AB498, 0)</f>
        <v>0</v>
      </c>
      <c r="AC499" s="1">
        <f>IF(H499&lt;0,1,0)</f>
        <v>0</v>
      </c>
      <c r="AD499" s="1">
        <f>IF(AC499=1,H499,0)</f>
        <v>0</v>
      </c>
      <c r="AE499" s="1">
        <f>IF(H499&gt;0,1,0)</f>
        <v>0</v>
      </c>
      <c r="AF499" s="1">
        <f>IF(AE499=1,H499,0)</f>
        <v>0</v>
      </c>
      <c r="AG499" s="1">
        <f>IF(AD499&lt;-20000000.0/100,1,0)</f>
        <v>0</v>
      </c>
      <c r="AH499" s="1">
        <f>IF(AF499&gt;20000000.0/100,1,0)</f>
        <v>0</v>
      </c>
      <c r="AI499" s="1">
        <f>IF(U499&lt;0,1,0)</f>
        <v>0</v>
      </c>
      <c r="AJ499" s="1">
        <f>IF(AI499=1,U499,0)</f>
        <v>0</v>
      </c>
      <c r="AK499" s="1">
        <f>IF(U499&gt;0,1,0)</f>
        <v>0</v>
      </c>
      <c r="AL499" s="1">
        <f>IF(AK499=1,U499,0)</f>
        <v>0</v>
      </c>
      <c r="AM499" s="1">
        <f>IF(AJ499&lt;-20000000.0/100,1,0)</f>
        <v>0</v>
      </c>
      <c r="AN499" s="1">
        <f>IF(AL499&gt;20000000.0/100,1,0)</f>
        <v>0</v>
      </c>
    </row>
    <row r="500" spans="1:40" s="1" customFormat="1">
      <c r="A500" s="3">
        <v>46029</v>
      </c>
      <c r="B500" s="2" t="s">
        <v>24</v>
      </c>
      <c r="C500" s="1">
        <f>SUM(PL!H500:J500)</f>
        <v>0</v>
      </c>
      <c r="D500" s="1">
        <f>SUM(PL!K500:M500)</f>
        <v>0</v>
      </c>
      <c r="E500" s="1">
        <f>SUM(PL!N500:P500)</f>
        <v>0</v>
      </c>
      <c r="F500" s="1">
        <f>SUM(PL!Q500:S500)</f>
        <v>0</v>
      </c>
      <c r="G500" s="1">
        <f>SUM(PL!T500:V500)</f>
        <v>0</v>
      </c>
      <c r="H500" s="1">
        <f>SUM(C500:G500)</f>
        <v>0</v>
      </c>
      <c r="I500" s="1">
        <f>IF(C500 + I499 &lt; 0, C500 + I499, 0)</f>
        <v>0</v>
      </c>
      <c r="J500" s="1">
        <f>IF(D500 + J499 &lt; 0, D500 + J499, 0)</f>
        <v>0</v>
      </c>
      <c r="K500" s="1">
        <f>IF(E500 + K499 &lt; 0, E500 + K499, 0)</f>
        <v>0</v>
      </c>
      <c r="L500" s="1">
        <f>IF(F500 + L499 &lt; 0, F500 + L499, 0)</f>
        <v>0</v>
      </c>
      <c r="M500" s="1">
        <f>IF(G500 + M499 &lt; 0, G500 + M499, 0)</f>
        <v>0</v>
      </c>
      <c r="N500" s="1">
        <f>IF(H500 + N499 &lt; 0, H500 + N499, 0)</f>
        <v>0</v>
      </c>
      <c r="O500" s="1">
        <f>IF(N500 &lt; 0, 1 + O499, 0)</f>
        <v>0</v>
      </c>
      <c r="P500" s="1">
        <f>C500-((ABS(SUM(PL!H500:J500)))*0.125)</f>
        <v>0</v>
      </c>
      <c r="Q500" s="1">
        <f>D500-((ABS(SUM(PL!K500:M500)))*0.125)</f>
        <v>0</v>
      </c>
      <c r="R500" s="1">
        <f>E500-((ABS(SUM(PL!N500:P500)))*0.125)</f>
        <v>0</v>
      </c>
      <c r="S500" s="1">
        <f>F500-((ABS(SUM(PL!Q500:S500)))*0.125)</f>
        <v>0</v>
      </c>
      <c r="T500" s="1">
        <f>G500-((ABS(SUM(PL!T500:V500)))*0.125)</f>
        <v>0</v>
      </c>
      <c r="U500" s="1">
        <f>P500 + Q500 + R500 + S500 + T500</f>
        <v>0</v>
      </c>
      <c r="V500" s="1">
        <f>IF(P500 + V499 &lt; 0, P500 + V499, 0)</f>
        <v>0</v>
      </c>
      <c r="W500" s="1">
        <f>IF(Q500 + W499 &lt; 0, Q500 + W499, 0)</f>
        <v>0</v>
      </c>
      <c r="X500" s="1">
        <f>IF(R500 + X499 &lt; 0, R500 + X499, 0)</f>
        <v>0</v>
      </c>
      <c r="Y500" s="1">
        <f>IF(S500 + Y499 &lt; 0, S500 + Y499, 0)</f>
        <v>0</v>
      </c>
      <c r="Z500" s="1">
        <f>IF(T500 + Z499 &lt; 0, T500 + Z499, 0)</f>
        <v>0</v>
      </c>
      <c r="AA500" s="1">
        <f>IF(U500 + AA499 &lt; 0, U500 + AA499, 0)</f>
        <v>0</v>
      </c>
      <c r="AB500" s="1">
        <f>IF(AA500 &lt; 0, 1 + AB499, 0)</f>
        <v>0</v>
      </c>
      <c r="AC500" s="1">
        <f>IF(H500&lt;0,1,0)</f>
        <v>0</v>
      </c>
      <c r="AD500" s="1">
        <f>IF(AC500=1,H500,0)</f>
        <v>0</v>
      </c>
      <c r="AE500" s="1">
        <f>IF(H500&gt;0,1,0)</f>
        <v>0</v>
      </c>
      <c r="AF500" s="1">
        <f>IF(AE500=1,H500,0)</f>
        <v>0</v>
      </c>
      <c r="AG500" s="1">
        <f>IF(AD500&lt;-20000000.0/100,1,0)</f>
        <v>0</v>
      </c>
      <c r="AH500" s="1">
        <f>IF(AF500&gt;20000000.0/100,1,0)</f>
        <v>0</v>
      </c>
      <c r="AI500" s="1">
        <f>IF(U500&lt;0,1,0)</f>
        <v>0</v>
      </c>
      <c r="AJ500" s="1">
        <f>IF(AI500=1,U500,0)</f>
        <v>0</v>
      </c>
      <c r="AK500" s="1">
        <f>IF(U500&gt;0,1,0)</f>
        <v>0</v>
      </c>
      <c r="AL500" s="1">
        <f>IF(AK500=1,U500,0)</f>
        <v>0</v>
      </c>
      <c r="AM500" s="1">
        <f>IF(AJ500&lt;-20000000.0/100,1,0)</f>
        <v>0</v>
      </c>
      <c r="AN500" s="1">
        <f>IF(AL500&gt;20000000.0/100,1,0)</f>
        <v>0</v>
      </c>
    </row>
    <row r="501" spans="1:40" s="1" customFormat="1">
      <c r="A501" s="3">
        <v>46030</v>
      </c>
      <c r="B501" s="2" t="s">
        <v>25</v>
      </c>
      <c r="C501" s="1">
        <f>SUM(PL!H501:J501)</f>
        <v>0</v>
      </c>
      <c r="D501" s="1">
        <f>SUM(PL!K501:M501)</f>
        <v>0</v>
      </c>
      <c r="E501" s="1">
        <f>SUM(PL!N501:P501)</f>
        <v>0</v>
      </c>
      <c r="F501" s="1">
        <f>SUM(PL!Q501:S501)</f>
        <v>0</v>
      </c>
      <c r="G501" s="1">
        <f>SUM(PL!T501:V501)</f>
        <v>0</v>
      </c>
      <c r="H501" s="1">
        <f>SUM(C501:G501)</f>
        <v>0</v>
      </c>
      <c r="I501" s="1">
        <f>IF(C501 + I500 &lt; 0, C501 + I500, 0)</f>
        <v>0</v>
      </c>
      <c r="J501" s="1">
        <f>IF(D501 + J500 &lt; 0, D501 + J500, 0)</f>
        <v>0</v>
      </c>
      <c r="K501" s="1">
        <f>IF(E501 + K500 &lt; 0, E501 + K500, 0)</f>
        <v>0</v>
      </c>
      <c r="L501" s="1">
        <f>IF(F501 + L500 &lt; 0, F501 + L500, 0)</f>
        <v>0</v>
      </c>
      <c r="M501" s="1">
        <f>IF(G501 + M500 &lt; 0, G501 + M500, 0)</f>
        <v>0</v>
      </c>
      <c r="N501" s="1">
        <f>IF(H501 + N500 &lt; 0, H501 + N500, 0)</f>
        <v>0</v>
      </c>
      <c r="O501" s="1">
        <f>IF(N501 &lt; 0, 1 + O500, 0)</f>
        <v>0</v>
      </c>
      <c r="P501" s="1">
        <f>C501-((ABS(SUM(PL!H501:J501)))*0.125)</f>
        <v>0</v>
      </c>
      <c r="Q501" s="1">
        <f>D501-((ABS(SUM(PL!K501:M501)))*0.125)</f>
        <v>0</v>
      </c>
      <c r="R501" s="1">
        <f>E501-((ABS(SUM(PL!N501:P501)))*0.125)</f>
        <v>0</v>
      </c>
      <c r="S501" s="1">
        <f>F501-((ABS(SUM(PL!Q501:S501)))*0.125)</f>
        <v>0</v>
      </c>
      <c r="T501" s="1">
        <f>G501-((ABS(SUM(PL!T501:V501)))*0.125)</f>
        <v>0</v>
      </c>
      <c r="U501" s="1">
        <f>P501 + Q501 + R501 + S501 + T501</f>
        <v>0</v>
      </c>
      <c r="V501" s="1">
        <f>IF(P501 + V500 &lt; 0, P501 + V500, 0)</f>
        <v>0</v>
      </c>
      <c r="W501" s="1">
        <f>IF(Q501 + W500 &lt; 0, Q501 + W500, 0)</f>
        <v>0</v>
      </c>
      <c r="X501" s="1">
        <f>IF(R501 + X500 &lt; 0, R501 + X500, 0)</f>
        <v>0</v>
      </c>
      <c r="Y501" s="1">
        <f>IF(S501 + Y500 &lt; 0, S501 + Y500, 0)</f>
        <v>0</v>
      </c>
      <c r="Z501" s="1">
        <f>IF(T501 + Z500 &lt; 0, T501 + Z500, 0)</f>
        <v>0</v>
      </c>
      <c r="AA501" s="1">
        <f>IF(U501 + AA500 &lt; 0, U501 + AA500, 0)</f>
        <v>0</v>
      </c>
      <c r="AB501" s="1">
        <f>IF(AA501 &lt; 0, 1 + AB500, 0)</f>
        <v>0</v>
      </c>
      <c r="AC501" s="1">
        <f>IF(H501&lt;0,1,0)</f>
        <v>0</v>
      </c>
      <c r="AD501" s="1">
        <f>IF(AC501=1,H501,0)</f>
        <v>0</v>
      </c>
      <c r="AE501" s="1">
        <f>IF(H501&gt;0,1,0)</f>
        <v>0</v>
      </c>
      <c r="AF501" s="1">
        <f>IF(AE501=1,H501,0)</f>
        <v>0</v>
      </c>
      <c r="AG501" s="1">
        <f>IF(AD501&lt;-20000000.0/100,1,0)</f>
        <v>0</v>
      </c>
      <c r="AH501" s="1">
        <f>IF(AF501&gt;20000000.0/100,1,0)</f>
        <v>0</v>
      </c>
      <c r="AI501" s="1">
        <f>IF(U501&lt;0,1,0)</f>
        <v>0</v>
      </c>
      <c r="AJ501" s="1">
        <f>IF(AI501=1,U501,0)</f>
        <v>0</v>
      </c>
      <c r="AK501" s="1">
        <f>IF(U501&gt;0,1,0)</f>
        <v>0</v>
      </c>
      <c r="AL501" s="1">
        <f>IF(AK501=1,U501,0)</f>
        <v>0</v>
      </c>
      <c r="AM501" s="1">
        <f>IF(AJ501&lt;-20000000.0/100,1,0)</f>
        <v>0</v>
      </c>
      <c r="AN501" s="1">
        <f>IF(AL501&gt;20000000.0/100,1,0)</f>
        <v>0</v>
      </c>
    </row>
    <row r="502" spans="1:40" s="1" customFormat="1">
      <c r="A502" s="3">
        <v>46031</v>
      </c>
      <c r="B502" s="2" t="s">
        <v>26</v>
      </c>
      <c r="C502" s="1">
        <f>SUM(PL!H502:J502)</f>
        <v>0</v>
      </c>
      <c r="D502" s="1">
        <f>SUM(PL!K502:M502)</f>
        <v>0</v>
      </c>
      <c r="E502" s="1">
        <f>SUM(PL!N502:P502)</f>
        <v>0</v>
      </c>
      <c r="F502" s="1">
        <f>SUM(PL!Q502:S502)</f>
        <v>0</v>
      </c>
      <c r="G502" s="1">
        <f>SUM(PL!T502:V502)</f>
        <v>0</v>
      </c>
      <c r="H502" s="1">
        <f>SUM(C502:G502)</f>
        <v>0</v>
      </c>
      <c r="I502" s="1">
        <f>IF(C502 + I501 &lt; 0, C502 + I501, 0)</f>
        <v>0</v>
      </c>
      <c r="J502" s="1">
        <f>IF(D502 + J501 &lt; 0, D502 + J501, 0)</f>
        <v>0</v>
      </c>
      <c r="K502" s="1">
        <f>IF(E502 + K501 &lt; 0, E502 + K501, 0)</f>
        <v>0</v>
      </c>
      <c r="L502" s="1">
        <f>IF(F502 + L501 &lt; 0, F502 + L501, 0)</f>
        <v>0</v>
      </c>
      <c r="M502" s="1">
        <f>IF(G502 + M501 &lt; 0, G502 + M501, 0)</f>
        <v>0</v>
      </c>
      <c r="N502" s="1">
        <f>IF(H502 + N501 &lt; 0, H502 + N501, 0)</f>
        <v>0</v>
      </c>
      <c r="O502" s="1">
        <f>IF(N502 &lt; 0, 1 + O501, 0)</f>
        <v>0</v>
      </c>
      <c r="P502" s="1">
        <f>C502-((ABS(SUM(PL!H502:J502)))*0.125)</f>
        <v>0</v>
      </c>
      <c r="Q502" s="1">
        <f>D502-((ABS(SUM(PL!K502:M502)))*0.125)</f>
        <v>0</v>
      </c>
      <c r="R502" s="1">
        <f>E502-((ABS(SUM(PL!N502:P502)))*0.125)</f>
        <v>0</v>
      </c>
      <c r="S502" s="1">
        <f>F502-((ABS(SUM(PL!Q502:S502)))*0.125)</f>
        <v>0</v>
      </c>
      <c r="T502" s="1">
        <f>G502-((ABS(SUM(PL!T502:V502)))*0.125)</f>
        <v>0</v>
      </c>
      <c r="U502" s="1">
        <f>P502 + Q502 + R502 + S502 + T502</f>
        <v>0</v>
      </c>
      <c r="V502" s="1">
        <f>IF(P502 + V501 &lt; 0, P502 + V501, 0)</f>
        <v>0</v>
      </c>
      <c r="W502" s="1">
        <f>IF(Q502 + W501 &lt; 0, Q502 + W501, 0)</f>
        <v>0</v>
      </c>
      <c r="X502" s="1">
        <f>IF(R502 + X501 &lt; 0, R502 + X501, 0)</f>
        <v>0</v>
      </c>
      <c r="Y502" s="1">
        <f>IF(S502 + Y501 &lt; 0, S502 + Y501, 0)</f>
        <v>0</v>
      </c>
      <c r="Z502" s="1">
        <f>IF(T502 + Z501 &lt; 0, T502 + Z501, 0)</f>
        <v>0</v>
      </c>
      <c r="AA502" s="1">
        <f>IF(U502 + AA501 &lt; 0, U502 + AA501, 0)</f>
        <v>0</v>
      </c>
      <c r="AB502" s="1">
        <f>IF(AA502 &lt; 0, 1 + AB501, 0)</f>
        <v>0</v>
      </c>
      <c r="AC502" s="1">
        <f>IF(H502&lt;0,1,0)</f>
        <v>0</v>
      </c>
      <c r="AD502" s="1">
        <f>IF(AC502=1,H502,0)</f>
        <v>0</v>
      </c>
      <c r="AE502" s="1">
        <f>IF(H502&gt;0,1,0)</f>
        <v>0</v>
      </c>
      <c r="AF502" s="1">
        <f>IF(AE502=1,H502,0)</f>
        <v>0</v>
      </c>
      <c r="AG502" s="1">
        <f>IF(AD502&lt;-20000000.0/100,1,0)</f>
        <v>0</v>
      </c>
      <c r="AH502" s="1">
        <f>IF(AF502&gt;20000000.0/100,1,0)</f>
        <v>0</v>
      </c>
      <c r="AI502" s="1">
        <f>IF(U502&lt;0,1,0)</f>
        <v>0</v>
      </c>
      <c r="AJ502" s="1">
        <f>IF(AI502=1,U502,0)</f>
        <v>0</v>
      </c>
      <c r="AK502" s="1">
        <f>IF(U502&gt;0,1,0)</f>
        <v>0</v>
      </c>
      <c r="AL502" s="1">
        <f>IF(AK502=1,U502,0)</f>
        <v>0</v>
      </c>
      <c r="AM502" s="1">
        <f>IF(AJ502&lt;-20000000.0/100,1,0)</f>
        <v>0</v>
      </c>
      <c r="AN502" s="1">
        <f>IF(AL502&gt;20000000.0/100,1,0)</f>
        <v>0</v>
      </c>
    </row>
    <row r="503" spans="1:40" s="1" customFormat="1">
      <c r="A503" s="3">
        <v>46034</v>
      </c>
      <c r="B503" s="2" t="s">
        <v>22</v>
      </c>
      <c r="C503" s="1">
        <f>SUM(PL!H503:J503)</f>
        <v>0</v>
      </c>
      <c r="D503" s="1">
        <f>SUM(PL!K503:M503)</f>
        <v>0</v>
      </c>
      <c r="E503" s="1">
        <f>SUM(PL!N503:P503)</f>
        <v>0</v>
      </c>
      <c r="F503" s="1">
        <f>SUM(PL!Q503:S503)</f>
        <v>0</v>
      </c>
      <c r="G503" s="1">
        <f>SUM(PL!T503:V503)</f>
        <v>0</v>
      </c>
      <c r="H503" s="1">
        <f>SUM(C503:G503)</f>
        <v>0</v>
      </c>
      <c r="I503" s="1">
        <f>IF(C503 + I502 &lt; 0, C503 + I502, 0)</f>
        <v>0</v>
      </c>
      <c r="J503" s="1">
        <f>IF(D503 + J502 &lt; 0, D503 + J502, 0)</f>
        <v>0</v>
      </c>
      <c r="K503" s="1">
        <f>IF(E503 + K502 &lt; 0, E503 + K502, 0)</f>
        <v>0</v>
      </c>
      <c r="L503" s="1">
        <f>IF(F503 + L502 &lt; 0, F503 + L502, 0)</f>
        <v>0</v>
      </c>
      <c r="M503" s="1">
        <f>IF(G503 + M502 &lt; 0, G503 + M502, 0)</f>
        <v>0</v>
      </c>
      <c r="N503" s="1">
        <f>IF(H503 + N502 &lt; 0, H503 + N502, 0)</f>
        <v>0</v>
      </c>
      <c r="O503" s="1">
        <f>IF(N503 &lt; 0, 1 + O502, 0)</f>
        <v>0</v>
      </c>
      <c r="P503" s="1">
        <f>C503-((ABS(SUM(PL!H503:J503)))*0.125)</f>
        <v>0</v>
      </c>
      <c r="Q503" s="1">
        <f>D503-((ABS(SUM(PL!K503:M503)))*0.125)</f>
        <v>0</v>
      </c>
      <c r="R503" s="1">
        <f>E503-((ABS(SUM(PL!N503:P503)))*0.125)</f>
        <v>0</v>
      </c>
      <c r="S503" s="1">
        <f>F503-((ABS(SUM(PL!Q503:S503)))*0.125)</f>
        <v>0</v>
      </c>
      <c r="T503" s="1">
        <f>G503-((ABS(SUM(PL!T503:V503)))*0.125)</f>
        <v>0</v>
      </c>
      <c r="U503" s="1">
        <f>P503 + Q503 + R503 + S503 + T503</f>
        <v>0</v>
      </c>
      <c r="V503" s="1">
        <f>IF(P503 + V502 &lt; 0, P503 + V502, 0)</f>
        <v>0</v>
      </c>
      <c r="W503" s="1">
        <f>IF(Q503 + W502 &lt; 0, Q503 + W502, 0)</f>
        <v>0</v>
      </c>
      <c r="X503" s="1">
        <f>IF(R503 + X502 &lt; 0, R503 + X502, 0)</f>
        <v>0</v>
      </c>
      <c r="Y503" s="1">
        <f>IF(S503 + Y502 &lt; 0, S503 + Y502, 0)</f>
        <v>0</v>
      </c>
      <c r="Z503" s="1">
        <f>IF(T503 + Z502 &lt; 0, T503 + Z502, 0)</f>
        <v>0</v>
      </c>
      <c r="AA503" s="1">
        <f>IF(U503 + AA502 &lt; 0, U503 + AA502, 0)</f>
        <v>0</v>
      </c>
      <c r="AB503" s="1">
        <f>IF(AA503 &lt; 0, 1 + AB502, 0)</f>
        <v>0</v>
      </c>
      <c r="AC503" s="1">
        <f>IF(H503&lt;0,1,0)</f>
        <v>0</v>
      </c>
      <c r="AD503" s="1">
        <f>IF(AC503=1,H503,0)</f>
        <v>0</v>
      </c>
      <c r="AE503" s="1">
        <f>IF(H503&gt;0,1,0)</f>
        <v>0</v>
      </c>
      <c r="AF503" s="1">
        <f>IF(AE503=1,H503,0)</f>
        <v>0</v>
      </c>
      <c r="AG503" s="1">
        <f>IF(AD503&lt;-20000000.0/100,1,0)</f>
        <v>0</v>
      </c>
      <c r="AH503" s="1">
        <f>IF(AF503&gt;20000000.0/100,1,0)</f>
        <v>0</v>
      </c>
      <c r="AI503" s="1">
        <f>IF(U503&lt;0,1,0)</f>
        <v>0</v>
      </c>
      <c r="AJ503" s="1">
        <f>IF(AI503=1,U503,0)</f>
        <v>0</v>
      </c>
      <c r="AK503" s="1">
        <f>IF(U503&gt;0,1,0)</f>
        <v>0</v>
      </c>
      <c r="AL503" s="1">
        <f>IF(AK503=1,U503,0)</f>
        <v>0</v>
      </c>
      <c r="AM503" s="1">
        <f>IF(AJ503&lt;-20000000.0/100,1,0)</f>
        <v>0</v>
      </c>
      <c r="AN503" s="1">
        <f>IF(AL503&gt;20000000.0/100,1,0)</f>
        <v>0</v>
      </c>
    </row>
    <row r="504" spans="1:40" s="1" customFormat="1">
      <c r="A504" s="3">
        <v>46035</v>
      </c>
      <c r="B504" s="2" t="s">
        <v>23</v>
      </c>
      <c r="C504" s="1">
        <f>SUM(PL!H504:J504)</f>
        <v>0</v>
      </c>
      <c r="D504" s="1">
        <f>SUM(PL!K504:M504)</f>
        <v>0</v>
      </c>
      <c r="E504" s="1">
        <f>SUM(PL!N504:P504)</f>
        <v>0</v>
      </c>
      <c r="F504" s="1">
        <f>SUM(PL!Q504:S504)</f>
        <v>0</v>
      </c>
      <c r="G504" s="1">
        <f>SUM(PL!T504:V504)</f>
        <v>0</v>
      </c>
      <c r="H504" s="1">
        <f>SUM(C504:G504)</f>
        <v>0</v>
      </c>
      <c r="I504" s="1">
        <f>IF(C504 + I503 &lt; 0, C504 + I503, 0)</f>
        <v>0</v>
      </c>
      <c r="J504" s="1">
        <f>IF(D504 + J503 &lt; 0, D504 + J503, 0)</f>
        <v>0</v>
      </c>
      <c r="K504" s="1">
        <f>IF(E504 + K503 &lt; 0, E504 + K503, 0)</f>
        <v>0</v>
      </c>
      <c r="L504" s="1">
        <f>IF(F504 + L503 &lt; 0, F504 + L503, 0)</f>
        <v>0</v>
      </c>
      <c r="M504" s="1">
        <f>IF(G504 + M503 &lt; 0, G504 + M503, 0)</f>
        <v>0</v>
      </c>
      <c r="N504" s="1">
        <f>IF(H504 + N503 &lt; 0, H504 + N503, 0)</f>
        <v>0</v>
      </c>
      <c r="O504" s="1">
        <f>IF(N504 &lt; 0, 1 + O503, 0)</f>
        <v>0</v>
      </c>
      <c r="P504" s="1">
        <f>C504-((ABS(SUM(PL!H504:J504)))*0.125)</f>
        <v>0</v>
      </c>
      <c r="Q504" s="1">
        <f>D504-((ABS(SUM(PL!K504:M504)))*0.125)</f>
        <v>0</v>
      </c>
      <c r="R504" s="1">
        <f>E504-((ABS(SUM(PL!N504:P504)))*0.125)</f>
        <v>0</v>
      </c>
      <c r="S504" s="1">
        <f>F504-((ABS(SUM(PL!Q504:S504)))*0.125)</f>
        <v>0</v>
      </c>
      <c r="T504" s="1">
        <f>G504-((ABS(SUM(PL!T504:V504)))*0.125)</f>
        <v>0</v>
      </c>
      <c r="U504" s="1">
        <f>P504 + Q504 + R504 + S504 + T504</f>
        <v>0</v>
      </c>
      <c r="V504" s="1">
        <f>IF(P504 + V503 &lt; 0, P504 + V503, 0)</f>
        <v>0</v>
      </c>
      <c r="W504" s="1">
        <f>IF(Q504 + W503 &lt; 0, Q504 + W503, 0)</f>
        <v>0</v>
      </c>
      <c r="X504" s="1">
        <f>IF(R504 + X503 &lt; 0, R504 + X503, 0)</f>
        <v>0</v>
      </c>
      <c r="Y504" s="1">
        <f>IF(S504 + Y503 &lt; 0, S504 + Y503, 0)</f>
        <v>0</v>
      </c>
      <c r="Z504" s="1">
        <f>IF(T504 + Z503 &lt; 0, T504 + Z503, 0)</f>
        <v>0</v>
      </c>
      <c r="AA504" s="1">
        <f>IF(U504 + AA503 &lt; 0, U504 + AA503, 0)</f>
        <v>0</v>
      </c>
      <c r="AB504" s="1">
        <f>IF(AA504 &lt; 0, 1 + AB503, 0)</f>
        <v>0</v>
      </c>
      <c r="AC504" s="1">
        <f>IF(H504&lt;0,1,0)</f>
        <v>0</v>
      </c>
      <c r="AD504" s="1">
        <f>IF(AC504=1,H504,0)</f>
        <v>0</v>
      </c>
      <c r="AE504" s="1">
        <f>IF(H504&gt;0,1,0)</f>
        <v>0</v>
      </c>
      <c r="AF504" s="1">
        <f>IF(AE504=1,H504,0)</f>
        <v>0</v>
      </c>
      <c r="AG504" s="1">
        <f>IF(AD504&lt;-20000000.0/100,1,0)</f>
        <v>0</v>
      </c>
      <c r="AH504" s="1">
        <f>IF(AF504&gt;20000000.0/100,1,0)</f>
        <v>0</v>
      </c>
      <c r="AI504" s="1">
        <f>IF(U504&lt;0,1,0)</f>
        <v>0</v>
      </c>
      <c r="AJ504" s="1">
        <f>IF(AI504=1,U504,0)</f>
        <v>0</v>
      </c>
      <c r="AK504" s="1">
        <f>IF(U504&gt;0,1,0)</f>
        <v>0</v>
      </c>
      <c r="AL504" s="1">
        <f>IF(AK504=1,U504,0)</f>
        <v>0</v>
      </c>
      <c r="AM504" s="1">
        <f>IF(AJ504&lt;-20000000.0/100,1,0)</f>
        <v>0</v>
      </c>
      <c r="AN504" s="1">
        <f>IF(AL504&gt;20000000.0/100,1,0)</f>
        <v>0</v>
      </c>
    </row>
    <row r="505" spans="1:40" s="1" customFormat="1">
      <c r="A505" s="3">
        <v>46036</v>
      </c>
      <c r="B505" s="2" t="s">
        <v>24</v>
      </c>
      <c r="C505" s="1">
        <f>SUM(PL!H505:J505)</f>
        <v>0</v>
      </c>
      <c r="D505" s="1">
        <f>SUM(PL!K505:M505)</f>
        <v>0</v>
      </c>
      <c r="E505" s="1">
        <f>SUM(PL!N505:P505)</f>
        <v>0</v>
      </c>
      <c r="F505" s="1">
        <f>SUM(PL!Q505:S505)</f>
        <v>0</v>
      </c>
      <c r="G505" s="1">
        <f>SUM(PL!T505:V505)</f>
        <v>0</v>
      </c>
      <c r="H505" s="1">
        <f>SUM(C505:G505)</f>
        <v>0</v>
      </c>
      <c r="I505" s="1">
        <f>IF(C505 + I504 &lt; 0, C505 + I504, 0)</f>
        <v>0</v>
      </c>
      <c r="J505" s="1">
        <f>IF(D505 + J504 &lt; 0, D505 + J504, 0)</f>
        <v>0</v>
      </c>
      <c r="K505" s="1">
        <f>IF(E505 + K504 &lt; 0, E505 + K504, 0)</f>
        <v>0</v>
      </c>
      <c r="L505" s="1">
        <f>IF(F505 + L504 &lt; 0, F505 + L504, 0)</f>
        <v>0</v>
      </c>
      <c r="M505" s="1">
        <f>IF(G505 + M504 &lt; 0, G505 + M504, 0)</f>
        <v>0</v>
      </c>
      <c r="N505" s="1">
        <f>IF(H505 + N504 &lt; 0, H505 + N504, 0)</f>
        <v>0</v>
      </c>
      <c r="O505" s="1">
        <f>IF(N505 &lt; 0, 1 + O504, 0)</f>
        <v>0</v>
      </c>
      <c r="P505" s="1">
        <f>C505-((ABS(SUM(PL!H505:J505)))*0.125)</f>
        <v>0</v>
      </c>
      <c r="Q505" s="1">
        <f>D505-((ABS(SUM(PL!K505:M505)))*0.125)</f>
        <v>0</v>
      </c>
      <c r="R505" s="1">
        <f>E505-((ABS(SUM(PL!N505:P505)))*0.125)</f>
        <v>0</v>
      </c>
      <c r="S505" s="1">
        <f>F505-((ABS(SUM(PL!Q505:S505)))*0.125)</f>
        <v>0</v>
      </c>
      <c r="T505" s="1">
        <f>G505-((ABS(SUM(PL!T505:V505)))*0.125)</f>
        <v>0</v>
      </c>
      <c r="U505" s="1">
        <f>P505 + Q505 + R505 + S505 + T505</f>
        <v>0</v>
      </c>
      <c r="V505" s="1">
        <f>IF(P505 + V504 &lt; 0, P505 + V504, 0)</f>
        <v>0</v>
      </c>
      <c r="W505" s="1">
        <f>IF(Q505 + W504 &lt; 0, Q505 + W504, 0)</f>
        <v>0</v>
      </c>
      <c r="X505" s="1">
        <f>IF(R505 + X504 &lt; 0, R505 + X504, 0)</f>
        <v>0</v>
      </c>
      <c r="Y505" s="1">
        <f>IF(S505 + Y504 &lt; 0, S505 + Y504, 0)</f>
        <v>0</v>
      </c>
      <c r="Z505" s="1">
        <f>IF(T505 + Z504 &lt; 0, T505 + Z504, 0)</f>
        <v>0</v>
      </c>
      <c r="AA505" s="1">
        <f>IF(U505 + AA504 &lt; 0, U505 + AA504, 0)</f>
        <v>0</v>
      </c>
      <c r="AB505" s="1">
        <f>IF(AA505 &lt; 0, 1 + AB504, 0)</f>
        <v>0</v>
      </c>
      <c r="AC505" s="1">
        <f>IF(H505&lt;0,1,0)</f>
        <v>0</v>
      </c>
      <c r="AD505" s="1">
        <f>IF(AC505=1,H505,0)</f>
        <v>0</v>
      </c>
      <c r="AE505" s="1">
        <f>IF(H505&gt;0,1,0)</f>
        <v>0</v>
      </c>
      <c r="AF505" s="1">
        <f>IF(AE505=1,H505,0)</f>
        <v>0</v>
      </c>
      <c r="AG505" s="1">
        <f>IF(AD505&lt;-20000000.0/100,1,0)</f>
        <v>0</v>
      </c>
      <c r="AH505" s="1">
        <f>IF(AF505&gt;20000000.0/100,1,0)</f>
        <v>0</v>
      </c>
      <c r="AI505" s="1">
        <f>IF(U505&lt;0,1,0)</f>
        <v>0</v>
      </c>
      <c r="AJ505" s="1">
        <f>IF(AI505=1,U505,0)</f>
        <v>0</v>
      </c>
      <c r="AK505" s="1">
        <f>IF(U505&gt;0,1,0)</f>
        <v>0</v>
      </c>
      <c r="AL505" s="1">
        <f>IF(AK505=1,U505,0)</f>
        <v>0</v>
      </c>
      <c r="AM505" s="1">
        <f>IF(AJ505&lt;-20000000.0/100,1,0)</f>
        <v>0</v>
      </c>
      <c r="AN505" s="1">
        <f>IF(AL505&gt;20000000.0/100,1,0)</f>
        <v>0</v>
      </c>
    </row>
    <row r="506" spans="1:40" s="1" customFormat="1">
      <c r="A506" s="3">
        <v>46038</v>
      </c>
      <c r="B506" s="2" t="s">
        <v>26</v>
      </c>
      <c r="C506" s="1">
        <f>SUM(PL!H506:J506)</f>
        <v>0</v>
      </c>
      <c r="D506" s="1">
        <f>SUM(PL!K506:M506)</f>
        <v>0</v>
      </c>
      <c r="E506" s="1">
        <f>SUM(PL!N506:P506)</f>
        <v>0</v>
      </c>
      <c r="F506" s="1">
        <f>SUM(PL!Q506:S506)</f>
        <v>0</v>
      </c>
      <c r="G506" s="1">
        <f>SUM(PL!T506:V506)</f>
        <v>0</v>
      </c>
      <c r="H506" s="1">
        <f>SUM(C506:G506)</f>
        <v>0</v>
      </c>
      <c r="I506" s="1">
        <f>IF(C506 + I505 &lt; 0, C506 + I505, 0)</f>
        <v>0</v>
      </c>
      <c r="J506" s="1">
        <f>IF(D506 + J505 &lt; 0, D506 + J505, 0)</f>
        <v>0</v>
      </c>
      <c r="K506" s="1">
        <f>IF(E506 + K505 &lt; 0, E506 + K505, 0)</f>
        <v>0</v>
      </c>
      <c r="L506" s="1">
        <f>IF(F506 + L505 &lt; 0, F506 + L505, 0)</f>
        <v>0</v>
      </c>
      <c r="M506" s="1">
        <f>IF(G506 + M505 &lt; 0, G506 + M505, 0)</f>
        <v>0</v>
      </c>
      <c r="N506" s="1">
        <f>IF(H506 + N505 &lt; 0, H506 + N505, 0)</f>
        <v>0</v>
      </c>
      <c r="O506" s="1">
        <f>IF(N506 &lt; 0, 1 + O505, 0)</f>
        <v>0</v>
      </c>
      <c r="P506" s="1">
        <f>C506-((ABS(SUM(PL!H506:J506)))*0.125)</f>
        <v>0</v>
      </c>
      <c r="Q506" s="1">
        <f>D506-((ABS(SUM(PL!K506:M506)))*0.125)</f>
        <v>0</v>
      </c>
      <c r="R506" s="1">
        <f>E506-((ABS(SUM(PL!N506:P506)))*0.125)</f>
        <v>0</v>
      </c>
      <c r="S506" s="1">
        <f>F506-((ABS(SUM(PL!Q506:S506)))*0.125)</f>
        <v>0</v>
      </c>
      <c r="T506" s="1">
        <f>G506-((ABS(SUM(PL!T506:V506)))*0.125)</f>
        <v>0</v>
      </c>
      <c r="U506" s="1">
        <f>P506 + Q506 + R506 + S506 + T506</f>
        <v>0</v>
      </c>
      <c r="V506" s="1">
        <f>IF(P506 + V505 &lt; 0, P506 + V505, 0)</f>
        <v>0</v>
      </c>
      <c r="W506" s="1">
        <f>IF(Q506 + W505 &lt; 0, Q506 + W505, 0)</f>
        <v>0</v>
      </c>
      <c r="X506" s="1">
        <f>IF(R506 + X505 &lt; 0, R506 + X505, 0)</f>
        <v>0</v>
      </c>
      <c r="Y506" s="1">
        <f>IF(S506 + Y505 &lt; 0, S506 + Y505, 0)</f>
        <v>0</v>
      </c>
      <c r="Z506" s="1">
        <f>IF(T506 + Z505 &lt; 0, T506 + Z505, 0)</f>
        <v>0</v>
      </c>
      <c r="AA506" s="1">
        <f>IF(U506 + AA505 &lt; 0, U506 + AA505, 0)</f>
        <v>0</v>
      </c>
      <c r="AB506" s="1">
        <f>IF(AA506 &lt; 0, 1 + AB505, 0)</f>
        <v>0</v>
      </c>
      <c r="AC506" s="1">
        <f>IF(H506&lt;0,1,0)</f>
        <v>0</v>
      </c>
      <c r="AD506" s="1">
        <f>IF(AC506=1,H506,0)</f>
        <v>0</v>
      </c>
      <c r="AE506" s="1">
        <f>IF(H506&gt;0,1,0)</f>
        <v>0</v>
      </c>
      <c r="AF506" s="1">
        <f>IF(AE506=1,H506,0)</f>
        <v>0</v>
      </c>
      <c r="AG506" s="1">
        <f>IF(AD506&lt;-20000000.0/100,1,0)</f>
        <v>0</v>
      </c>
      <c r="AH506" s="1">
        <f>IF(AF506&gt;20000000.0/100,1,0)</f>
        <v>0</v>
      </c>
      <c r="AI506" s="1">
        <f>IF(U506&lt;0,1,0)</f>
        <v>0</v>
      </c>
      <c r="AJ506" s="1">
        <f>IF(AI506=1,U506,0)</f>
        <v>0</v>
      </c>
      <c r="AK506" s="1">
        <f>IF(U506&gt;0,1,0)</f>
        <v>0</v>
      </c>
      <c r="AL506" s="1">
        <f>IF(AK506=1,U506,0)</f>
        <v>0</v>
      </c>
      <c r="AM506" s="1">
        <f>IF(AJ506&lt;-20000000.0/100,1,0)</f>
        <v>0</v>
      </c>
      <c r="AN506" s="1">
        <f>IF(AL506&gt;20000000.0/100,1,0)</f>
        <v>0</v>
      </c>
    </row>
    <row r="507" spans="1:40" s="1" customFormat="1">
      <c r="A507" s="3">
        <v>46041</v>
      </c>
      <c r="B507" s="2" t="s">
        <v>22</v>
      </c>
      <c r="C507" s="1">
        <f>SUM(PL!H507:J507)</f>
        <v>0</v>
      </c>
      <c r="D507" s="1">
        <f>SUM(PL!K507:M507)</f>
        <v>0</v>
      </c>
      <c r="E507" s="1">
        <f>SUM(PL!N507:P507)</f>
        <v>0</v>
      </c>
      <c r="F507" s="1">
        <f>SUM(PL!Q507:S507)</f>
        <v>0</v>
      </c>
      <c r="G507" s="1">
        <f>SUM(PL!T507:V507)</f>
        <v>0</v>
      </c>
      <c r="H507" s="1">
        <f>SUM(C507:G507)</f>
        <v>0</v>
      </c>
      <c r="I507" s="1">
        <f>IF(C507 + I506 &lt; 0, C507 + I506, 0)</f>
        <v>0</v>
      </c>
      <c r="J507" s="1">
        <f>IF(D507 + J506 &lt; 0, D507 + J506, 0)</f>
        <v>0</v>
      </c>
      <c r="K507" s="1">
        <f>IF(E507 + K506 &lt; 0, E507 + K506, 0)</f>
        <v>0</v>
      </c>
      <c r="L507" s="1">
        <f>IF(F507 + L506 &lt; 0, F507 + L506, 0)</f>
        <v>0</v>
      </c>
      <c r="M507" s="1">
        <f>IF(G507 + M506 &lt; 0, G507 + M506, 0)</f>
        <v>0</v>
      </c>
      <c r="N507" s="1">
        <f>IF(H507 + N506 &lt; 0, H507 + N506, 0)</f>
        <v>0</v>
      </c>
      <c r="O507" s="1">
        <f>IF(N507 &lt; 0, 1 + O506, 0)</f>
        <v>0</v>
      </c>
      <c r="P507" s="1">
        <f>C507-((ABS(SUM(PL!H507:J507)))*0.125)</f>
        <v>0</v>
      </c>
      <c r="Q507" s="1">
        <f>D507-((ABS(SUM(PL!K507:M507)))*0.125)</f>
        <v>0</v>
      </c>
      <c r="R507" s="1">
        <f>E507-((ABS(SUM(PL!N507:P507)))*0.125)</f>
        <v>0</v>
      </c>
      <c r="S507" s="1">
        <f>F507-((ABS(SUM(PL!Q507:S507)))*0.125)</f>
        <v>0</v>
      </c>
      <c r="T507" s="1">
        <f>G507-((ABS(SUM(PL!T507:V507)))*0.125)</f>
        <v>0</v>
      </c>
      <c r="U507" s="1">
        <f>P507 + Q507 + R507 + S507 + T507</f>
        <v>0</v>
      </c>
      <c r="V507" s="1">
        <f>IF(P507 + V506 &lt; 0, P507 + V506, 0)</f>
        <v>0</v>
      </c>
      <c r="W507" s="1">
        <f>IF(Q507 + W506 &lt; 0, Q507 + W506, 0)</f>
        <v>0</v>
      </c>
      <c r="X507" s="1">
        <f>IF(R507 + X506 &lt; 0, R507 + X506, 0)</f>
        <v>0</v>
      </c>
      <c r="Y507" s="1">
        <f>IF(S507 + Y506 &lt; 0, S507 + Y506, 0)</f>
        <v>0</v>
      </c>
      <c r="Z507" s="1">
        <f>IF(T507 + Z506 &lt; 0, T507 + Z506, 0)</f>
        <v>0</v>
      </c>
      <c r="AA507" s="1">
        <f>IF(U507 + AA506 &lt; 0, U507 + AA506, 0)</f>
        <v>0</v>
      </c>
      <c r="AB507" s="1">
        <f>IF(AA507 &lt; 0, 1 + AB506, 0)</f>
        <v>0</v>
      </c>
      <c r="AC507" s="1">
        <f>IF(H507&lt;0,1,0)</f>
        <v>0</v>
      </c>
      <c r="AD507" s="1">
        <f>IF(AC507=1,H507,0)</f>
        <v>0</v>
      </c>
      <c r="AE507" s="1">
        <f>IF(H507&gt;0,1,0)</f>
        <v>0</v>
      </c>
      <c r="AF507" s="1">
        <f>IF(AE507=1,H507,0)</f>
        <v>0</v>
      </c>
      <c r="AG507" s="1">
        <f>IF(AD507&lt;-20000000.0/100,1,0)</f>
        <v>0</v>
      </c>
      <c r="AH507" s="1">
        <f>IF(AF507&gt;20000000.0/100,1,0)</f>
        <v>0</v>
      </c>
      <c r="AI507" s="1">
        <f>IF(U507&lt;0,1,0)</f>
        <v>0</v>
      </c>
      <c r="AJ507" s="1">
        <f>IF(AI507=1,U507,0)</f>
        <v>0</v>
      </c>
      <c r="AK507" s="1">
        <f>IF(U507&gt;0,1,0)</f>
        <v>0</v>
      </c>
      <c r="AL507" s="1">
        <f>IF(AK507=1,U507,0)</f>
        <v>0</v>
      </c>
      <c r="AM507" s="1">
        <f>IF(AJ507&lt;-20000000.0/100,1,0)</f>
        <v>0</v>
      </c>
      <c r="AN507" s="1">
        <f>IF(AL507&gt;20000000.0/100,1,0)</f>
        <v>0</v>
      </c>
    </row>
    <row r="508" spans="1:40" s="1" customFormat="1">
      <c r="A508" s="3">
        <v>46042</v>
      </c>
      <c r="B508" s="2" t="s">
        <v>23</v>
      </c>
      <c r="C508" s="1">
        <f>SUM(PL!H508:J508)</f>
        <v>0</v>
      </c>
      <c r="D508" s="1">
        <f>SUM(PL!K508:M508)</f>
        <v>0</v>
      </c>
      <c r="E508" s="1">
        <f>SUM(PL!N508:P508)</f>
        <v>0</v>
      </c>
      <c r="F508" s="1">
        <f>SUM(PL!Q508:S508)</f>
        <v>0</v>
      </c>
      <c r="G508" s="1">
        <f>SUM(PL!T508:V508)</f>
        <v>0</v>
      </c>
      <c r="H508" s="1">
        <f>SUM(C508:G508)</f>
        <v>0</v>
      </c>
      <c r="I508" s="1">
        <f>IF(C508 + I507 &lt; 0, C508 + I507, 0)</f>
        <v>0</v>
      </c>
      <c r="J508" s="1">
        <f>IF(D508 + J507 &lt; 0, D508 + J507, 0)</f>
        <v>0</v>
      </c>
      <c r="K508" s="1">
        <f>IF(E508 + K507 &lt; 0, E508 + K507, 0)</f>
        <v>0</v>
      </c>
      <c r="L508" s="1">
        <f>IF(F508 + L507 &lt; 0, F508 + L507, 0)</f>
        <v>0</v>
      </c>
      <c r="M508" s="1">
        <f>IF(G508 + M507 &lt; 0, G508 + M507, 0)</f>
        <v>0</v>
      </c>
      <c r="N508" s="1">
        <f>IF(H508 + N507 &lt; 0, H508 + N507, 0)</f>
        <v>0</v>
      </c>
      <c r="O508" s="1">
        <f>IF(N508 &lt; 0, 1 + O507, 0)</f>
        <v>0</v>
      </c>
      <c r="P508" s="1">
        <f>C508-((ABS(SUM(PL!H508:J508)))*0.125)</f>
        <v>0</v>
      </c>
      <c r="Q508" s="1">
        <f>D508-((ABS(SUM(PL!K508:M508)))*0.125)</f>
        <v>0</v>
      </c>
      <c r="R508" s="1">
        <f>E508-((ABS(SUM(PL!N508:P508)))*0.125)</f>
        <v>0</v>
      </c>
      <c r="S508" s="1">
        <f>F508-((ABS(SUM(PL!Q508:S508)))*0.125)</f>
        <v>0</v>
      </c>
      <c r="T508" s="1">
        <f>G508-((ABS(SUM(PL!T508:V508)))*0.125)</f>
        <v>0</v>
      </c>
      <c r="U508" s="1">
        <f>P508 + Q508 + R508 + S508 + T508</f>
        <v>0</v>
      </c>
      <c r="V508" s="1">
        <f>IF(P508 + V507 &lt; 0, P508 + V507, 0)</f>
        <v>0</v>
      </c>
      <c r="W508" s="1">
        <f>IF(Q508 + W507 &lt; 0, Q508 + W507, 0)</f>
        <v>0</v>
      </c>
      <c r="X508" s="1">
        <f>IF(R508 + X507 &lt; 0, R508 + X507, 0)</f>
        <v>0</v>
      </c>
      <c r="Y508" s="1">
        <f>IF(S508 + Y507 &lt; 0, S508 + Y507, 0)</f>
        <v>0</v>
      </c>
      <c r="Z508" s="1">
        <f>IF(T508 + Z507 &lt; 0, T508 + Z507, 0)</f>
        <v>0</v>
      </c>
      <c r="AA508" s="1">
        <f>IF(U508 + AA507 &lt; 0, U508 + AA507, 0)</f>
        <v>0</v>
      </c>
      <c r="AB508" s="1">
        <f>IF(AA508 &lt; 0, 1 + AB507, 0)</f>
        <v>0</v>
      </c>
      <c r="AC508" s="1">
        <f>IF(H508&lt;0,1,0)</f>
        <v>0</v>
      </c>
      <c r="AD508" s="1">
        <f>IF(AC508=1,H508,0)</f>
        <v>0</v>
      </c>
      <c r="AE508" s="1">
        <f>IF(H508&gt;0,1,0)</f>
        <v>0</v>
      </c>
      <c r="AF508" s="1">
        <f>IF(AE508=1,H508,0)</f>
        <v>0</v>
      </c>
      <c r="AG508" s="1">
        <f>IF(AD508&lt;-20000000.0/100,1,0)</f>
        <v>0</v>
      </c>
      <c r="AH508" s="1">
        <f>IF(AF508&gt;20000000.0/100,1,0)</f>
        <v>0</v>
      </c>
      <c r="AI508" s="1">
        <f>IF(U508&lt;0,1,0)</f>
        <v>0</v>
      </c>
      <c r="AJ508" s="1">
        <f>IF(AI508=1,U508,0)</f>
        <v>0</v>
      </c>
      <c r="AK508" s="1">
        <f>IF(U508&gt;0,1,0)</f>
        <v>0</v>
      </c>
      <c r="AL508" s="1">
        <f>IF(AK508=1,U508,0)</f>
        <v>0</v>
      </c>
      <c r="AM508" s="1">
        <f>IF(AJ508&lt;-20000000.0/100,1,0)</f>
        <v>0</v>
      </c>
      <c r="AN508" s="1">
        <f>IF(AL508&gt;20000000.0/100,1,0)</f>
        <v>0</v>
      </c>
    </row>
    <row r="509" spans="1:40" s="1" customFormat="1">
      <c r="A509" s="3">
        <v>46043</v>
      </c>
      <c r="B509" s="2" t="s">
        <v>24</v>
      </c>
      <c r="C509" s="1">
        <f>SUM(PL!H509:J509)</f>
        <v>0</v>
      </c>
      <c r="D509" s="1">
        <f>SUM(PL!K509:M509)</f>
        <v>0</v>
      </c>
      <c r="E509" s="1">
        <f>SUM(PL!N509:P509)</f>
        <v>0</v>
      </c>
      <c r="F509" s="1">
        <f>SUM(PL!Q509:S509)</f>
        <v>0</v>
      </c>
      <c r="G509" s="1">
        <f>SUM(PL!T509:V509)</f>
        <v>0</v>
      </c>
      <c r="H509" s="1">
        <f>SUM(C509:G509)</f>
        <v>0</v>
      </c>
      <c r="I509" s="1">
        <f>IF(C509 + I508 &lt; 0, C509 + I508, 0)</f>
        <v>0</v>
      </c>
      <c r="J509" s="1">
        <f>IF(D509 + J508 &lt; 0, D509 + J508, 0)</f>
        <v>0</v>
      </c>
      <c r="K509" s="1">
        <f>IF(E509 + K508 &lt; 0, E509 + K508, 0)</f>
        <v>0</v>
      </c>
      <c r="L509" s="1">
        <f>IF(F509 + L508 &lt; 0, F509 + L508, 0)</f>
        <v>0</v>
      </c>
      <c r="M509" s="1">
        <f>IF(G509 + M508 &lt; 0, G509 + M508, 0)</f>
        <v>0</v>
      </c>
      <c r="N509" s="1">
        <f>IF(H509 + N508 &lt; 0, H509 + N508, 0)</f>
        <v>0</v>
      </c>
      <c r="O509" s="1">
        <f>IF(N509 &lt; 0, 1 + O508, 0)</f>
        <v>0</v>
      </c>
      <c r="P509" s="1">
        <f>C509-((ABS(SUM(PL!H509:J509)))*0.125)</f>
        <v>0</v>
      </c>
      <c r="Q509" s="1">
        <f>D509-((ABS(SUM(PL!K509:M509)))*0.125)</f>
        <v>0</v>
      </c>
      <c r="R509" s="1">
        <f>E509-((ABS(SUM(PL!N509:P509)))*0.125)</f>
        <v>0</v>
      </c>
      <c r="S509" s="1">
        <f>F509-((ABS(SUM(PL!Q509:S509)))*0.125)</f>
        <v>0</v>
      </c>
      <c r="T509" s="1">
        <f>G509-((ABS(SUM(PL!T509:V509)))*0.125)</f>
        <v>0</v>
      </c>
      <c r="U509" s="1">
        <f>P509 + Q509 + R509 + S509 + T509</f>
        <v>0</v>
      </c>
      <c r="V509" s="1">
        <f>IF(P509 + V508 &lt; 0, P509 + V508, 0)</f>
        <v>0</v>
      </c>
      <c r="W509" s="1">
        <f>IF(Q509 + W508 &lt; 0, Q509 + W508, 0)</f>
        <v>0</v>
      </c>
      <c r="X509" s="1">
        <f>IF(R509 + X508 &lt; 0, R509 + X508, 0)</f>
        <v>0</v>
      </c>
      <c r="Y509" s="1">
        <f>IF(S509 + Y508 &lt; 0, S509 + Y508, 0)</f>
        <v>0</v>
      </c>
      <c r="Z509" s="1">
        <f>IF(T509 + Z508 &lt; 0, T509 + Z508, 0)</f>
        <v>0</v>
      </c>
      <c r="AA509" s="1">
        <f>IF(U509 + AA508 &lt; 0, U509 + AA508, 0)</f>
        <v>0</v>
      </c>
      <c r="AB509" s="1">
        <f>IF(AA509 &lt; 0, 1 + AB508, 0)</f>
        <v>0</v>
      </c>
      <c r="AC509" s="1">
        <f>IF(H509&lt;0,1,0)</f>
        <v>0</v>
      </c>
      <c r="AD509" s="1">
        <f>IF(AC509=1,H509,0)</f>
        <v>0</v>
      </c>
      <c r="AE509" s="1">
        <f>IF(H509&gt;0,1,0)</f>
        <v>0</v>
      </c>
      <c r="AF509" s="1">
        <f>IF(AE509=1,H509,0)</f>
        <v>0</v>
      </c>
      <c r="AG509" s="1">
        <f>IF(AD509&lt;-20000000.0/100,1,0)</f>
        <v>0</v>
      </c>
      <c r="AH509" s="1">
        <f>IF(AF509&gt;20000000.0/100,1,0)</f>
        <v>0</v>
      </c>
      <c r="AI509" s="1">
        <f>IF(U509&lt;0,1,0)</f>
        <v>0</v>
      </c>
      <c r="AJ509" s="1">
        <f>IF(AI509=1,U509,0)</f>
        <v>0</v>
      </c>
      <c r="AK509" s="1">
        <f>IF(U509&gt;0,1,0)</f>
        <v>0</v>
      </c>
      <c r="AL509" s="1">
        <f>IF(AK509=1,U509,0)</f>
        <v>0</v>
      </c>
      <c r="AM509" s="1">
        <f>IF(AJ509&lt;-20000000.0/100,1,0)</f>
        <v>0</v>
      </c>
      <c r="AN509" s="1">
        <f>IF(AL509&gt;20000000.0/100,1,0)</f>
        <v>0</v>
      </c>
    </row>
    <row r="510" spans="1:40" s="1" customFormat="1">
      <c r="A510" s="3">
        <v>46044</v>
      </c>
      <c r="B510" s="2" t="s">
        <v>25</v>
      </c>
      <c r="C510" s="1">
        <f>SUM(PL!H510:J510)</f>
        <v>0</v>
      </c>
      <c r="D510" s="1">
        <f>SUM(PL!K510:M510)</f>
        <v>0</v>
      </c>
      <c r="E510" s="1">
        <f>SUM(PL!N510:P510)</f>
        <v>0</v>
      </c>
      <c r="F510" s="1">
        <f>SUM(PL!Q510:S510)</f>
        <v>0</v>
      </c>
      <c r="G510" s="1">
        <f>SUM(PL!T510:V510)</f>
        <v>0</v>
      </c>
      <c r="H510" s="1">
        <f>SUM(C510:G510)</f>
        <v>0</v>
      </c>
      <c r="I510" s="1">
        <f>IF(C510 + I509 &lt; 0, C510 + I509, 0)</f>
        <v>0</v>
      </c>
      <c r="J510" s="1">
        <f>IF(D510 + J509 &lt; 0, D510 + J509, 0)</f>
        <v>0</v>
      </c>
      <c r="K510" s="1">
        <f>IF(E510 + K509 &lt; 0, E510 + K509, 0)</f>
        <v>0</v>
      </c>
      <c r="L510" s="1">
        <f>IF(F510 + L509 &lt; 0, F510 + L509, 0)</f>
        <v>0</v>
      </c>
      <c r="M510" s="1">
        <f>IF(G510 + M509 &lt; 0, G510 + M509, 0)</f>
        <v>0</v>
      </c>
      <c r="N510" s="1">
        <f>IF(H510 + N509 &lt; 0, H510 + N509, 0)</f>
        <v>0</v>
      </c>
      <c r="O510" s="1">
        <f>IF(N510 &lt; 0, 1 + O509, 0)</f>
        <v>0</v>
      </c>
      <c r="P510" s="1">
        <f>C510-((ABS(SUM(PL!H510:J510)))*0.125)</f>
        <v>0</v>
      </c>
      <c r="Q510" s="1">
        <f>D510-((ABS(SUM(PL!K510:M510)))*0.125)</f>
        <v>0</v>
      </c>
      <c r="R510" s="1">
        <f>E510-((ABS(SUM(PL!N510:P510)))*0.125)</f>
        <v>0</v>
      </c>
      <c r="S510" s="1">
        <f>F510-((ABS(SUM(PL!Q510:S510)))*0.125)</f>
        <v>0</v>
      </c>
      <c r="T510" s="1">
        <f>G510-((ABS(SUM(PL!T510:V510)))*0.125)</f>
        <v>0</v>
      </c>
      <c r="U510" s="1">
        <f>P510 + Q510 + R510 + S510 + T510</f>
        <v>0</v>
      </c>
      <c r="V510" s="1">
        <f>IF(P510 + V509 &lt; 0, P510 + V509, 0)</f>
        <v>0</v>
      </c>
      <c r="W510" s="1">
        <f>IF(Q510 + W509 &lt; 0, Q510 + W509, 0)</f>
        <v>0</v>
      </c>
      <c r="X510" s="1">
        <f>IF(R510 + X509 &lt; 0, R510 + X509, 0)</f>
        <v>0</v>
      </c>
      <c r="Y510" s="1">
        <f>IF(S510 + Y509 &lt; 0, S510 + Y509, 0)</f>
        <v>0</v>
      </c>
      <c r="Z510" s="1">
        <f>IF(T510 + Z509 &lt; 0, T510 + Z509, 0)</f>
        <v>0</v>
      </c>
      <c r="AA510" s="1">
        <f>IF(U510 + AA509 &lt; 0, U510 + AA509, 0)</f>
        <v>0</v>
      </c>
      <c r="AB510" s="1">
        <f>IF(AA510 &lt; 0, 1 + AB509, 0)</f>
        <v>0</v>
      </c>
      <c r="AC510" s="1">
        <f>IF(H510&lt;0,1,0)</f>
        <v>0</v>
      </c>
      <c r="AD510" s="1">
        <f>IF(AC510=1,H510,0)</f>
        <v>0</v>
      </c>
      <c r="AE510" s="1">
        <f>IF(H510&gt;0,1,0)</f>
        <v>0</v>
      </c>
      <c r="AF510" s="1">
        <f>IF(AE510=1,H510,0)</f>
        <v>0</v>
      </c>
      <c r="AG510" s="1">
        <f>IF(AD510&lt;-20000000.0/100,1,0)</f>
        <v>0</v>
      </c>
      <c r="AH510" s="1">
        <f>IF(AF510&gt;20000000.0/100,1,0)</f>
        <v>0</v>
      </c>
      <c r="AI510" s="1">
        <f>IF(U510&lt;0,1,0)</f>
        <v>0</v>
      </c>
      <c r="AJ510" s="1">
        <f>IF(AI510=1,U510,0)</f>
        <v>0</v>
      </c>
      <c r="AK510" s="1">
        <f>IF(U510&gt;0,1,0)</f>
        <v>0</v>
      </c>
      <c r="AL510" s="1">
        <f>IF(AK510=1,U510,0)</f>
        <v>0</v>
      </c>
      <c r="AM510" s="1">
        <f>IF(AJ510&lt;-20000000.0/100,1,0)</f>
        <v>0</v>
      </c>
      <c r="AN510" s="1">
        <f>IF(AL510&gt;20000000.0/100,1,0)</f>
        <v>0</v>
      </c>
    </row>
    <row r="511" spans="1:40" s="1" customFormat="1">
      <c r="A511" s="2" t="s">
        <v>97</v>
      </c>
      <c r="B511" s="2"/>
      <c r="C511" s="1">
        <f>SUM(C2:C510)</f>
        <v>0</v>
      </c>
      <c r="D511" s="1">
        <f>SUM(D2:D510)</f>
        <v>0</v>
      </c>
      <c r="E511" s="1">
        <f>SUM(E2:E510)</f>
        <v>0</v>
      </c>
      <c r="F511" s="1">
        <f>SUM(F2:F510)</f>
        <v>0</v>
      </c>
      <c r="G511" s="1">
        <f>SUM(G2:G510)</f>
        <v>0</v>
      </c>
      <c r="H511" s="1">
        <f>SUM(H2:H510)</f>
        <v>0</v>
      </c>
      <c r="I511" s="1">
        <f>MIN(I2:I510)</f>
        <v>0</v>
      </c>
      <c r="J511" s="1">
        <f>MIN(J2:J510)</f>
        <v>0</v>
      </c>
      <c r="K511" s="1">
        <f>MIN(K2:K510)</f>
        <v>0</v>
      </c>
      <c r="L511" s="1">
        <f>MIN(L2:L510)</f>
        <v>0</v>
      </c>
      <c r="M511" s="1">
        <f>MIN(M2:M510)</f>
        <v>0</v>
      </c>
      <c r="N511" s="1">
        <f>MIN(N2:N510)</f>
        <v>0</v>
      </c>
      <c r="O511" s="1">
        <f>MAX(O2:O510)</f>
        <v>0</v>
      </c>
      <c r="P511" s="1">
        <f>SUM(P2:P510)</f>
        <v>0</v>
      </c>
      <c r="Q511" s="1">
        <f>SUM(Q2:Q510)</f>
        <v>0</v>
      </c>
      <c r="R511" s="1">
        <f>SUM(R2:R510)</f>
        <v>0</v>
      </c>
      <c r="S511" s="1">
        <f>SUM(S2:S510)</f>
        <v>0</v>
      </c>
      <c r="T511" s="1">
        <f>SUM(T2:T510)</f>
        <v>0</v>
      </c>
      <c r="U511" s="1">
        <f>SUM(U2:U510)</f>
        <v>0</v>
      </c>
      <c r="V511" s="1">
        <f>MIN(V2:V510)</f>
        <v>0</v>
      </c>
      <c r="W511" s="1">
        <f>MIN(W2:W510)</f>
        <v>0</v>
      </c>
      <c r="X511" s="1">
        <f>MIN(X2:X510)</f>
        <v>0</v>
      </c>
      <c r="Y511" s="1">
        <f>MIN(Y2:Y510)</f>
        <v>0</v>
      </c>
      <c r="Z511" s="1">
        <f>MIN(Z2:Z510)</f>
        <v>0</v>
      </c>
      <c r="AA511" s="1">
        <f>MIN(AA2:AA510)</f>
        <v>0</v>
      </c>
      <c r="AB511" s="1">
        <f>MAX(AB2:AB510)</f>
        <v>0</v>
      </c>
      <c r="AC511" s="1">
        <f>SUM(AC2:AC510)</f>
        <v>0</v>
      </c>
      <c r="AD511" s="1">
        <f>SUM(AD2:AD510)</f>
        <v>0</v>
      </c>
      <c r="AE511" s="1">
        <f>SUM(AE2:AE510)</f>
        <v>0</v>
      </c>
      <c r="AF511" s="1">
        <f>SUM(AF2:AF510)</f>
        <v>0</v>
      </c>
      <c r="AG511" s="1">
        <f>SUM(AG2:AG510)</f>
        <v>0</v>
      </c>
      <c r="AH511" s="1">
        <f>SUM(AH2:AH510)</f>
        <v>0</v>
      </c>
      <c r="AI511" s="1">
        <f>SUM(AI2:AI510)</f>
        <v>0</v>
      </c>
      <c r="AJ511" s="1">
        <f>SUM(AJ2:AJ510)</f>
        <v>0</v>
      </c>
      <c r="AK511" s="1">
        <f>SUM(AK2:AK510)</f>
        <v>0</v>
      </c>
      <c r="AL511" s="1">
        <f>SUM(AL2:AL510)</f>
        <v>0</v>
      </c>
      <c r="AM511" s="1">
        <f>SUM(AM2:AM510)</f>
        <v>0</v>
      </c>
      <c r="AN511" s="1">
        <f>SUM(AN2:AN510)</f>
        <v>0</v>
      </c>
    </row>
    <row r="512" spans="1:40" s="1" customFormat="1">
      <c r="A512" s="2" t="s">
        <v>130</v>
      </c>
      <c r="B512" s="2"/>
      <c r="C512" s="1">
        <v>24.72</v>
      </c>
      <c r="D512" s="1">
        <v>24.72</v>
      </c>
      <c r="E512" s="1">
        <v>24.72</v>
      </c>
      <c r="F512" s="1">
        <v>24.72</v>
      </c>
      <c r="G512" s="1">
        <v>24.72</v>
      </c>
      <c r="P512" s="1">
        <v>24.72</v>
      </c>
      <c r="Q512" s="1">
        <v>24.72</v>
      </c>
      <c r="R512" s="1">
        <v>24.72</v>
      </c>
      <c r="S512" s="1">
        <v>24.72</v>
      </c>
      <c r="T512" s="1">
        <v>24.72</v>
      </c>
      <c r="AD512" s="1">
        <f>AD511/AC511</f>
        <v>0</v>
      </c>
      <c r="AF512" s="1">
        <f>AF511/AE511</f>
        <v>0</v>
      </c>
      <c r="AJ512" s="1">
        <f>AJ511/AI511</f>
        <v>0</v>
      </c>
      <c r="AL512" s="1">
        <f>AL511/AK511</f>
        <v>0</v>
      </c>
    </row>
    <row r="513" spans="1:38" s="1" customFormat="1">
      <c r="A513" s="2" t="s">
        <v>131</v>
      </c>
      <c r="B513" s="2"/>
      <c r="C513" s="1">
        <f>C511/C512</f>
        <v>0</v>
      </c>
      <c r="D513" s="1">
        <f>D511/D512</f>
        <v>0</v>
      </c>
      <c r="E513" s="1">
        <f>E511/E512</f>
        <v>0</v>
      </c>
      <c r="F513" s="1">
        <f>F511/F512</f>
        <v>0</v>
      </c>
      <c r="G513" s="1">
        <f>G511/G512</f>
        <v>0</v>
      </c>
      <c r="H513" s="1">
        <f>C513+D513+E513+F513+G513</f>
        <v>0</v>
      </c>
      <c r="P513" s="1">
        <f>P511/P512</f>
        <v>0</v>
      </c>
      <c r="Q513" s="1">
        <f>Q511/Q512</f>
        <v>0</v>
      </c>
      <c r="R513" s="1">
        <f>R511/R512</f>
        <v>0</v>
      </c>
      <c r="S513" s="1">
        <f>S511/S512</f>
        <v>0</v>
      </c>
      <c r="T513" s="1">
        <f>T511/T512</f>
        <v>0</v>
      </c>
      <c r="U513" s="1">
        <f>P513+Q513+R513+S513+T513</f>
        <v>0</v>
      </c>
      <c r="AF513" s="1">
        <f>AF512/AD512*-1</f>
        <v>0</v>
      </c>
      <c r="AL513" s="1">
        <f>AL512/AJ512*-1</f>
        <v>0</v>
      </c>
    </row>
    <row r="514" spans="1:38" s="1" customFormat="1"/>
    <row r="515" spans="1:38" s="1" customFormat="1"/>
    <row r="516" spans="1:38" s="1" customFormat="1"/>
    <row r="517" spans="1:38" s="1" customFormat="1"/>
    <row r="518" spans="1:38" s="1" customFormat="1"/>
    <row r="519" spans="1:38" s="1" customFormat="1"/>
    <row r="520" spans="1:38" s="1" customFormat="1"/>
    <row r="521" spans="1:38" s="1" customFormat="1"/>
    <row r="522" spans="1:38" s="1" customFormat="1"/>
    <row r="523" spans="1:38" s="1" customFormat="1"/>
    <row r="524" spans="1:38" s="1" customFormat="1"/>
    <row r="525" spans="1:38" s="1" customFormat="1"/>
    <row r="526" spans="1:38" s="1" customFormat="1"/>
    <row r="527" spans="1:38" s="1" customFormat="1"/>
    <row r="528" spans="1:38" s="1" customFormat="1"/>
    <row r="529" s="1" customFormat="1"/>
    <row r="530" s="1" customFormat="1"/>
    <row r="531" s="1" customFormat="1"/>
    <row r="532" s="1" customFormat="1"/>
    <row r="533" s="1" customFormat="1"/>
    <row r="534" s="1" customFormat="1"/>
    <row r="535" s="1" customFormat="1"/>
    <row r="536" s="1" customFormat="1"/>
    <row r="537" s="1" customFormat="1"/>
    <row r="538" s="1" customFormat="1"/>
    <row r="539" s="1" customFormat="1"/>
    <row r="540" s="1" customFormat="1"/>
    <row r="541" s="1" customFormat="1"/>
    <row r="542" s="1" customFormat="1"/>
    <row r="543" s="1" customFormat="1"/>
    <row r="544" s="1" customFormat="1"/>
    <row r="545" s="1" customFormat="1"/>
    <row r="546" s="1" customFormat="1"/>
    <row r="547" s="1" customFormat="1"/>
    <row r="548" s="1" customFormat="1"/>
    <row r="549" s="1" customFormat="1"/>
    <row r="550" s="1" customFormat="1"/>
    <row r="551" s="1" customFormat="1"/>
    <row r="552" s="1" customFormat="1"/>
    <row r="553" s="1" customFormat="1"/>
    <row r="554" s="1" customFormat="1"/>
    <row r="555" s="1" customFormat="1"/>
    <row r="556" s="1" customFormat="1"/>
    <row r="557" s="1" customFormat="1"/>
    <row r="558" s="1" customFormat="1"/>
    <row r="559" s="1" customFormat="1"/>
    <row r="560" s="1" customFormat="1"/>
    <row r="561" s="1" customFormat="1"/>
    <row r="562" s="1" customFormat="1"/>
    <row r="563" s="1" customFormat="1"/>
    <row r="564" s="1" customFormat="1"/>
    <row r="565" s="1" customFormat="1"/>
    <row r="566" s="1" customFormat="1"/>
    <row r="567" s="1" customFormat="1"/>
    <row r="568" s="1" customFormat="1"/>
    <row r="569" s="1" customFormat="1"/>
    <row r="570" s="1" customFormat="1"/>
    <row r="571" s="1" customFormat="1"/>
    <row r="572" s="1" customFormat="1"/>
    <row r="573" s="1" customFormat="1"/>
    <row r="574" s="1" customFormat="1"/>
    <row r="575" s="1" customFormat="1"/>
    <row r="576" s="1" customFormat="1"/>
    <row r="577" s="1" customFormat="1"/>
    <row r="578" s="1" customFormat="1"/>
    <row r="579" s="1" customFormat="1"/>
    <row r="580" s="1" customFormat="1"/>
    <row r="581" s="1" customFormat="1"/>
    <row r="582" s="1" customFormat="1"/>
    <row r="583" s="1" customFormat="1"/>
    <row r="584" s="1" customFormat="1"/>
    <row r="585" s="1" customFormat="1"/>
    <row r="586" s="1" customFormat="1"/>
    <row r="587" s="1" customFormat="1"/>
    <row r="588" s="1" customFormat="1"/>
    <row r="589" s="1" customFormat="1"/>
    <row r="590" s="1" customFormat="1"/>
    <row r="591" s="1" customFormat="1"/>
    <row r="592" s="1" customFormat="1"/>
    <row r="593" s="1" customFormat="1"/>
    <row r="594" s="1" customFormat="1"/>
    <row r="595" s="1" customFormat="1"/>
    <row r="596" s="1" customFormat="1"/>
    <row r="597" s="1" customFormat="1"/>
    <row r="598" s="1" customFormat="1"/>
    <row r="599" s="1" customFormat="1"/>
    <row r="600" s="1" customFormat="1"/>
    <row r="601" s="1" customFormat="1"/>
    <row r="602" s="1" customFormat="1"/>
    <row r="603" s="1" customFormat="1"/>
    <row r="604" s="1" customFormat="1"/>
    <row r="605" s="1" customFormat="1"/>
    <row r="606" s="1" customFormat="1"/>
    <row r="607" s="1" customFormat="1"/>
    <row r="608" s="1" customFormat="1"/>
    <row r="609" s="1" customFormat="1"/>
    <row r="610" s="1" customFormat="1"/>
    <row r="611" s="1" customFormat="1"/>
    <row r="612" s="1" customFormat="1"/>
    <row r="613" s="1" customFormat="1"/>
    <row r="614" s="1" customFormat="1"/>
    <row r="615" s="1" customFormat="1"/>
    <row r="616" s="1" customFormat="1"/>
    <row r="617" s="1" customFormat="1"/>
    <row r="618" s="1" customFormat="1"/>
    <row r="619" s="1" customFormat="1"/>
    <row r="620" s="1" customFormat="1"/>
    <row r="621" s="1" customFormat="1"/>
    <row r="622" s="1" customFormat="1"/>
    <row r="623" s="1" customFormat="1"/>
    <row r="624" s="1" customFormat="1"/>
    <row r="625" s="1" customFormat="1"/>
    <row r="626" s="1" customFormat="1"/>
    <row r="627" s="1" customFormat="1"/>
    <row r="628" s="1" customFormat="1"/>
    <row r="629" s="1" customFormat="1"/>
    <row r="630" s="1" customFormat="1"/>
    <row r="631" s="1" customFormat="1"/>
    <row r="632" s="1" customFormat="1"/>
    <row r="633" s="1" customFormat="1"/>
    <row r="634" s="1" customFormat="1"/>
    <row r="635" s="1" customFormat="1"/>
    <row r="636" s="1" customFormat="1"/>
    <row r="637" s="1" customFormat="1"/>
    <row r="638" s="1" customFormat="1"/>
    <row r="639" s="1" customFormat="1"/>
    <row r="640" s="1" customFormat="1"/>
    <row r="641" s="1" customFormat="1"/>
    <row r="642" s="1" customFormat="1"/>
    <row r="643" s="1" customFormat="1"/>
    <row r="644" s="1" customFormat="1"/>
    <row r="645" s="1" customFormat="1"/>
    <row r="646" s="1" customFormat="1"/>
    <row r="647" s="1" customFormat="1"/>
    <row r="648" s="1" customFormat="1"/>
    <row r="649" s="1" customFormat="1"/>
    <row r="650" s="1" customFormat="1"/>
    <row r="651" s="1" customFormat="1"/>
    <row r="652" s="1" customFormat="1"/>
    <row r="653" s="1" customFormat="1"/>
    <row r="654" s="1" customFormat="1"/>
    <row r="655" s="1" customFormat="1"/>
    <row r="656" s="1" customFormat="1"/>
    <row r="657" s="1" customFormat="1"/>
    <row r="658" s="1" customFormat="1"/>
    <row r="659" s="1" customFormat="1"/>
    <row r="660" s="1" customFormat="1"/>
    <row r="661" s="1" customFormat="1"/>
    <row r="662" s="1" customFormat="1"/>
    <row r="663" s="1" customFormat="1"/>
    <row r="664" s="1" customFormat="1"/>
    <row r="665" s="1" customFormat="1"/>
    <row r="666" s="1" customFormat="1"/>
    <row r="667" s="1" customFormat="1"/>
    <row r="668" s="1" customFormat="1"/>
    <row r="669" s="1" customFormat="1"/>
    <row r="670" s="1" customFormat="1"/>
    <row r="671" s="1" customFormat="1"/>
    <row r="672" s="1" customFormat="1"/>
    <row r="673" s="1" customFormat="1"/>
    <row r="674" s="1" customFormat="1"/>
    <row r="675" s="1" customFormat="1"/>
    <row r="676" s="1" customFormat="1"/>
    <row r="677" s="1" customFormat="1"/>
    <row r="678" s="1" customFormat="1"/>
    <row r="679" s="1" customFormat="1"/>
    <row r="680" s="1" customFormat="1"/>
    <row r="681" s="1" customFormat="1"/>
    <row r="682" s="1" customFormat="1"/>
    <row r="683" s="1" customFormat="1"/>
    <row r="684" s="1" customFormat="1"/>
    <row r="685" s="1" customFormat="1"/>
    <row r="686" s="1" customFormat="1"/>
    <row r="687" s="1" customFormat="1"/>
    <row r="688" s="1" customFormat="1"/>
    <row r="689" s="1" customFormat="1"/>
    <row r="690" s="1" customFormat="1"/>
    <row r="691" s="1" customFormat="1"/>
    <row r="692" s="1" customFormat="1"/>
    <row r="693" s="1" customFormat="1"/>
    <row r="694" s="1" customFormat="1"/>
    <row r="695" s="1" customFormat="1"/>
    <row r="696" s="1" customFormat="1"/>
    <row r="697" s="1" customFormat="1"/>
    <row r="698" s="1" customFormat="1"/>
    <row r="699" s="1" customFormat="1"/>
    <row r="700" s="1" customFormat="1"/>
    <row r="701" s="1" customFormat="1"/>
    <row r="702" s="1" customFormat="1"/>
    <row r="703" s="1" customFormat="1"/>
    <row r="704" s="1" customFormat="1"/>
    <row r="705" s="1" customFormat="1"/>
    <row r="706" s="1" customFormat="1"/>
    <row r="707" s="1" customFormat="1"/>
    <row r="708" s="1" customFormat="1"/>
    <row r="709" s="1" customFormat="1"/>
    <row r="710" s="1" customFormat="1"/>
    <row r="711" s="1" customFormat="1"/>
    <row r="712" s="1" customFormat="1"/>
    <row r="713" s="1" customFormat="1"/>
    <row r="714" s="1" customFormat="1"/>
    <row r="715" s="1" customFormat="1"/>
    <row r="716" s="1" customFormat="1"/>
    <row r="717" s="1" customFormat="1"/>
    <row r="718" s="1" customFormat="1"/>
    <row r="719" s="1" customFormat="1"/>
    <row r="720" s="1" customFormat="1"/>
    <row r="721" s="1" customFormat="1"/>
    <row r="722" s="1" customFormat="1"/>
    <row r="723" s="1" customFormat="1"/>
    <row r="724" s="1" customFormat="1"/>
    <row r="725" s="1" customFormat="1"/>
    <row r="726" s="1" customFormat="1"/>
    <row r="727" s="1" customFormat="1"/>
    <row r="728" s="1" customFormat="1"/>
    <row r="729" s="1" customFormat="1"/>
    <row r="730" s="1" customFormat="1"/>
    <row r="731" s="1" customFormat="1"/>
    <row r="732" s="1" customFormat="1"/>
    <row r="733" s="1" customFormat="1"/>
    <row r="734" s="1" customFormat="1"/>
    <row r="735" s="1" customFormat="1"/>
    <row r="736" s="1" customFormat="1"/>
    <row r="737" s="1" customFormat="1"/>
    <row r="738" s="1" customFormat="1"/>
    <row r="739" s="1" customFormat="1"/>
    <row r="740" s="1" customFormat="1"/>
    <row r="741" s="1" customFormat="1"/>
    <row r="742" s="1" customFormat="1"/>
    <row r="743" s="1" customFormat="1"/>
    <row r="744" s="1" customFormat="1"/>
    <row r="745" s="1" customFormat="1"/>
    <row r="746" s="1" customFormat="1"/>
    <row r="747" s="1" customFormat="1"/>
    <row r="748" s="1" customFormat="1"/>
    <row r="749" s="1" customFormat="1"/>
    <row r="750" s="1" customFormat="1"/>
    <row r="751" s="1" customFormat="1"/>
    <row r="752" s="1" customFormat="1"/>
    <row r="753" s="1" customFormat="1"/>
    <row r="754" s="1" customFormat="1"/>
    <row r="755" s="1" customFormat="1"/>
    <row r="756" s="1" customFormat="1"/>
    <row r="757" s="1" customFormat="1"/>
    <row r="758" s="1" customFormat="1"/>
    <row r="759" s="1" customFormat="1"/>
    <row r="760" s="1" customFormat="1"/>
    <row r="761" s="1" customFormat="1"/>
    <row r="762" s="1" customFormat="1"/>
    <row r="763" s="1" customFormat="1"/>
    <row r="764" s="1" customFormat="1"/>
    <row r="765" s="1" customFormat="1"/>
    <row r="766" s="1" customFormat="1"/>
    <row r="767" s="1" customFormat="1"/>
    <row r="768" s="1" customFormat="1"/>
    <row r="769" s="1" customFormat="1"/>
    <row r="770" s="1" customFormat="1"/>
    <row r="771" s="1" customFormat="1"/>
    <row r="772" s="1" customFormat="1"/>
    <row r="773" s="1" customFormat="1"/>
    <row r="774" s="1" customFormat="1"/>
    <row r="775" s="1" customFormat="1"/>
    <row r="776" s="1" customFormat="1"/>
    <row r="777" s="1" customFormat="1"/>
    <row r="778" s="1" customFormat="1"/>
    <row r="779" s="1" customFormat="1"/>
    <row r="780" s="1" customFormat="1"/>
    <row r="781" s="1" customFormat="1"/>
    <row r="782" s="1" customFormat="1"/>
    <row r="783" s="1" customFormat="1"/>
    <row r="784" s="1" customFormat="1"/>
    <row r="785" s="1" customFormat="1"/>
    <row r="786" s="1" customFormat="1"/>
    <row r="787" s="1" customFormat="1"/>
    <row r="788" s="1" customFormat="1"/>
    <row r="789" s="1" customFormat="1"/>
    <row r="790" s="1" customFormat="1"/>
    <row r="791" s="1" customFormat="1"/>
    <row r="792" s="1" customFormat="1"/>
    <row r="793" s="1" customFormat="1"/>
    <row r="794" s="1" customFormat="1"/>
    <row r="795" s="1" customFormat="1"/>
    <row r="796" s="1" customFormat="1"/>
    <row r="797" s="1" customFormat="1"/>
    <row r="798" s="1" customFormat="1"/>
    <row r="799" s="1" customFormat="1"/>
    <row r="800" s="1" customFormat="1"/>
    <row r="801" s="1" customFormat="1"/>
    <row r="802" s="1" customFormat="1"/>
    <row r="803" s="1" customFormat="1"/>
    <row r="804" s="1" customFormat="1"/>
    <row r="805" s="1" customFormat="1"/>
    <row r="806" s="1" customFormat="1"/>
    <row r="807" s="1" customFormat="1"/>
    <row r="808" s="1" customFormat="1"/>
    <row r="809" s="1" customFormat="1"/>
    <row r="810" s="1" customFormat="1"/>
    <row r="811" s="1" customFormat="1"/>
    <row r="812" s="1" customFormat="1"/>
    <row r="813" s="1" customFormat="1"/>
    <row r="814" s="1" customFormat="1"/>
    <row r="815" s="1" customFormat="1"/>
    <row r="816" s="1" customFormat="1"/>
    <row r="817" s="1" customFormat="1"/>
    <row r="818" s="1" customFormat="1"/>
    <row r="819" s="1" customFormat="1"/>
    <row r="820" s="1" customFormat="1"/>
    <row r="821" s="1" customFormat="1"/>
    <row r="822" s="1" customFormat="1"/>
    <row r="823" s="1" customFormat="1"/>
    <row r="824" s="1" customFormat="1"/>
    <row r="825" s="1" customFormat="1"/>
    <row r="826" s="1" customFormat="1"/>
    <row r="827" s="1" customFormat="1"/>
    <row r="828" s="1" customFormat="1"/>
    <row r="829" s="1" customFormat="1"/>
    <row r="830" s="1" customFormat="1"/>
    <row r="831" s="1" customFormat="1"/>
    <row r="832" s="1" customFormat="1"/>
    <row r="833" s="1" customFormat="1"/>
    <row r="834" s="1" customFormat="1"/>
    <row r="835" s="1" customFormat="1"/>
    <row r="836" s="1" customFormat="1"/>
    <row r="837" s="1" customFormat="1"/>
    <row r="838" s="1" customFormat="1"/>
    <row r="839" s="1" customFormat="1"/>
    <row r="840" s="1" customFormat="1"/>
    <row r="841" s="1" customFormat="1"/>
    <row r="842" s="1" customFormat="1"/>
    <row r="843" s="1" customFormat="1"/>
    <row r="844" s="1" customFormat="1"/>
    <row r="845" s="1" customFormat="1"/>
    <row r="846" s="1" customFormat="1"/>
    <row r="847" s="1" customFormat="1"/>
    <row r="848" s="1" customFormat="1"/>
    <row r="849" s="1" customFormat="1"/>
    <row r="850" s="1" customFormat="1"/>
    <row r="851" s="1" customFormat="1"/>
    <row r="852" s="1" customFormat="1"/>
    <row r="853" s="1" customFormat="1"/>
    <row r="854" s="1" customFormat="1"/>
    <row r="855" s="1" customFormat="1"/>
    <row r="856" s="1" customFormat="1"/>
    <row r="857" s="1" customFormat="1"/>
    <row r="858" s="1" customFormat="1"/>
    <row r="859" s="1" customFormat="1"/>
    <row r="860" s="1" customFormat="1"/>
    <row r="861" s="1" customFormat="1"/>
    <row r="862" s="1" customFormat="1"/>
    <row r="863" s="1" customFormat="1"/>
    <row r="864" s="1" customFormat="1"/>
    <row r="865" s="1" customFormat="1"/>
    <row r="866" s="1" customFormat="1"/>
    <row r="867" s="1" customFormat="1"/>
    <row r="868" s="1" customFormat="1"/>
    <row r="869" s="1" customFormat="1"/>
    <row r="870" s="1" customFormat="1"/>
    <row r="871" s="1" customFormat="1"/>
    <row r="872" s="1" customFormat="1"/>
    <row r="873" s="1" customFormat="1"/>
    <row r="874" s="1" customFormat="1"/>
    <row r="875" s="1" customFormat="1"/>
    <row r="876" s="1" customFormat="1"/>
    <row r="877" s="1" customFormat="1"/>
    <row r="878" s="1" customFormat="1"/>
    <row r="879" s="1" customFormat="1"/>
    <row r="880" s="1" customFormat="1"/>
    <row r="881" s="1" customFormat="1"/>
    <row r="882" s="1" customFormat="1"/>
    <row r="883" s="1" customFormat="1"/>
    <row r="884" s="1" customFormat="1"/>
    <row r="885" s="1" customFormat="1"/>
    <row r="886" s="1" customFormat="1"/>
    <row r="887" s="1" customFormat="1"/>
    <row r="888" s="1" customFormat="1"/>
    <row r="889" s="1" customFormat="1"/>
    <row r="890" s="1" customFormat="1"/>
    <row r="891" s="1" customFormat="1"/>
    <row r="892" s="1" customFormat="1"/>
    <row r="893" s="1" customFormat="1"/>
    <row r="894" s="1" customFormat="1"/>
    <row r="895" s="1" customFormat="1"/>
    <row r="896" s="1" customFormat="1"/>
    <row r="897" s="1" customFormat="1"/>
    <row r="898" s="1" customFormat="1"/>
    <row r="899" s="1" customFormat="1"/>
    <row r="900" s="1" customFormat="1"/>
    <row r="901" s="1" customFormat="1"/>
    <row r="902" s="1" customFormat="1"/>
    <row r="903" s="1" customFormat="1"/>
    <row r="904" s="1" customFormat="1"/>
    <row r="905" s="1" customFormat="1"/>
    <row r="906" s="1" customFormat="1"/>
    <row r="907" s="1" customFormat="1"/>
    <row r="908" s="1" customFormat="1"/>
    <row r="909" s="1" customFormat="1"/>
    <row r="910" s="1" customFormat="1"/>
    <row r="911" s="1" customFormat="1"/>
    <row r="912" s="1" customFormat="1"/>
    <row r="913" s="1" customFormat="1"/>
    <row r="914" s="1" customFormat="1"/>
    <row r="915" s="1" customFormat="1"/>
    <row r="916" s="1" customFormat="1"/>
    <row r="917" s="1" customFormat="1"/>
    <row r="918" s="1" customFormat="1"/>
    <row r="919" s="1" customFormat="1"/>
    <row r="920" s="1" customFormat="1"/>
    <row r="921" s="1" customFormat="1"/>
    <row r="922" s="1" customFormat="1"/>
    <row r="923" s="1" customFormat="1"/>
    <row r="924" s="1" customFormat="1"/>
    <row r="925" s="1" customFormat="1"/>
    <row r="926" s="1" customFormat="1"/>
    <row r="927" s="1" customFormat="1"/>
    <row r="928" s="1" customFormat="1"/>
    <row r="929" s="1" customFormat="1"/>
    <row r="930" s="1" customFormat="1"/>
    <row r="931" s="1" customFormat="1"/>
    <row r="932" s="1" customFormat="1"/>
    <row r="933" s="1" customFormat="1"/>
    <row r="934" s="1" customFormat="1"/>
    <row r="935" s="1" customFormat="1"/>
    <row r="936" s="1" customFormat="1"/>
    <row r="937" s="1" customFormat="1"/>
    <row r="938" s="1" customFormat="1"/>
    <row r="939" s="1" customFormat="1"/>
    <row r="940" s="1" customFormat="1"/>
    <row r="941" s="1" customFormat="1"/>
    <row r="942" s="1" customFormat="1"/>
    <row r="943" s="1" customFormat="1"/>
    <row r="944" s="1" customFormat="1"/>
    <row r="945" s="1" customFormat="1"/>
    <row r="946" s="1" customFormat="1"/>
    <row r="947" s="1" customFormat="1"/>
    <row r="948" s="1" customFormat="1"/>
    <row r="949" s="1" customFormat="1"/>
    <row r="950" s="1" customFormat="1"/>
    <row r="951" s="1" customFormat="1"/>
    <row r="952" s="1" customFormat="1"/>
    <row r="953" s="1" customFormat="1"/>
    <row r="954" s="1" customFormat="1"/>
    <row r="955" s="1" customFormat="1"/>
    <row r="956" s="1" customFormat="1"/>
    <row r="957" s="1" customFormat="1"/>
    <row r="958" s="1" customFormat="1"/>
    <row r="959" s="1" customFormat="1"/>
    <row r="960" s="1" customFormat="1"/>
    <row r="961" s="1" customFormat="1"/>
    <row r="962" s="1" customFormat="1"/>
    <row r="963" s="1" customFormat="1"/>
    <row r="964" s="1" customFormat="1"/>
    <row r="965" s="1" customFormat="1"/>
    <row r="966" s="1" customFormat="1"/>
    <row r="967" s="1" customFormat="1"/>
    <row r="968" s="1" customFormat="1"/>
    <row r="969" s="1" customFormat="1"/>
    <row r="970" s="1" customFormat="1"/>
    <row r="971" s="1" customFormat="1"/>
    <row r="972" s="1" customFormat="1"/>
    <row r="973" s="1" customFormat="1"/>
    <row r="974" s="1" customFormat="1"/>
    <row r="975" s="1" customFormat="1"/>
    <row r="976" s="1" customFormat="1"/>
    <row r="977" s="1" customFormat="1"/>
    <row r="978" s="1" customFormat="1"/>
    <row r="979" s="1" customFormat="1"/>
    <row r="980" s="1" customFormat="1"/>
    <row r="981" s="1" customFormat="1"/>
    <row r="982" s="1" customFormat="1"/>
    <row r="983" s="1" customFormat="1"/>
    <row r="984" s="1" customFormat="1"/>
    <row r="985" s="1" customFormat="1"/>
    <row r="986" s="1" customFormat="1"/>
    <row r="987" s="1" customFormat="1"/>
    <row r="988" s="1" customFormat="1"/>
    <row r="989" s="1" customFormat="1"/>
    <row r="990" s="1" customFormat="1"/>
    <row r="991" s="1" customFormat="1"/>
    <row r="992" s="1" customFormat="1"/>
    <row r="993" s="1" customFormat="1"/>
    <row r="994" s="1" customFormat="1"/>
    <row r="995" s="1" customFormat="1"/>
    <row r="996" s="1" customFormat="1"/>
    <row r="997" s="1" customFormat="1"/>
    <row r="998" s="1" customFormat="1"/>
    <row r="999" s="1" customFormat="1"/>
    <row r="1000" s="1" customFormat="1"/>
    <row r="1001" s="1" customFormat="1"/>
    <row r="1002" s="1" customFormat="1"/>
    <row r="1003" s="1" customFormat="1"/>
    <row r="1004" s="1" customFormat="1"/>
    <row r="1005" s="1" customFormat="1"/>
    <row r="1006" s="1" customFormat="1"/>
    <row r="1007" s="1" customFormat="1"/>
    <row r="1008" s="1" customFormat="1"/>
    <row r="1009" s="1" customFormat="1"/>
    <row r="1010" s="1" customFormat="1"/>
    <row r="1011" s="1" customFormat="1"/>
    <row r="1012" s="1" customFormat="1"/>
    <row r="1013" s="1" customFormat="1"/>
    <row r="1014" s="1" customFormat="1"/>
    <row r="1015" s="1" customFormat="1"/>
    <row r="1016" s="1" customFormat="1"/>
    <row r="1017" s="1" customFormat="1"/>
    <row r="1018" s="1" customFormat="1"/>
    <row r="1019" s="1" customFormat="1"/>
    <row r="1020" s="1" customFormat="1"/>
    <row r="1021" s="1" customFormat="1"/>
    <row r="1022" s="1" customFormat="1"/>
    <row r="1023" s="1" customFormat="1"/>
    <row r="1024" s="1" customFormat="1"/>
    <row r="1025" s="1" customFormat="1"/>
    <row r="1026" s="1" customFormat="1"/>
    <row r="1027" s="1" customFormat="1"/>
    <row r="1028" s="1" customFormat="1"/>
    <row r="1029" s="1" customFormat="1"/>
    <row r="1030" s="1" customFormat="1"/>
    <row r="1031" s="1" customFormat="1"/>
    <row r="1032" s="1" customFormat="1"/>
    <row r="1033" s="1" customFormat="1"/>
    <row r="1034" s="1" customFormat="1"/>
    <row r="1035" s="1" customFormat="1"/>
    <row r="1036" s="1" customFormat="1"/>
    <row r="1037" s="1" customFormat="1"/>
    <row r="1038" s="1" customFormat="1"/>
    <row r="1039" s="1" customFormat="1"/>
    <row r="1040" s="1" customFormat="1"/>
    <row r="1041" s="1" customFormat="1"/>
    <row r="1042" s="1" customFormat="1"/>
    <row r="1043" s="1" customFormat="1"/>
    <row r="1044" s="1" customFormat="1"/>
    <row r="1045" s="1" customFormat="1"/>
    <row r="1046" s="1" customFormat="1"/>
    <row r="1047" s="1" customFormat="1"/>
    <row r="1048" s="1" customFormat="1"/>
    <row r="1049" s="1" customFormat="1"/>
    <row r="1050" s="1" customFormat="1"/>
    <row r="1051" s="1" customFormat="1"/>
    <row r="1052" s="1" customFormat="1"/>
    <row r="1053" s="1" customFormat="1"/>
    <row r="1054" s="1" customFormat="1"/>
    <row r="1055" s="1" customFormat="1"/>
    <row r="1056" s="1" customFormat="1"/>
    <row r="1057" s="1" customFormat="1"/>
    <row r="1058" s="1" customFormat="1"/>
    <row r="1059" s="1" customFormat="1"/>
    <row r="1060" s="1" customFormat="1"/>
    <row r="1061" s="1" customFormat="1"/>
    <row r="1062" s="1" customFormat="1"/>
    <row r="1063" s="1" customFormat="1"/>
    <row r="1064" s="1" customFormat="1"/>
    <row r="1065" s="1" customFormat="1"/>
    <row r="1066" s="1" customFormat="1"/>
    <row r="1067" s="1" customFormat="1"/>
    <row r="1068" s="1" customFormat="1"/>
    <row r="1069" s="1" customFormat="1"/>
    <row r="1070" s="1" customFormat="1"/>
    <row r="1071" s="1" customFormat="1"/>
    <row r="1072" s="1" customFormat="1"/>
    <row r="1073" s="1" customFormat="1"/>
    <row r="1074" s="1" customFormat="1"/>
    <row r="1075" s="1" customFormat="1"/>
    <row r="1076" s="1" customFormat="1"/>
    <row r="1077" s="1" customFormat="1"/>
    <row r="1078" s="1" customFormat="1"/>
    <row r="1079" s="1" customFormat="1"/>
    <row r="1080" s="1" customFormat="1"/>
    <row r="1081" s="1" customFormat="1"/>
    <row r="1082" s="1" customFormat="1"/>
    <row r="1083" s="1" customFormat="1"/>
    <row r="1084" s="1" customFormat="1"/>
    <row r="1085" s="1" customFormat="1"/>
    <row r="1086" s="1" customFormat="1"/>
    <row r="1087" s="1" customFormat="1"/>
    <row r="1088" s="1" customFormat="1"/>
    <row r="1089" s="1" customFormat="1"/>
    <row r="1090" s="1" customFormat="1"/>
    <row r="1091" s="1" customFormat="1"/>
    <row r="1092" s="1" customFormat="1"/>
    <row r="1093" s="1" customFormat="1"/>
    <row r="1094" s="1" customFormat="1"/>
    <row r="1095" s="1" customFormat="1"/>
    <row r="1096" s="1" customFormat="1"/>
    <row r="1097" s="1" customFormat="1"/>
    <row r="1098" s="1" customFormat="1"/>
    <row r="1099" s="1" customFormat="1"/>
    <row r="1100" s="1" customFormat="1"/>
    <row r="1101" s="1" customFormat="1"/>
    <row r="1102" s="1" customFormat="1"/>
    <row r="1103" s="1" customFormat="1"/>
    <row r="1104" s="1" customFormat="1"/>
    <row r="1105" s="1" customFormat="1"/>
    <row r="1106" s="1" customFormat="1"/>
    <row r="1107" s="1" customFormat="1"/>
    <row r="1108" s="1" customFormat="1"/>
    <row r="1109" s="1" customFormat="1"/>
    <row r="1110" s="1" customFormat="1"/>
    <row r="1111" s="1" customFormat="1"/>
    <row r="1112" s="1" customFormat="1"/>
    <row r="1113" s="1" customFormat="1"/>
    <row r="1114" s="1" customFormat="1"/>
    <row r="1115" s="1" customFormat="1"/>
    <row r="1116" s="1" customFormat="1"/>
    <row r="1117" s="1" customFormat="1"/>
    <row r="1118" s="1" customFormat="1"/>
    <row r="1119" s="1" customFormat="1"/>
    <row r="1120" s="1" customFormat="1"/>
    <row r="1121" s="1" customFormat="1"/>
    <row r="1122" s="1" customFormat="1"/>
    <row r="1123" s="1" customFormat="1"/>
    <row r="1124" s="1" customFormat="1"/>
    <row r="1125" s="1" customFormat="1"/>
    <row r="1126" s="1" customFormat="1"/>
    <row r="1127" s="1" customFormat="1"/>
    <row r="1128" s="1" customFormat="1"/>
    <row r="1129" s="1" customFormat="1"/>
    <row r="1130" s="1" customFormat="1"/>
    <row r="1131" s="1" customFormat="1"/>
    <row r="1132" s="1" customFormat="1"/>
    <row r="1133" s="1" customFormat="1"/>
    <row r="1134" s="1" customFormat="1"/>
    <row r="1135" s="1" customFormat="1"/>
    <row r="1136" s="1" customFormat="1"/>
    <row r="1137" s="1" customFormat="1"/>
    <row r="1138" s="1" customFormat="1"/>
    <row r="1139" s="1" customFormat="1"/>
    <row r="1140" s="1" customFormat="1"/>
    <row r="1141" s="1" customFormat="1"/>
    <row r="1142" s="1" customFormat="1"/>
    <row r="1143" s="1" customFormat="1"/>
    <row r="1144" s="1" customFormat="1"/>
    <row r="1145" s="1" customFormat="1"/>
    <row r="1146" s="1" customFormat="1"/>
    <row r="1147" s="1" customFormat="1"/>
    <row r="1148" s="1" customFormat="1"/>
    <row r="1149" s="1" customFormat="1"/>
    <row r="1150" s="1" customFormat="1"/>
    <row r="1151" s="1" customFormat="1"/>
    <row r="1152" s="1" customFormat="1"/>
    <row r="1153" s="1" customFormat="1"/>
    <row r="1154" s="1" customFormat="1"/>
    <row r="1155" s="1" customFormat="1"/>
    <row r="1156" s="1" customFormat="1"/>
    <row r="1157" s="1" customFormat="1"/>
    <row r="1158" s="1" customFormat="1"/>
    <row r="1159" s="1" customFormat="1"/>
    <row r="1160" s="1" customFormat="1"/>
    <row r="1161" s="1" customFormat="1"/>
    <row r="1162" s="1" customFormat="1"/>
    <row r="1163" s="1" customFormat="1"/>
    <row r="1164" s="1" customFormat="1"/>
    <row r="1165" s="1" customFormat="1"/>
    <row r="1166" s="1" customFormat="1"/>
    <row r="1167" s="1" customFormat="1"/>
    <row r="1168" s="1" customFormat="1"/>
    <row r="1169" s="1" customFormat="1"/>
    <row r="1170" s="1" customFormat="1"/>
    <row r="1171" s="1" customFormat="1"/>
    <row r="1172" s="1" customFormat="1"/>
    <row r="1173" s="1" customFormat="1"/>
    <row r="1174" s="1" customFormat="1"/>
    <row r="1175" s="1" customFormat="1"/>
    <row r="1176" s="1" customFormat="1"/>
    <row r="1177" s="1" customFormat="1"/>
    <row r="1178" s="1" customFormat="1"/>
    <row r="1179" s="1" customFormat="1"/>
    <row r="1180" s="1" customFormat="1"/>
    <row r="1181" s="1" customFormat="1"/>
    <row r="1182" s="1" customFormat="1"/>
    <row r="1183" s="1" customFormat="1"/>
    <row r="1184" s="1" customFormat="1"/>
    <row r="1185" s="1" customFormat="1"/>
    <row r="1186" s="1" customFormat="1"/>
    <row r="1187" s="1" customFormat="1"/>
    <row r="1188" s="1" customFormat="1"/>
    <row r="1189" s="1" customFormat="1"/>
    <row r="1190" s="1" customFormat="1"/>
    <row r="1191" s="1" customFormat="1"/>
    <row r="1192" s="1" customFormat="1"/>
    <row r="1193" s="1" customFormat="1"/>
    <row r="1194" s="1" customFormat="1"/>
    <row r="1195" s="1" customFormat="1"/>
    <row r="1196" s="1" customFormat="1"/>
    <row r="1197" s="1" customFormat="1"/>
    <row r="1198" s="1" customFormat="1"/>
    <row r="1199" s="1" customFormat="1"/>
    <row r="1200" s="1" customFormat="1"/>
    <row r="1201" s="1" customFormat="1"/>
    <row r="1202" s="1" customFormat="1"/>
    <row r="1203" s="1" customFormat="1"/>
    <row r="1204" s="1" customFormat="1"/>
    <row r="1205" s="1" customFormat="1"/>
    <row r="1206" s="1" customFormat="1"/>
    <row r="1207" s="1" customFormat="1"/>
    <row r="1208" s="1" customFormat="1"/>
    <row r="1209" s="1" customFormat="1"/>
    <row r="1210" s="1" customFormat="1"/>
    <row r="1211" s="1" customFormat="1"/>
    <row r="1212" s="1" customFormat="1"/>
    <row r="1213" s="1" customFormat="1"/>
    <row r="1214" s="1" customFormat="1"/>
    <row r="1215" s="1" customFormat="1"/>
    <row r="1216" s="1" customFormat="1"/>
    <row r="1217" s="1" customFormat="1"/>
    <row r="1218" s="1" customFormat="1"/>
    <row r="1219" s="1" customFormat="1"/>
    <row r="1220" s="1" customFormat="1"/>
    <row r="1221" s="1" customFormat="1"/>
    <row r="1222" s="1" customFormat="1"/>
    <row r="1223" s="1" customFormat="1"/>
    <row r="1224" s="1" customFormat="1"/>
    <row r="1225" s="1" customFormat="1"/>
    <row r="1226" s="1" customFormat="1"/>
    <row r="1227" s="1" customFormat="1"/>
    <row r="1228" s="1" customFormat="1"/>
    <row r="1229" s="1" customFormat="1"/>
    <row r="1230" s="1" customFormat="1"/>
    <row r="1231" s="1" customFormat="1"/>
    <row r="1232" s="1" customFormat="1"/>
    <row r="1233" s="1" customFormat="1"/>
    <row r="1234" s="1" customFormat="1"/>
    <row r="1235" s="1" customFormat="1"/>
    <row r="1236" s="1" customFormat="1"/>
    <row r="1237" s="1" customFormat="1"/>
    <row r="1238" s="1" customFormat="1"/>
    <row r="1239" s="1" customFormat="1"/>
    <row r="1240" s="1" customFormat="1"/>
    <row r="1241" s="1" customFormat="1"/>
    <row r="1242" s="1" customFormat="1"/>
    <row r="1243" s="1" customFormat="1"/>
    <row r="1244" s="1" customFormat="1"/>
    <row r="1245" s="1" customFormat="1"/>
    <row r="1246" s="1" customFormat="1"/>
    <row r="1247" s="1" customFormat="1"/>
    <row r="1248" s="1" customFormat="1"/>
    <row r="1249" s="1" customFormat="1"/>
    <row r="1250" s="1" customFormat="1"/>
    <row r="1251" s="1" customFormat="1"/>
    <row r="1252" s="1" customFormat="1"/>
    <row r="1253" s="1" customFormat="1"/>
    <row r="1254" s="1" customFormat="1"/>
    <row r="1255" s="1" customFormat="1"/>
    <row r="1256" s="1" customFormat="1"/>
    <row r="1257" s="1" customFormat="1"/>
    <row r="1258" s="1" customFormat="1"/>
    <row r="1259" s="1" customFormat="1"/>
    <row r="1260" s="1" customFormat="1"/>
    <row r="1261" s="1" customFormat="1"/>
    <row r="1262" s="1" customFormat="1"/>
    <row r="1263" s="1" customFormat="1"/>
    <row r="1264" s="1" customFormat="1"/>
    <row r="1265" s="1" customFormat="1"/>
    <row r="1266" s="1" customFormat="1"/>
    <row r="1267" s="1" customFormat="1"/>
    <row r="1268" s="1" customFormat="1"/>
    <row r="1269" s="1" customFormat="1"/>
    <row r="1270" s="1" customFormat="1"/>
    <row r="1271" s="1" customFormat="1"/>
    <row r="1272" s="1" customFormat="1"/>
    <row r="1273" s="1" customFormat="1"/>
    <row r="1274" s="1" customFormat="1"/>
    <row r="1275" s="1" customFormat="1"/>
    <row r="1276" s="1" customFormat="1"/>
    <row r="1277" s="1" customFormat="1"/>
    <row r="1278" s="1" customFormat="1"/>
    <row r="1279" s="1" customFormat="1"/>
    <row r="1280" s="1" customFormat="1"/>
    <row r="1281" s="1" customFormat="1"/>
    <row r="1282" s="1" customFormat="1"/>
    <row r="1283" s="1" customFormat="1"/>
    <row r="1284" s="1" customFormat="1"/>
    <row r="1285" s="1" customFormat="1"/>
    <row r="1286" s="1" customFormat="1"/>
    <row r="1287" s="1" customFormat="1"/>
    <row r="1288" s="1" customFormat="1"/>
    <row r="1289" s="1" customFormat="1"/>
    <row r="1290" s="1" customFormat="1"/>
    <row r="1291" s="1" customFormat="1"/>
    <row r="1292" s="1" customFormat="1"/>
    <row r="1293" s="1" customFormat="1"/>
    <row r="1294" s="1" customFormat="1"/>
    <row r="1295" s="1" customFormat="1"/>
    <row r="1296" s="1" customFormat="1"/>
    <row r="1297" s="1" customFormat="1"/>
    <row r="1298" s="1" customFormat="1"/>
    <row r="1299" s="1" customFormat="1"/>
    <row r="1300" s="1" customFormat="1"/>
    <row r="1301" s="1" customFormat="1"/>
    <row r="1302" s="1" customFormat="1"/>
    <row r="1303" s="1" customFormat="1"/>
    <row r="1304" s="1" customFormat="1"/>
    <row r="1305" s="1" customFormat="1"/>
    <row r="1306" s="1" customFormat="1"/>
    <row r="1307" s="1" customFormat="1"/>
    <row r="1308" s="1" customFormat="1"/>
    <row r="1309" s="1" customFormat="1"/>
    <row r="1310" s="1" customFormat="1"/>
    <row r="1311" s="1" customFormat="1"/>
    <row r="1312" s="1" customFormat="1"/>
    <row r="1313" s="1" customFormat="1"/>
    <row r="1314" s="1" customFormat="1"/>
    <row r="1315" s="1" customFormat="1"/>
    <row r="1316" s="1" customFormat="1"/>
    <row r="1317" s="1" customFormat="1"/>
    <row r="1318" s="1" customFormat="1"/>
    <row r="1319" s="1" customFormat="1"/>
    <row r="1320" s="1" customFormat="1"/>
    <row r="1321" s="1" customFormat="1"/>
    <row r="1322" s="1" customFormat="1"/>
    <row r="1323" s="1" customFormat="1"/>
    <row r="1324" s="1" customFormat="1"/>
    <row r="1325" s="1" customFormat="1"/>
    <row r="1326" s="1" customFormat="1"/>
    <row r="1327" s="1" customFormat="1"/>
    <row r="1328" s="1" customFormat="1"/>
    <row r="1329" s="1" customFormat="1"/>
    <row r="1330" s="1" customFormat="1"/>
    <row r="1331" s="1" customFormat="1"/>
    <row r="1332" s="1" customFormat="1"/>
    <row r="1333" s="1" customFormat="1"/>
    <row r="1334" s="1" customFormat="1"/>
    <row r="1335" s="1" customFormat="1"/>
    <row r="1336" s="1" customFormat="1"/>
    <row r="1337" s="1" customFormat="1"/>
    <row r="1338" s="1" customFormat="1"/>
    <row r="1339" s="1" customFormat="1"/>
    <row r="1340" s="1" customFormat="1"/>
    <row r="1341" s="1" customFormat="1"/>
    <row r="1342" s="1" customFormat="1"/>
    <row r="1343" s="1" customFormat="1"/>
    <row r="1344" s="1" customFormat="1"/>
    <row r="1345" s="1" customFormat="1"/>
    <row r="1346" s="1" customFormat="1"/>
    <row r="1347" s="1" customFormat="1"/>
    <row r="1348" s="1" customFormat="1"/>
    <row r="1349" s="1" customFormat="1"/>
    <row r="1350" s="1" customFormat="1"/>
    <row r="1351" s="1" customFormat="1"/>
    <row r="1352" s="1" customFormat="1"/>
    <row r="1353" s="1" customFormat="1"/>
    <row r="1354" s="1" customFormat="1"/>
    <row r="1355" s="1" customFormat="1"/>
    <row r="1356" s="1" customFormat="1"/>
    <row r="1357" s="1" customFormat="1"/>
    <row r="1358" s="1" customFormat="1"/>
    <row r="1359" s="1" customFormat="1"/>
    <row r="1360" s="1" customFormat="1"/>
    <row r="1361" s="1" customFormat="1"/>
    <row r="1362" s="1" customFormat="1"/>
    <row r="1363" s="1" customFormat="1"/>
    <row r="1364" s="1" customFormat="1"/>
    <row r="1365" s="1" customFormat="1"/>
    <row r="1366" s="1" customFormat="1"/>
    <row r="1367" s="1" customFormat="1"/>
    <row r="1368" s="1" customFormat="1"/>
    <row r="1369" s="1" customFormat="1"/>
    <row r="1370" s="1" customFormat="1"/>
    <row r="1371" s="1" customFormat="1"/>
    <row r="1372" s="1" customFormat="1"/>
    <row r="1373" s="1" customFormat="1"/>
    <row r="1374" s="1" customFormat="1"/>
    <row r="1375" s="1" customFormat="1"/>
    <row r="1376" s="1" customFormat="1"/>
    <row r="1377" s="1" customFormat="1"/>
    <row r="1378" s="1" customFormat="1"/>
    <row r="1379" s="1" customFormat="1"/>
    <row r="1380" s="1" customFormat="1"/>
    <row r="1381" s="1" customFormat="1"/>
    <row r="1382" s="1" customFormat="1"/>
    <row r="1383" s="1" customFormat="1"/>
    <row r="1384" s="1" customFormat="1"/>
    <row r="1385" s="1" customFormat="1"/>
    <row r="1386" s="1" customFormat="1"/>
    <row r="1387" s="1" customFormat="1"/>
    <row r="1388" s="1" customFormat="1"/>
    <row r="1389" s="1" customFormat="1"/>
    <row r="1390" s="1" customFormat="1"/>
    <row r="1391" s="1" customFormat="1"/>
    <row r="1392" s="1" customFormat="1"/>
    <row r="1393" s="1" customFormat="1"/>
    <row r="1394" s="1" customFormat="1"/>
    <row r="1395" s="1" customFormat="1"/>
    <row r="1396" s="1" customFormat="1"/>
    <row r="1397" s="1" customFormat="1"/>
    <row r="1398" s="1" customFormat="1"/>
    <row r="1399" s="1" customFormat="1"/>
    <row r="1400" s="1" customFormat="1"/>
    <row r="1401" s="1" customFormat="1"/>
    <row r="1402" s="1" customFormat="1"/>
    <row r="1403" s="1" customFormat="1"/>
    <row r="1404" s="1" customFormat="1"/>
    <row r="1405" s="1" customFormat="1"/>
    <row r="1406" s="1" customFormat="1"/>
    <row r="1407" s="1" customFormat="1"/>
    <row r="1408" s="1" customFormat="1"/>
    <row r="1409" s="1" customFormat="1"/>
    <row r="1410" s="1" customFormat="1"/>
    <row r="1411" s="1" customFormat="1"/>
    <row r="1412" s="1" customFormat="1"/>
    <row r="1413" s="1" customFormat="1"/>
    <row r="1414" s="1" customFormat="1"/>
    <row r="1415" s="1" customFormat="1"/>
    <row r="1416" s="1" customFormat="1"/>
    <row r="1417" s="1" customFormat="1"/>
    <row r="1418" s="1" customFormat="1"/>
    <row r="1419" s="1" customFormat="1"/>
    <row r="1420" s="1" customFormat="1"/>
    <row r="1421" s="1" customFormat="1"/>
    <row r="1422" s="1" customFormat="1"/>
    <row r="1423" s="1" customFormat="1"/>
    <row r="1424" s="1" customFormat="1"/>
    <row r="1425" s="1" customFormat="1"/>
    <row r="1426" s="1" customFormat="1"/>
    <row r="1427" s="1" customFormat="1"/>
    <row r="1428" s="1" customFormat="1"/>
    <row r="1429" s="1" customFormat="1"/>
    <row r="1430" s="1" customFormat="1"/>
    <row r="1431" s="1" customFormat="1"/>
    <row r="1432" s="1" customFormat="1"/>
    <row r="1433" s="1" customFormat="1"/>
    <row r="1434" s="1" customFormat="1"/>
    <row r="1435" s="1" customFormat="1"/>
    <row r="1436" s="1" customFormat="1"/>
    <row r="1437" s="1" customFormat="1"/>
    <row r="1438" s="1" customFormat="1"/>
    <row r="1439" s="1" customFormat="1"/>
    <row r="1440" s="1" customFormat="1"/>
    <row r="1441" s="1" customFormat="1"/>
    <row r="1442" s="1" customFormat="1"/>
    <row r="1443" s="1" customFormat="1"/>
    <row r="1444" s="1" customFormat="1"/>
    <row r="1445" s="1" customFormat="1"/>
    <row r="1446" s="1" customFormat="1"/>
    <row r="1447" s="1" customFormat="1"/>
    <row r="1448" s="1" customFormat="1"/>
    <row r="1449" s="1" customFormat="1"/>
    <row r="1450" s="1" customFormat="1"/>
    <row r="1451" s="1" customFormat="1"/>
    <row r="1452" s="1" customFormat="1"/>
    <row r="1453" s="1" customFormat="1"/>
    <row r="1454" s="1" customFormat="1"/>
    <row r="1455" s="1" customFormat="1"/>
    <row r="1456" s="1" customFormat="1"/>
    <row r="1457" s="1" customFormat="1"/>
    <row r="1458" s="1" customFormat="1"/>
    <row r="1459" s="1" customFormat="1"/>
    <row r="1460" s="1" customFormat="1"/>
    <row r="1461" s="1" customFormat="1"/>
    <row r="1462" s="1" customFormat="1"/>
    <row r="1463" s="1" customFormat="1"/>
    <row r="1464" s="1" customFormat="1"/>
    <row r="1465" s="1" customFormat="1"/>
    <row r="1466" s="1" customFormat="1"/>
    <row r="1467" s="1" customFormat="1"/>
    <row r="1468" s="1" customFormat="1"/>
    <row r="1469" s="1" customFormat="1"/>
    <row r="1470" s="1" customFormat="1"/>
    <row r="1471" s="1" customFormat="1"/>
    <row r="1472" s="1" customFormat="1"/>
    <row r="1473" s="1" customFormat="1"/>
    <row r="1474" s="1" customFormat="1"/>
    <row r="1475" s="1" customFormat="1"/>
    <row r="1476" s="1" customFormat="1"/>
    <row r="1477" s="1" customFormat="1"/>
    <row r="1478" s="1" customFormat="1"/>
    <row r="1479" s="1" customFormat="1"/>
    <row r="1480" s="1" customFormat="1"/>
    <row r="1481" s="1" customFormat="1"/>
    <row r="1482" s="1" customFormat="1"/>
    <row r="1483" s="1" customFormat="1"/>
    <row r="1484" s="1" customFormat="1"/>
    <row r="1485" s="1" customFormat="1"/>
    <row r="1486" s="1" customFormat="1"/>
    <row r="1487" s="1" customFormat="1"/>
    <row r="1488" s="1" customFormat="1"/>
    <row r="1489" s="1" customFormat="1"/>
    <row r="1490" s="1" customFormat="1"/>
    <row r="1491" s="1" customFormat="1"/>
    <row r="1492" s="1" customFormat="1"/>
    <row r="1493" s="1" customFormat="1"/>
    <row r="1494" s="1" customFormat="1"/>
    <row r="1495" s="1" customFormat="1"/>
    <row r="1496" s="1" customFormat="1"/>
    <row r="1497" s="1" customFormat="1"/>
    <row r="1498" s="1" customFormat="1"/>
    <row r="1499" s="1" customFormat="1"/>
    <row r="1500" s="1" customFormat="1"/>
    <row r="1501" s="1" customFormat="1"/>
    <row r="1502" s="1" customFormat="1"/>
    <row r="1503" s="1" customFormat="1"/>
    <row r="1504" s="1" customFormat="1"/>
    <row r="1505" s="1" customFormat="1"/>
    <row r="1506" s="1" customFormat="1"/>
    <row r="1507" s="1" customFormat="1"/>
    <row r="1508" s="1" customFormat="1"/>
    <row r="1509" s="1" customFormat="1"/>
    <row r="1510" s="1" customFormat="1"/>
    <row r="1511" s="1" customFormat="1"/>
    <row r="1512" s="1" customFormat="1"/>
    <row r="1513" s="1" customFormat="1"/>
    <row r="1514" s="1" customFormat="1"/>
    <row r="1515" s="1" customFormat="1"/>
    <row r="1516" s="1" customFormat="1"/>
    <row r="1517" s="1" customFormat="1"/>
    <row r="1518" s="1" customFormat="1"/>
    <row r="1519" s="1" customFormat="1"/>
    <row r="1520" s="1" customFormat="1"/>
    <row r="1521" s="1" customFormat="1"/>
    <row r="1522" s="1" customFormat="1"/>
    <row r="1523" s="1" customFormat="1"/>
    <row r="1524" s="1" customFormat="1"/>
    <row r="1525" s="1" customFormat="1"/>
    <row r="1526" s="1" customFormat="1"/>
    <row r="1527" s="1" customFormat="1"/>
    <row r="1528" s="1" customFormat="1"/>
    <row r="1529" s="1" customFormat="1"/>
    <row r="1530" s="1" customFormat="1"/>
    <row r="1531" s="1" customFormat="1"/>
    <row r="1532" s="1" customFormat="1"/>
    <row r="1533" s="1" customFormat="1"/>
    <row r="1534" s="1" customFormat="1"/>
    <row r="1535" s="1" customFormat="1"/>
    <row r="1536" s="1" customFormat="1"/>
    <row r="1537" s="1" customFormat="1"/>
    <row r="1538" s="1" customFormat="1"/>
    <row r="1539" s="1" customFormat="1"/>
    <row r="1540" s="1" customFormat="1"/>
    <row r="1541" s="1" customFormat="1"/>
    <row r="1542" s="1" customFormat="1"/>
    <row r="1543" s="1" customFormat="1"/>
    <row r="1544" s="1" customFormat="1"/>
    <row r="1545" s="1" customFormat="1"/>
    <row r="1546" s="1" customFormat="1"/>
    <row r="1547" s="1" customFormat="1"/>
    <row r="1548" s="1" customFormat="1"/>
    <row r="1549" s="1" customFormat="1"/>
    <row r="1550" s="1" customFormat="1"/>
    <row r="1551" s="1" customFormat="1"/>
    <row r="1552" s="1" customFormat="1"/>
    <row r="1553" s="1" customFormat="1"/>
    <row r="1554" s="1" customFormat="1"/>
    <row r="1555" s="1" customFormat="1"/>
    <row r="1556" s="1" customFormat="1"/>
    <row r="1557" s="1" customFormat="1"/>
    <row r="1558" s="1" customFormat="1"/>
    <row r="1559" s="1" customFormat="1"/>
    <row r="1560" s="1" customFormat="1"/>
    <row r="1561" s="1" customFormat="1"/>
    <row r="1562" s="1" customFormat="1"/>
    <row r="1563" s="1" customFormat="1"/>
    <row r="1564" s="1" customFormat="1"/>
    <row r="1565" s="1" customFormat="1"/>
    <row r="1566" s="1" customFormat="1"/>
    <row r="1567" s="1" customFormat="1"/>
    <row r="1568" s="1" customFormat="1"/>
    <row r="1569" s="1" customFormat="1"/>
    <row r="1570" s="1" customFormat="1"/>
    <row r="1571" s="1" customFormat="1"/>
    <row r="1572" s="1" customFormat="1"/>
    <row r="1573" s="1" customFormat="1"/>
    <row r="1574" s="1" customFormat="1"/>
    <row r="1575" s="1" customFormat="1"/>
    <row r="1576" s="1" customFormat="1"/>
    <row r="1577" s="1" customFormat="1"/>
    <row r="1578" s="1" customFormat="1"/>
    <row r="1579" s="1" customFormat="1"/>
    <row r="1580" s="1" customFormat="1"/>
    <row r="1581" s="1" customFormat="1"/>
    <row r="1582" s="1" customFormat="1"/>
    <row r="1583" s="1" customFormat="1"/>
    <row r="1584" s="1" customFormat="1"/>
    <row r="1585" s="1" customFormat="1"/>
    <row r="1586" s="1" customFormat="1"/>
    <row r="1587" s="1" customFormat="1"/>
    <row r="1588" s="1" customFormat="1"/>
    <row r="1589" s="1" customFormat="1"/>
    <row r="1590" s="1" customFormat="1"/>
    <row r="1591" s="1" customFormat="1"/>
    <row r="1592" s="1" customFormat="1"/>
    <row r="1593" s="1" customFormat="1"/>
    <row r="1594" s="1" customFormat="1"/>
    <row r="1595" s="1" customFormat="1"/>
    <row r="1596" s="1" customFormat="1"/>
    <row r="1597" s="1" customFormat="1"/>
    <row r="1598" s="1" customFormat="1"/>
    <row r="1599" s="1" customFormat="1"/>
    <row r="1600" s="1" customFormat="1"/>
    <row r="1601" s="1" customFormat="1"/>
    <row r="1602" s="1" customFormat="1"/>
    <row r="1603" s="1" customFormat="1"/>
    <row r="1604" s="1" customFormat="1"/>
    <row r="1605" s="1" customFormat="1"/>
    <row r="1606" s="1" customFormat="1"/>
    <row r="1607" s="1" customFormat="1"/>
    <row r="1608" s="1" customFormat="1"/>
    <row r="1609" s="1" customFormat="1"/>
    <row r="1610" s="1" customFormat="1"/>
    <row r="1611" s="1" customFormat="1"/>
    <row r="1612" s="1" customFormat="1"/>
    <row r="1613" s="1" customFormat="1"/>
    <row r="1614" s="1" customFormat="1"/>
    <row r="1615" s="1" customFormat="1"/>
    <row r="1616" s="1" customFormat="1"/>
    <row r="1617" s="1" customFormat="1"/>
    <row r="1618" s="1" customFormat="1"/>
    <row r="1619" s="1" customFormat="1"/>
    <row r="1620" s="1" customFormat="1"/>
    <row r="1621" s="1" customFormat="1"/>
    <row r="1622" s="1" customFormat="1"/>
    <row r="1623" s="1" customFormat="1"/>
    <row r="1624" s="1" customFormat="1"/>
    <row r="1625" s="1" customFormat="1"/>
    <row r="1626" s="1" customFormat="1"/>
    <row r="1627" s="1" customFormat="1"/>
    <row r="1628" s="1" customFormat="1"/>
    <row r="1629" s="1" customFormat="1"/>
    <row r="1630" s="1" customFormat="1"/>
    <row r="1631" s="1" customFormat="1"/>
    <row r="1632" s="1" customFormat="1"/>
    <row r="1633" s="1" customFormat="1"/>
    <row r="1634" s="1" customFormat="1"/>
    <row r="1635" s="1" customFormat="1"/>
    <row r="1636" s="1" customFormat="1"/>
    <row r="1637" s="1" customFormat="1"/>
    <row r="1638" s="1" customFormat="1"/>
    <row r="1639" s="1" customFormat="1"/>
    <row r="1640" s="1" customFormat="1"/>
    <row r="1641" s="1" customFormat="1"/>
    <row r="1642" s="1" customFormat="1"/>
    <row r="1643" s="1" customFormat="1"/>
    <row r="1644" s="1" customFormat="1"/>
    <row r="1645" s="1" customFormat="1"/>
    <row r="1646" s="1" customFormat="1"/>
    <row r="1647" s="1" customFormat="1"/>
    <row r="1648" s="1" customFormat="1"/>
    <row r="1649" s="1" customFormat="1"/>
    <row r="1650" s="1" customFormat="1"/>
    <row r="1651" s="1" customFormat="1"/>
    <row r="1652" s="1" customFormat="1"/>
    <row r="1653" s="1" customFormat="1"/>
    <row r="1654" s="1" customFormat="1"/>
    <row r="1655" s="1" customFormat="1"/>
    <row r="1656" s="1" customFormat="1"/>
    <row r="1657" s="1" customFormat="1"/>
    <row r="1658" s="1" customFormat="1"/>
    <row r="1659" s="1" customFormat="1"/>
    <row r="1660" s="1" customFormat="1"/>
    <row r="1661" s="1" customFormat="1"/>
    <row r="1662" s="1" customFormat="1"/>
    <row r="1663" s="1" customFormat="1"/>
    <row r="1664" s="1" customFormat="1"/>
    <row r="1665" s="1" customFormat="1"/>
    <row r="1666" s="1" customFormat="1"/>
    <row r="1667" s="1" customFormat="1"/>
    <row r="1668" s="1" customFormat="1"/>
    <row r="1669" s="1" customFormat="1"/>
    <row r="1670" s="1" customFormat="1"/>
    <row r="1671" s="1" customFormat="1"/>
    <row r="1672" s="1" customFormat="1"/>
    <row r="1673" s="1" customFormat="1"/>
    <row r="1674" s="1" customFormat="1"/>
    <row r="1675" s="1" customFormat="1"/>
    <row r="1676" s="1" customFormat="1"/>
    <row r="1677" s="1" customFormat="1"/>
    <row r="1678" s="1" customFormat="1"/>
    <row r="1679" s="1" customFormat="1"/>
    <row r="1680" s="1" customFormat="1"/>
    <row r="1681" s="1" customFormat="1"/>
    <row r="1682" s="1" customFormat="1"/>
    <row r="1683" s="1" customFormat="1"/>
    <row r="1684" s="1" customFormat="1"/>
    <row r="1685" s="1" customFormat="1"/>
    <row r="1686" s="1" customFormat="1"/>
    <row r="1687" s="1" customFormat="1"/>
    <row r="1688" s="1" customFormat="1"/>
    <row r="1689" s="1" customFormat="1"/>
    <row r="1690" s="1" customFormat="1"/>
    <row r="1691" s="1" customFormat="1"/>
    <row r="1692" s="1" customFormat="1"/>
    <row r="1693" s="1" customFormat="1"/>
    <row r="1694" s="1" customFormat="1"/>
    <row r="1695" s="1" customFormat="1"/>
    <row r="1696" s="1" customFormat="1"/>
    <row r="1697" s="1" customFormat="1"/>
    <row r="1698" s="1" customFormat="1"/>
    <row r="1699" s="1" customFormat="1"/>
    <row r="1700" s="1" customFormat="1"/>
    <row r="1701" s="1" customFormat="1"/>
    <row r="1702" s="1" customFormat="1"/>
    <row r="1703" s="1" customFormat="1"/>
    <row r="1704" s="1" customFormat="1"/>
    <row r="1705" s="1" customFormat="1"/>
    <row r="1706" s="1" customFormat="1"/>
    <row r="1707" s="1" customFormat="1"/>
    <row r="1708" s="1" customFormat="1"/>
    <row r="1709" s="1" customFormat="1"/>
    <row r="1710" s="1" customFormat="1"/>
    <row r="1711" s="1" customFormat="1"/>
    <row r="1712" s="1" customFormat="1"/>
    <row r="1713" s="1" customFormat="1"/>
    <row r="1714" s="1" customFormat="1"/>
    <row r="1715" s="1" customFormat="1"/>
    <row r="1716" s="1" customFormat="1"/>
    <row r="1717" s="1" customFormat="1"/>
    <row r="1718" s="1" customFormat="1"/>
    <row r="1719" s="1" customFormat="1"/>
    <row r="1720" s="1" customFormat="1"/>
    <row r="1721" s="1" customFormat="1"/>
    <row r="1722" s="1" customFormat="1"/>
    <row r="1723" s="1" customFormat="1"/>
    <row r="1724" s="1" customFormat="1"/>
    <row r="1725" s="1" customFormat="1"/>
    <row r="1726" s="1" customFormat="1"/>
    <row r="1727" s="1" customFormat="1"/>
    <row r="1728" s="1" customFormat="1"/>
    <row r="1729" s="1" customFormat="1"/>
    <row r="1730" s="1" customFormat="1"/>
    <row r="1731" s="1" customFormat="1"/>
    <row r="1732" s="1" customFormat="1"/>
    <row r="1733" s="1" customFormat="1"/>
    <row r="1734" s="1" customFormat="1"/>
    <row r="1735" s="1" customFormat="1"/>
    <row r="1736" s="1" customFormat="1"/>
    <row r="1737" s="1" customFormat="1"/>
    <row r="1738" s="1" customFormat="1"/>
    <row r="1739" s="1" customFormat="1"/>
    <row r="1740" s="1" customFormat="1"/>
    <row r="1741" s="1" customFormat="1"/>
    <row r="1742" s="1" customFormat="1"/>
    <row r="1743" s="1" customFormat="1"/>
    <row r="1744" s="1" customFormat="1"/>
    <row r="1745" s="1" customFormat="1"/>
    <row r="1746" s="1" customFormat="1"/>
    <row r="1747" s="1" customFormat="1"/>
    <row r="1748" s="1" customFormat="1"/>
    <row r="1749" s="1" customFormat="1"/>
    <row r="1750" s="1" customFormat="1"/>
    <row r="1751" s="1" customFormat="1"/>
    <row r="1752" s="1" customFormat="1"/>
    <row r="1753" s="1" customFormat="1"/>
    <row r="1754" s="1" customFormat="1"/>
    <row r="1755" s="1" customFormat="1"/>
    <row r="1756" s="1" customFormat="1"/>
    <row r="1757" s="1" customFormat="1"/>
    <row r="1758" s="1" customFormat="1"/>
    <row r="1759" s="1" customFormat="1"/>
    <row r="1760" s="1" customFormat="1"/>
    <row r="1761" s="1" customFormat="1"/>
    <row r="1762" s="1" customFormat="1"/>
    <row r="1763" s="1" customFormat="1"/>
    <row r="1764" s="1" customFormat="1"/>
    <row r="1765" s="1" customFormat="1"/>
    <row r="1766" s="1" customFormat="1"/>
    <row r="1767" s="1" customFormat="1"/>
    <row r="1768" s="1" customFormat="1"/>
    <row r="1769" s="1" customFormat="1"/>
    <row r="1770" s="1" customFormat="1"/>
    <row r="1771" s="1" customFormat="1"/>
    <row r="1772" s="1" customFormat="1"/>
    <row r="1773" s="1" customFormat="1"/>
    <row r="1774" s="1" customFormat="1"/>
    <row r="1775" s="1" customFormat="1"/>
    <row r="1776" s="1" customFormat="1"/>
    <row r="1777" s="1" customFormat="1"/>
    <row r="1778" s="1" customFormat="1"/>
    <row r="1779" s="1" customFormat="1"/>
    <row r="1780" s="1" customFormat="1"/>
    <row r="1781" s="1" customFormat="1"/>
    <row r="1782" s="1" customFormat="1"/>
    <row r="1783" s="1" customFormat="1"/>
    <row r="1784" s="1" customFormat="1"/>
    <row r="1785" s="1" customFormat="1"/>
    <row r="1786" s="1" customFormat="1"/>
    <row r="1787" s="1" customFormat="1"/>
    <row r="1788" s="1" customFormat="1"/>
    <row r="1789" s="1" customFormat="1"/>
    <row r="1790" s="1" customFormat="1"/>
    <row r="1791" s="1" customFormat="1"/>
    <row r="1792" s="1" customFormat="1"/>
    <row r="1793" s="1" customFormat="1"/>
    <row r="1794" s="1" customFormat="1"/>
    <row r="1795" s="1" customFormat="1"/>
    <row r="1796" s="1" customFormat="1"/>
    <row r="1797" s="1" customFormat="1"/>
    <row r="1798" s="1" customFormat="1"/>
    <row r="1799" s="1" customFormat="1"/>
    <row r="1800" s="1" customFormat="1"/>
    <row r="1801" s="1" customFormat="1"/>
    <row r="1802" s="1" customFormat="1"/>
    <row r="1803" s="1" customFormat="1"/>
    <row r="1804" s="1" customFormat="1"/>
    <row r="1805" s="1" customFormat="1"/>
    <row r="1806" s="1" customFormat="1"/>
    <row r="1807" s="1" customFormat="1"/>
    <row r="1808" s="1" customFormat="1"/>
    <row r="1809" s="1" customFormat="1"/>
    <row r="1810" s="1" customFormat="1"/>
    <row r="1811" s="1" customFormat="1"/>
    <row r="1812" s="1" customFormat="1"/>
    <row r="1813" s="1" customFormat="1"/>
    <row r="1814" s="1" customFormat="1"/>
    <row r="1815" s="1" customFormat="1"/>
    <row r="1816" s="1" customFormat="1"/>
    <row r="1817" s="1" customFormat="1"/>
    <row r="1818" s="1" customFormat="1"/>
    <row r="1819" s="1" customFormat="1"/>
    <row r="1820" s="1" customFormat="1"/>
    <row r="1821" s="1" customFormat="1"/>
    <row r="1822" s="1" customFormat="1"/>
    <row r="1823" s="1" customFormat="1"/>
    <row r="1824" s="1" customFormat="1"/>
    <row r="1825" s="1" customFormat="1"/>
    <row r="1826" s="1" customFormat="1"/>
    <row r="1827" s="1" customFormat="1"/>
    <row r="1828" s="1" customFormat="1"/>
    <row r="1829" s="1" customFormat="1"/>
    <row r="1830" s="1" customFormat="1"/>
    <row r="1831" s="1" customFormat="1"/>
    <row r="1832" s="1" customFormat="1"/>
    <row r="1833" s="1" customFormat="1"/>
    <row r="1834" s="1" customFormat="1"/>
    <row r="1835" s="1" customFormat="1"/>
    <row r="1836" s="1" customFormat="1"/>
    <row r="1837" s="1" customFormat="1"/>
    <row r="1838" s="1" customFormat="1"/>
    <row r="1839" s="1" customFormat="1"/>
    <row r="1840" s="1" customFormat="1"/>
    <row r="1841" s="1" customFormat="1"/>
    <row r="1842" s="1" customFormat="1"/>
    <row r="1843" s="1" customFormat="1"/>
    <row r="1844" s="1" customFormat="1"/>
    <row r="1845" s="1" customFormat="1"/>
    <row r="1846" s="1" customFormat="1"/>
    <row r="1847" s="1" customFormat="1"/>
    <row r="1848" s="1" customFormat="1"/>
    <row r="1849" s="1" customFormat="1"/>
    <row r="1850" s="1" customFormat="1"/>
    <row r="1851" s="1" customFormat="1"/>
    <row r="1852" s="1" customFormat="1"/>
    <row r="1853" s="1" customFormat="1"/>
    <row r="1854" s="1" customFormat="1"/>
    <row r="1855" s="1" customFormat="1"/>
    <row r="1856" s="1" customFormat="1"/>
    <row r="1857" s="1" customFormat="1"/>
    <row r="1858" s="1" customFormat="1"/>
    <row r="1859" s="1" customFormat="1"/>
    <row r="1860" s="1" customFormat="1"/>
    <row r="1861" s="1" customFormat="1"/>
    <row r="1862" s="1" customFormat="1"/>
    <row r="1863" s="1" customFormat="1"/>
    <row r="1864" s="1" customFormat="1"/>
    <row r="1865" s="1" customFormat="1"/>
    <row r="1866" s="1" customFormat="1"/>
    <row r="1867" s="1" customFormat="1"/>
    <row r="1868" s="1" customFormat="1"/>
    <row r="1869" s="1" customFormat="1"/>
    <row r="1870" s="1" customFormat="1"/>
    <row r="1871" s="1" customFormat="1"/>
    <row r="1872" s="1" customFormat="1"/>
    <row r="1873" s="1" customFormat="1"/>
    <row r="1874" s="1" customFormat="1"/>
    <row r="1875" s="1" customFormat="1"/>
    <row r="1876" s="1" customFormat="1"/>
    <row r="1877" s="1" customFormat="1"/>
    <row r="1878" s="1" customFormat="1"/>
    <row r="1879" s="1" customFormat="1"/>
    <row r="1880" s="1" customFormat="1"/>
    <row r="1881" s="1" customFormat="1"/>
    <row r="1882" s="1" customFormat="1"/>
    <row r="1883" s="1" customFormat="1"/>
    <row r="1884" s="1" customFormat="1"/>
    <row r="1885" s="1" customFormat="1"/>
    <row r="1886" s="1" customFormat="1"/>
    <row r="1887" s="1" customFormat="1"/>
    <row r="1888" s="1" customFormat="1"/>
    <row r="1889" s="1" customFormat="1"/>
    <row r="1890" s="1" customFormat="1"/>
    <row r="1891" s="1" customFormat="1"/>
    <row r="1892" s="1" customFormat="1"/>
    <row r="1893" s="1" customFormat="1"/>
    <row r="1894" s="1" customFormat="1"/>
    <row r="1895" s="1" customFormat="1"/>
    <row r="1896" s="1" customFormat="1"/>
    <row r="1897" s="1" customFormat="1"/>
    <row r="1898" s="1" customFormat="1"/>
    <row r="1899" s="1" customFormat="1"/>
    <row r="1900" s="1" customFormat="1"/>
    <row r="1901" s="1" customFormat="1"/>
    <row r="1902" s="1" customFormat="1"/>
    <row r="1903" s="1" customFormat="1"/>
    <row r="1904" s="1" customFormat="1"/>
    <row r="1905" s="1" customFormat="1"/>
    <row r="1906" s="1" customFormat="1"/>
    <row r="1907" s="1" customFormat="1"/>
    <row r="1908" s="1" customFormat="1"/>
    <row r="1909" s="1" customFormat="1"/>
    <row r="1910" s="1" customFormat="1"/>
    <row r="1911" s="1" customFormat="1"/>
    <row r="1912" s="1" customFormat="1"/>
    <row r="1913" s="1" customFormat="1"/>
    <row r="1914" s="1" customFormat="1"/>
    <row r="1915" s="1" customFormat="1"/>
    <row r="1916" s="1" customFormat="1"/>
    <row r="1917" s="1" customFormat="1"/>
    <row r="1918" s="1" customFormat="1"/>
    <row r="1919" s="1" customFormat="1"/>
    <row r="1920" s="1" customFormat="1"/>
    <row r="1921" s="1" customFormat="1"/>
    <row r="1922" s="1" customFormat="1"/>
    <row r="1923" s="1" customFormat="1"/>
    <row r="1924" s="1" customFormat="1"/>
    <row r="1925" s="1" customFormat="1"/>
    <row r="1926" s="1" customFormat="1"/>
    <row r="1927" s="1" customFormat="1"/>
    <row r="1928" s="1" customFormat="1"/>
    <row r="1929" s="1" customFormat="1"/>
    <row r="1930" s="1" customFormat="1"/>
    <row r="1931" s="1" customFormat="1"/>
    <row r="1932" s="1" customFormat="1"/>
    <row r="1933" s="1" customFormat="1"/>
    <row r="1934" s="1" customFormat="1"/>
    <row r="1935" s="1" customFormat="1"/>
    <row r="1936" s="1" customFormat="1"/>
    <row r="1937" s="1" customFormat="1"/>
    <row r="1938" s="1" customFormat="1"/>
    <row r="1939" s="1" customFormat="1"/>
    <row r="1940" s="1" customFormat="1"/>
    <row r="1941" s="1" customFormat="1"/>
    <row r="1942" s="1" customFormat="1"/>
    <row r="1943" s="1" customFormat="1"/>
    <row r="1944" s="1" customFormat="1"/>
    <row r="1945" s="1" customFormat="1"/>
    <row r="1946" s="1" customFormat="1"/>
    <row r="1947" s="1" customFormat="1"/>
    <row r="1948" s="1" customFormat="1"/>
    <row r="1949" s="1" customFormat="1"/>
    <row r="1950" s="1" customFormat="1"/>
    <row r="1951" s="1" customFormat="1"/>
    <row r="1952" s="1" customFormat="1"/>
    <row r="1953" s="1" customFormat="1"/>
    <row r="1954" s="1" customFormat="1"/>
    <row r="1955" s="1" customFormat="1"/>
    <row r="1956" s="1" customFormat="1"/>
    <row r="1957" s="1" customFormat="1"/>
    <row r="1958" s="1" customFormat="1"/>
    <row r="1959" s="1" customFormat="1"/>
    <row r="1960" s="1" customFormat="1"/>
    <row r="1961" s="1" customFormat="1"/>
    <row r="1962" s="1" customFormat="1"/>
    <row r="1963" s="1" customFormat="1"/>
    <row r="1964" s="1" customFormat="1"/>
    <row r="1965" s="1" customFormat="1"/>
    <row r="1966" s="1" customFormat="1"/>
    <row r="1967" s="1" customFormat="1"/>
    <row r="1968" s="1" customFormat="1"/>
    <row r="1969" s="1" customFormat="1"/>
    <row r="1970" s="1" customFormat="1"/>
    <row r="1971" s="1" customFormat="1"/>
    <row r="1972" s="1" customFormat="1"/>
    <row r="1973" s="1" customFormat="1"/>
    <row r="1974" s="1" customFormat="1"/>
    <row r="1975" s="1" customFormat="1"/>
    <row r="1976" s="1" customFormat="1"/>
    <row r="1977" s="1" customFormat="1"/>
    <row r="1978" s="1" customFormat="1"/>
    <row r="1979" s="1" customFormat="1"/>
    <row r="1980" s="1" customFormat="1"/>
    <row r="1981" s="1" customFormat="1"/>
    <row r="1982" s="1" customFormat="1"/>
    <row r="1983" s="1" customFormat="1"/>
    <row r="1984" s="1" customFormat="1"/>
    <row r="1985" s="1" customFormat="1"/>
    <row r="1986" s="1" customFormat="1"/>
    <row r="1987" s="1" customFormat="1"/>
    <row r="1988" s="1" customFormat="1"/>
    <row r="1989" s="1" customFormat="1"/>
    <row r="1990" s="1" customFormat="1"/>
    <row r="1991" s="1" customFormat="1"/>
    <row r="1992" s="1" customFormat="1"/>
    <row r="1993" s="1" customFormat="1"/>
    <row r="1994" s="1" customFormat="1"/>
    <row r="1995" s="1" customFormat="1"/>
    <row r="1996" s="1" customFormat="1"/>
    <row r="1997" s="1" customFormat="1"/>
    <row r="1998" s="1" customFormat="1"/>
    <row r="1999" s="1" customFormat="1"/>
    <row r="2000" s="1" customFormat="1"/>
  </sheetData>
  <conditionalFormatting sqref="C2:ZZ1000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</vt:lpstr>
      <vt:lpstr>Exit Times</vt:lpstr>
      <vt:lpstr>StgWiseDD</vt:lpstr>
      <vt:lpstr>CombinedDD</vt:lpstr>
      <vt:lpstr>MTM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2026-01-23T09:47:08Z</dcterms:created>
  <dcterms:modified xsi:type="dcterms:W3CDTF">2026-01-23T09:47:08Z</dcterms:modified>
</cp:coreProperties>
</file>